
<file path=[Content_Types].xml><?xml version="1.0" encoding="utf-8"?>
<Types xmlns="http://schemas.openxmlformats.org/package/2006/content-types">
  <Default Extension="jpeg" ContentType="image/jpe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externalLinks/externalLink1.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slicerCaches/slicerCache6.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drawings/drawing2.xml" ContentType="application/vnd.openxmlformats-officedocument.drawing+xml"/>
  <Override PartName="/xl/pivotTables/pivotTable1.xml" ContentType="application/vnd.openxmlformats-officedocument.spreadsheetml.pivotTable+xml"/>
  <Override PartName="/xl/drawings/drawing3.xml" ContentType="application/vnd.openxmlformats-officedocument.drawing+xml"/>
  <Override PartName="/xl/slicers/slicer2.xml" ContentType="application/vnd.ms-excel.slicer+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harts/chart11.xml" ContentType="application/vnd.openxmlformats-officedocument.drawingml.chart+xml"/>
  <Override PartName="/xl/charts/chart12.xml" ContentType="application/vnd.openxmlformats-officedocument.drawingml.chart+xml"/>
  <Override PartName="/xl/charts/style11.xml" ContentType="application/vnd.ms-office.chartstyle+xml"/>
  <Override PartName="/xl/charts/colors11.xml" ContentType="application/vnd.ms-office.chartcolorstyle+xml"/>
  <Override PartName="/xl/charts/chart13.xml" ContentType="application/vnd.openxmlformats-officedocument.drawingml.chart+xml"/>
  <Override PartName="/xl/charts/style12.xml" ContentType="application/vnd.ms-office.chartstyle+xml"/>
  <Override PartName="/xl/charts/colors12.xml" ContentType="application/vnd.ms-office.chartcolorstyle+xml"/>
  <Override PartName="/xl/charts/chart14.xml" ContentType="application/vnd.openxmlformats-officedocument.drawingml.chart+xml"/>
  <Override PartName="/xl/charts/style13.xml" ContentType="application/vnd.ms-office.chartstyle+xml"/>
  <Override PartName="/xl/charts/colors13.xml" ContentType="application/vnd.ms-office.chartcolorstyle+xml"/>
  <Override PartName="/xl/charts/chart15.xml" ContentType="application/vnd.openxmlformats-officedocument.drawingml.chart+xml"/>
  <Override PartName="/xl/charts/style14.xml" ContentType="application/vnd.ms-office.chartstyle+xml"/>
  <Override PartName="/xl/charts/colors14.xml" ContentType="application/vnd.ms-office.chartcolorstyle+xml"/>
  <Override PartName="/xl/charts/chart16.xml" ContentType="application/vnd.openxmlformats-officedocument.drawingml.chart+xml"/>
  <Override PartName="/xl/charts/style15.xml" ContentType="application/vnd.ms-office.chartstyle+xml"/>
  <Override PartName="/xl/charts/colors15.xml" ContentType="application/vnd.ms-office.chartcolorstyle+xml"/>
  <Override PartName="/xl/drawings/drawing4.xml" ContentType="application/vnd.openxmlformats-officedocument.drawing+xml"/>
  <Override PartName="/xl/tables/table1.xml" ContentType="application/vnd.openxmlformats-officedocument.spreadsheetml.table+xml"/>
  <Override PartName="/xl/drawings/drawing5.xml" ContentType="application/vnd.openxmlformats-officedocument.drawing+xml"/>
  <Override PartName="/xl/charts/chartEx1.xml" ContentType="application/vnd.ms-office.chartex+xml"/>
  <Override PartName="/xl/charts/style16.xml" ContentType="application/vnd.ms-office.chartstyle+xml"/>
  <Override PartName="/xl/charts/colors16.xml" ContentType="application/vnd.ms-office.chartcolorstyle+xml"/>
  <Override PartName="/xl/charts/chart17.xml" ContentType="application/vnd.openxmlformats-officedocument.drawingml.chart+xml"/>
  <Override PartName="/xl/charts/style17.xml" ContentType="application/vnd.ms-office.chartstyle+xml"/>
  <Override PartName="/xl/charts/colors17.xml" ContentType="application/vnd.ms-office.chartcolorstyle+xml"/>
  <Override PartName="/xl/pivotTables/pivotTable2.xml" ContentType="application/vnd.openxmlformats-officedocument.spreadsheetml.pivotTable+xml"/>
  <Override PartName="/xl/pivotTables/pivotTable3.xml" ContentType="application/vnd.openxmlformats-officedocument.spreadsheetml.pivotTable+xml"/>
  <Override PartName="/xl/drawings/drawing6.xml" ContentType="application/vnd.openxmlformats-officedocument.drawing+xml"/>
  <Override PartName="/xl/slicers/slicer3.xml" ContentType="application/vnd.ms-excel.slicer+xml"/>
  <Override PartName="/xl/charts/chart18.xml" ContentType="application/vnd.openxmlformats-officedocument.drawingml.chart+xml"/>
  <Override PartName="/xl/charts/style18.xml" ContentType="application/vnd.ms-office.chartstyle+xml"/>
  <Override PartName="/xl/charts/colors18.xml" ContentType="application/vnd.ms-office.chartcolorstyle+xml"/>
  <Override PartName="/xl/charts/chart19.xml" ContentType="application/vnd.openxmlformats-officedocument.drawingml.chart+xml"/>
  <Override PartName="/xl/charts/style19.xml" ContentType="application/vnd.ms-office.chartstyle+xml"/>
  <Override PartName="/xl/charts/colors19.xml" ContentType="application/vnd.ms-office.chartcolorstyle+xml"/>
  <Override PartName="/xl/charts/chart20.xml" ContentType="application/vnd.openxmlformats-officedocument.drawingml.chart+xml"/>
  <Override PartName="/xl/charts/style20.xml" ContentType="application/vnd.ms-office.chartstyle+xml"/>
  <Override PartName="/xl/charts/colors20.xml" ContentType="application/vnd.ms-office.chartcolorsty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drawings/drawing7.xml" ContentType="application/vnd.openxmlformats-officedocument.drawing+xml"/>
  <Override PartName="/xl/slicers/slicer4.xml" ContentType="application/vnd.ms-excel.slicer+xml"/>
  <Override PartName="/xl/charts/chart21.xml" ContentType="application/vnd.openxmlformats-officedocument.drawingml.chart+xml"/>
  <Override PartName="/xl/charts/style21.xml" ContentType="application/vnd.ms-office.chartstyle+xml"/>
  <Override PartName="/xl/charts/colors21.xml" ContentType="application/vnd.ms-office.chartcolorstyle+xml"/>
  <Override PartName="/xl/charts/chart22.xml" ContentType="application/vnd.openxmlformats-officedocument.drawingml.chart+xml"/>
  <Override PartName="/xl/charts/style22.xml" ContentType="application/vnd.ms-office.chartstyle+xml"/>
  <Override PartName="/xl/charts/colors22.xml" ContentType="application/vnd.ms-office.chartcolorstyle+xml"/>
  <Override PartName="/xl/charts/chart23.xml" ContentType="application/vnd.openxmlformats-officedocument.drawingml.chart+xml"/>
  <Override PartName="/xl/charts/style23.xml" ContentType="application/vnd.ms-office.chartstyle+xml"/>
  <Override PartName="/xl/charts/colors23.xml" ContentType="application/vnd.ms-office.chartcolorstyle+xml"/>
  <Override PartName="/xl/charts/chart24.xml" ContentType="application/vnd.openxmlformats-officedocument.drawingml.chart+xml"/>
  <Override PartName="/xl/charts/style24.xml" ContentType="application/vnd.ms-office.chartstyle+xml"/>
  <Override PartName="/xl/charts/colors24.xml" ContentType="application/vnd.ms-office.chartcolorstyle+xml"/>
  <Override PartName="/xl/charts/chart25.xml" ContentType="application/vnd.openxmlformats-officedocument.drawingml.chart+xml"/>
  <Override PartName="/xl/charts/style25.xml" ContentType="application/vnd.ms-office.chartstyle+xml"/>
  <Override PartName="/xl/charts/colors25.xml" ContentType="application/vnd.ms-office.chartcolorstyle+xml"/>
  <Override PartName="/xl/pivotTables/pivotTable9.xml" ContentType="application/vnd.openxmlformats-officedocument.spreadsheetml.pivotTable+xml"/>
  <Override PartName="/xl/pivotTables/pivotTable10.xml" ContentType="application/vnd.openxmlformats-officedocument.spreadsheetml.pivotTable+xml"/>
  <Override PartName="/xl/pivotTables/pivotTable11.xml" ContentType="application/vnd.openxmlformats-officedocument.spreadsheetml.pivotTable+xml"/>
  <Override PartName="/xl/pivotTables/pivotTable12.xml" ContentType="application/vnd.openxmlformats-officedocument.spreadsheetml.pivotTable+xml"/>
  <Override PartName="/xl/drawings/drawing8.xml" ContentType="application/vnd.openxmlformats-officedocument.drawing+xml"/>
  <Override PartName="/xl/charts/chart26.xml" ContentType="application/vnd.openxmlformats-officedocument.drawingml.chart+xml"/>
  <Override PartName="/xl/charts/style26.xml" ContentType="application/vnd.ms-office.chartstyle+xml"/>
  <Override PartName="/xl/charts/colors26.xml" ContentType="application/vnd.ms-office.chartcolorstyle+xml"/>
  <Override PartName="/xl/charts/chart27.xml" ContentType="application/vnd.openxmlformats-officedocument.drawingml.chart+xml"/>
  <Override PartName="/xl/charts/style27.xml" ContentType="application/vnd.ms-office.chartstyle+xml"/>
  <Override PartName="/xl/charts/colors27.xml" ContentType="application/vnd.ms-office.chartcolorstyle+xml"/>
  <Override PartName="/xl/charts/chart28.xml" ContentType="application/vnd.openxmlformats-officedocument.drawingml.chart+xml"/>
  <Override PartName="/xl/charts/style28.xml" ContentType="application/vnd.ms-office.chartstyle+xml"/>
  <Override PartName="/xl/charts/colors28.xml" ContentType="application/vnd.ms-office.chartcolorstyle+xml"/>
  <Override PartName="/xl/charts/chart29.xml" ContentType="application/vnd.openxmlformats-officedocument.drawingml.chart+xml"/>
  <Override PartName="/xl/charts/style29.xml" ContentType="application/vnd.ms-office.chartstyle+xml"/>
  <Override PartName="/xl/charts/colors29.xml" ContentType="application/vnd.ms-office.chartcolorstyle+xml"/>
  <Override PartName="/xl/drawings/drawing9.xml" ContentType="application/vnd.openxmlformats-officedocument.drawing+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932"/>
  <workbookPr hidePivotFieldList="1"/>
  <mc:AlternateContent xmlns:mc="http://schemas.openxmlformats.org/markup-compatibility/2006">
    <mc:Choice Requires="x15">
      <x15ac:absPath xmlns:x15ac="http://schemas.microsoft.com/office/spreadsheetml/2010/11/ac" url="C:\Users\subha\Desktop\"/>
    </mc:Choice>
  </mc:AlternateContent>
  <xr:revisionPtr revIDLastSave="0" documentId="8_{E4037FD4-7A30-46DA-AC2D-B892C6137EAB}" xr6:coauthVersionLast="47" xr6:coauthVersionMax="47" xr10:uidLastSave="{00000000-0000-0000-0000-000000000000}"/>
  <bookViews>
    <workbookView xWindow="-110" yWindow="-110" windowWidth="19420" windowHeight="10300" tabRatio="822" xr2:uid="{6FABF10F-5818-4AC5-B66F-68DF3F51DFC2}"/>
  </bookViews>
  <sheets>
    <sheet name="Dashboardd" sheetId="23" r:id="rId1"/>
    <sheet name="Content" sheetId="1" r:id="rId2"/>
    <sheet name="Instructions" sheetId="22" r:id="rId3"/>
    <sheet name="Dashboard" sheetId="9" state="hidden" r:id="rId4"/>
    <sheet name="Raw Data" sheetId="2" r:id="rId5"/>
    <sheet name="Clean Data" sheetId="3" r:id="rId6"/>
    <sheet name="Cleaning Tasks" sheetId="11" r:id="rId7"/>
    <sheet name="EMI &amp; Amortization" sheetId="13" r:id="rId8"/>
    <sheet name="PIVOT 1" sheetId="15" r:id="rId9"/>
    <sheet name="pivot 2" sheetId="19" r:id="rId10"/>
    <sheet name="pivot 3" sheetId="20" r:id="rId11"/>
    <sheet name="New Customer" sheetId="10" state="hidden" r:id="rId12"/>
  </sheets>
  <externalReferences>
    <externalReference r:id="rId13"/>
  </externalReferences>
  <definedNames>
    <definedName name="_xlchart.v1.0" hidden="1">'EMI &amp; Amortization'!$C$17:$C$196</definedName>
    <definedName name="_xlchart.v1.1" hidden="1">'EMI &amp; Amortization'!$D$17:$D$196</definedName>
    <definedName name="_xlchart.v1.2" hidden="1">'EMI &amp; Amortization'!$E$17:$E$196</definedName>
    <definedName name="_xlchart.v1.3" hidden="1">'EMI &amp; Amortization'!$F$17:$F$196</definedName>
    <definedName name="_xlchart.v1.4" hidden="1">'EMI &amp; Amortization'!$G$17:$G$196</definedName>
    <definedName name="_xlchart.v1.5" hidden="1">'EMI &amp; Amortization'!$H$17:$H$196</definedName>
    <definedName name="_xlchart.v1.6" hidden="1">'EMI &amp; Amortization'!$I$17:$I$196</definedName>
    <definedName name="_xlchart.v1.7" hidden="1">'EMI &amp; Amortization'!$J$17:$J$196</definedName>
    <definedName name="Slicer_CITY">#N/A</definedName>
    <definedName name="Slicer_CITY1">#N/A</definedName>
    <definedName name="Slicer_CITY2">#N/A</definedName>
    <definedName name="Slicer_LOAN__TYPE">#N/A</definedName>
    <definedName name="Slicer_LOAN__TYPE1">#N/A</definedName>
    <definedName name="Slicer_STATUS">#N/A</definedName>
  </definedNames>
  <calcPr calcId="191029" iterateDelta="1E-4"/>
  <pivotCaches>
    <pivotCache cacheId="0" r:id="rId14"/>
    <pivotCache cacheId="1" r:id="rId15"/>
  </pivotCaches>
  <extLst>
    <ext xmlns:x14="http://schemas.microsoft.com/office/spreadsheetml/2009/9/main" uri="{BBE1A952-AA13-448e-AADC-164F8A28A991}">
      <x14:slicerCaches>
        <x14:slicerCache r:id="rId16"/>
        <x14:slicerCache r:id="rId17"/>
        <x14:slicerCache r:id="rId18"/>
        <x14:slicerCache r:id="rId19"/>
        <x14:slicerCache r:id="rId20"/>
        <x14:slicerCache r:id="rId21"/>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 xmlns:xlwcv="http://schemas.microsoft.com/office/spreadsheetml/2024/workbookCompatibilityVersion" uri="{D14903EA-33C4-47F7-8F05-3474C54BE107}">
      <xlwcv:version setVersion="1"/>
    </ext>
  </extLst>
</workbook>
</file>

<file path=xl/calcChain.xml><?xml version="1.0" encoding="utf-8"?>
<calcChain xmlns="http://schemas.openxmlformats.org/spreadsheetml/2006/main">
  <c r="L5" i="23" l="1"/>
  <c r="J5" i="23"/>
  <c r="H5" i="23"/>
  <c r="F5" i="23"/>
  <c r="D5" i="23"/>
  <c r="B5" i="9"/>
  <c r="J5" i="9"/>
  <c r="H5" i="9"/>
  <c r="F5" i="9"/>
  <c r="D5" i="9"/>
  <c r="I2" i="3" l="1"/>
  <c r="J2" i="3" s="1"/>
  <c r="E4" i="13"/>
  <c r="E12" i="13"/>
  <c r="J7" i="13" s="1"/>
  <c r="E11" i="13"/>
  <c r="C17" i="13" s="1" a="1"/>
  <c r="C17" i="13" s="1"/>
  <c r="E10" i="13"/>
  <c r="E17" i="13" s="1"/>
  <c r="E9" i="13"/>
  <c r="E8" i="13"/>
  <c r="E7" i="13"/>
  <c r="E6" i="13"/>
  <c r="E5" i="13"/>
  <c r="J5" i="3"/>
  <c r="J6" i="3"/>
  <c r="J7" i="3"/>
  <c r="J8" i="3"/>
  <c r="J9" i="3"/>
  <c r="J20" i="3"/>
  <c r="J21" i="3"/>
  <c r="J22" i="3"/>
  <c r="J23" i="3"/>
  <c r="J24" i="3"/>
  <c r="J25" i="3"/>
  <c r="J36" i="3"/>
  <c r="J37" i="3"/>
  <c r="J38" i="3"/>
  <c r="J39" i="3"/>
  <c r="J40" i="3"/>
  <c r="J41" i="3"/>
  <c r="J52" i="3"/>
  <c r="J53" i="3"/>
  <c r="J54" i="3"/>
  <c r="J55" i="3"/>
  <c r="J56" i="3"/>
  <c r="J57" i="3"/>
  <c r="J68" i="3"/>
  <c r="J69" i="3"/>
  <c r="J70" i="3"/>
  <c r="J71" i="3"/>
  <c r="J72" i="3"/>
  <c r="J73" i="3"/>
  <c r="J84" i="3"/>
  <c r="J85" i="3"/>
  <c r="J86" i="3"/>
  <c r="J87" i="3"/>
  <c r="J88" i="3"/>
  <c r="J89" i="3"/>
  <c r="J100" i="3"/>
  <c r="J101" i="3"/>
  <c r="J102" i="3"/>
  <c r="J103" i="3"/>
  <c r="J104" i="3"/>
  <c r="J105" i="3"/>
  <c r="J116" i="3"/>
  <c r="J117" i="3"/>
  <c r="J118" i="3"/>
  <c r="J119" i="3"/>
  <c r="J120" i="3"/>
  <c r="J121" i="3"/>
  <c r="J132" i="3"/>
  <c r="J133" i="3"/>
  <c r="J134" i="3"/>
  <c r="J135" i="3"/>
  <c r="J136" i="3"/>
  <c r="J137" i="3"/>
  <c r="J148" i="3"/>
  <c r="J149" i="3"/>
  <c r="J150" i="3"/>
  <c r="J151" i="3"/>
  <c r="J152" i="3"/>
  <c r="J153" i="3"/>
  <c r="J164" i="3"/>
  <c r="J165" i="3"/>
  <c r="J166" i="3"/>
  <c r="J167" i="3"/>
  <c r="J168" i="3"/>
  <c r="J169" i="3"/>
  <c r="J180" i="3"/>
  <c r="J181" i="3"/>
  <c r="J182" i="3"/>
  <c r="J183" i="3"/>
  <c r="J184" i="3"/>
  <c r="J185" i="3"/>
  <c r="J196" i="3"/>
  <c r="J197" i="3"/>
  <c r="J198" i="3"/>
  <c r="J199" i="3"/>
  <c r="J200" i="3"/>
  <c r="J201" i="3"/>
  <c r="J212" i="3"/>
  <c r="J213" i="3"/>
  <c r="J214" i="3"/>
  <c r="J215" i="3"/>
  <c r="J216" i="3"/>
  <c r="J217" i="3"/>
  <c r="J228" i="3"/>
  <c r="J229" i="3"/>
  <c r="J230" i="3"/>
  <c r="J231" i="3"/>
  <c r="J232" i="3"/>
  <c r="J233" i="3"/>
  <c r="J244" i="3"/>
  <c r="J245" i="3"/>
  <c r="J246" i="3"/>
  <c r="J247" i="3"/>
  <c r="J248" i="3"/>
  <c r="J249" i="3"/>
  <c r="J260" i="3"/>
  <c r="J261" i="3"/>
  <c r="J262" i="3"/>
  <c r="J263" i="3"/>
  <c r="J264" i="3"/>
  <c r="J265" i="3"/>
  <c r="J276" i="3"/>
  <c r="J277" i="3"/>
  <c r="J278" i="3"/>
  <c r="J279" i="3"/>
  <c r="J280" i="3"/>
  <c r="J281" i="3"/>
  <c r="J292" i="3"/>
  <c r="J293" i="3"/>
  <c r="J294" i="3"/>
  <c r="J295" i="3"/>
  <c r="J296" i="3"/>
  <c r="J297" i="3"/>
  <c r="J308" i="3"/>
  <c r="J309" i="3"/>
  <c r="J310" i="3"/>
  <c r="J311" i="3"/>
  <c r="J312" i="3"/>
  <c r="J313" i="3"/>
  <c r="J324" i="3"/>
  <c r="J325" i="3"/>
  <c r="J326" i="3"/>
  <c r="J327" i="3"/>
  <c r="J328" i="3"/>
  <c r="J329" i="3"/>
  <c r="J340" i="3"/>
  <c r="J341" i="3"/>
  <c r="J342" i="3"/>
  <c r="J343" i="3"/>
  <c r="J344" i="3"/>
  <c r="J345" i="3"/>
  <c r="J356" i="3"/>
  <c r="J357" i="3"/>
  <c r="J358" i="3"/>
  <c r="J359" i="3"/>
  <c r="J360" i="3"/>
  <c r="J361" i="3"/>
  <c r="J372" i="3"/>
  <c r="J373" i="3"/>
  <c r="J374" i="3"/>
  <c r="J375" i="3"/>
  <c r="J376" i="3"/>
  <c r="J377" i="3"/>
  <c r="J388" i="3"/>
  <c r="J389" i="3"/>
  <c r="J390" i="3"/>
  <c r="J391" i="3"/>
  <c r="J392" i="3"/>
  <c r="J393" i="3"/>
  <c r="J404" i="3"/>
  <c r="J405" i="3"/>
  <c r="J406" i="3"/>
  <c r="J407" i="3"/>
  <c r="J408" i="3"/>
  <c r="J409" i="3"/>
  <c r="J420" i="3"/>
  <c r="J421" i="3"/>
  <c r="J422" i="3"/>
  <c r="J423" i="3"/>
  <c r="J424" i="3"/>
  <c r="J425" i="3"/>
  <c r="J436" i="3"/>
  <c r="J437" i="3"/>
  <c r="J438" i="3"/>
  <c r="J439" i="3"/>
  <c r="J440" i="3"/>
  <c r="J441" i="3"/>
  <c r="J452" i="3"/>
  <c r="J453" i="3"/>
  <c r="J454" i="3"/>
  <c r="J455" i="3"/>
  <c r="J456" i="3"/>
  <c r="J457" i="3"/>
  <c r="J468" i="3"/>
  <c r="J469" i="3"/>
  <c r="J470" i="3"/>
  <c r="J471" i="3"/>
  <c r="J472" i="3"/>
  <c r="J473" i="3"/>
  <c r="J484" i="3"/>
  <c r="J485" i="3"/>
  <c r="J486" i="3"/>
  <c r="J487" i="3"/>
  <c r="J488" i="3"/>
  <c r="J489" i="3"/>
  <c r="J500" i="3"/>
  <c r="J501" i="3"/>
  <c r="J502" i="3"/>
  <c r="J503" i="3"/>
  <c r="J504" i="3"/>
  <c r="J505" i="3"/>
  <c r="J516" i="3"/>
  <c r="J517" i="3"/>
  <c r="J518" i="3"/>
  <c r="J519" i="3"/>
  <c r="J520" i="3"/>
  <c r="J521" i="3"/>
  <c r="J532" i="3"/>
  <c r="J533" i="3"/>
  <c r="J534" i="3"/>
  <c r="J535" i="3"/>
  <c r="J536" i="3"/>
  <c r="J537" i="3"/>
  <c r="J548" i="3"/>
  <c r="J549" i="3"/>
  <c r="J550" i="3"/>
  <c r="J551" i="3"/>
  <c r="J552" i="3"/>
  <c r="J553" i="3"/>
  <c r="J564" i="3"/>
  <c r="J565" i="3"/>
  <c r="J566" i="3"/>
  <c r="J567" i="3"/>
  <c r="J568" i="3"/>
  <c r="J569" i="3"/>
  <c r="J580" i="3"/>
  <c r="J581" i="3"/>
  <c r="J582" i="3"/>
  <c r="J583" i="3"/>
  <c r="J584" i="3"/>
  <c r="J585" i="3"/>
  <c r="J596" i="3"/>
  <c r="J597" i="3"/>
  <c r="J598" i="3"/>
  <c r="J599" i="3"/>
  <c r="J600" i="3"/>
  <c r="J601" i="3"/>
  <c r="J612" i="3"/>
  <c r="J613" i="3"/>
  <c r="J614" i="3"/>
  <c r="J615" i="3"/>
  <c r="J616" i="3"/>
  <c r="J617" i="3"/>
  <c r="J628" i="3"/>
  <c r="J629" i="3"/>
  <c r="J630" i="3"/>
  <c r="J631" i="3"/>
  <c r="J632" i="3"/>
  <c r="J633" i="3"/>
  <c r="J644" i="3"/>
  <c r="J645" i="3"/>
  <c r="J646" i="3"/>
  <c r="J647" i="3"/>
  <c r="J648" i="3"/>
  <c r="J649" i="3"/>
  <c r="J660" i="3"/>
  <c r="J661" i="3"/>
  <c r="J662" i="3"/>
  <c r="J663" i="3"/>
  <c r="J664" i="3"/>
  <c r="J665" i="3"/>
  <c r="J676" i="3"/>
  <c r="J677" i="3"/>
  <c r="J678" i="3"/>
  <c r="J679" i="3"/>
  <c r="J680" i="3"/>
  <c r="J681" i="3"/>
  <c r="J692" i="3"/>
  <c r="J693" i="3"/>
  <c r="J694" i="3"/>
  <c r="J695" i="3"/>
  <c r="J696" i="3"/>
  <c r="J697" i="3"/>
  <c r="J708" i="3"/>
  <c r="J709" i="3"/>
  <c r="J710" i="3"/>
  <c r="J711" i="3"/>
  <c r="J712" i="3"/>
  <c r="J713" i="3"/>
  <c r="J724" i="3"/>
  <c r="J725" i="3"/>
  <c r="J726" i="3"/>
  <c r="J727" i="3"/>
  <c r="J728" i="3"/>
  <c r="J729" i="3"/>
  <c r="J740" i="3"/>
  <c r="J741" i="3"/>
  <c r="J742" i="3"/>
  <c r="J743" i="3"/>
  <c r="J744" i="3"/>
  <c r="J745" i="3"/>
  <c r="J756" i="3"/>
  <c r="J757" i="3"/>
  <c r="J758" i="3"/>
  <c r="J759" i="3"/>
  <c r="J760" i="3"/>
  <c r="J761" i="3"/>
  <c r="J772" i="3"/>
  <c r="J773" i="3"/>
  <c r="J774" i="3"/>
  <c r="J775" i="3"/>
  <c r="J776" i="3"/>
  <c r="J777" i="3"/>
  <c r="J788" i="3"/>
  <c r="J789" i="3"/>
  <c r="J790" i="3"/>
  <c r="J791" i="3"/>
  <c r="J792" i="3"/>
  <c r="J793" i="3"/>
  <c r="J804" i="3"/>
  <c r="J805" i="3"/>
  <c r="J806" i="3"/>
  <c r="J807" i="3"/>
  <c r="J808" i="3"/>
  <c r="J809" i="3"/>
  <c r="J820" i="3"/>
  <c r="J821" i="3"/>
  <c r="J822" i="3"/>
  <c r="J823" i="3"/>
  <c r="J824" i="3"/>
  <c r="J825" i="3"/>
  <c r="J836" i="3"/>
  <c r="J837" i="3"/>
  <c r="J838" i="3"/>
  <c r="J839" i="3"/>
  <c r="J840" i="3"/>
  <c r="J841" i="3"/>
  <c r="J852" i="3"/>
  <c r="J853" i="3"/>
  <c r="J854" i="3"/>
  <c r="J855" i="3"/>
  <c r="J856" i="3"/>
  <c r="J857" i="3"/>
  <c r="J868" i="3"/>
  <c r="J869" i="3"/>
  <c r="J870" i="3"/>
  <c r="J871" i="3"/>
  <c r="J872" i="3"/>
  <c r="J873" i="3"/>
  <c r="J884" i="3"/>
  <c r="J885" i="3"/>
  <c r="J886" i="3"/>
  <c r="J887" i="3"/>
  <c r="J888" i="3"/>
  <c r="J889" i="3"/>
  <c r="J900" i="3"/>
  <c r="J901" i="3"/>
  <c r="J902" i="3"/>
  <c r="J903" i="3"/>
  <c r="J904" i="3"/>
  <c r="J905" i="3"/>
  <c r="J916" i="3"/>
  <c r="J917" i="3"/>
  <c r="J918" i="3"/>
  <c r="J919" i="3"/>
  <c r="J920" i="3"/>
  <c r="J921" i="3"/>
  <c r="J932" i="3"/>
  <c r="J933" i="3"/>
  <c r="J934" i="3"/>
  <c r="J935" i="3"/>
  <c r="J936" i="3"/>
  <c r="J937" i="3"/>
  <c r="J948" i="3"/>
  <c r="J949" i="3"/>
  <c r="J950" i="3"/>
  <c r="J951" i="3"/>
  <c r="J952" i="3"/>
  <c r="J953" i="3"/>
  <c r="J964" i="3"/>
  <c r="J965" i="3"/>
  <c r="J966" i="3"/>
  <c r="J967" i="3"/>
  <c r="J968" i="3"/>
  <c r="J969" i="3"/>
  <c r="J980" i="3"/>
  <c r="J981" i="3"/>
  <c r="J982" i="3"/>
  <c r="J984" i="3"/>
  <c r="J985" i="3"/>
  <c r="J986" i="3"/>
  <c r="J987" i="3"/>
  <c r="J988" i="3"/>
  <c r="J989" i="3"/>
  <c r="J996" i="3"/>
  <c r="J997" i="3"/>
  <c r="J998" i="3"/>
  <c r="J1000" i="3"/>
  <c r="J1001" i="3"/>
  <c r="J3" i="3"/>
  <c r="I983" i="3"/>
  <c r="J983" i="3" s="1"/>
  <c r="I984" i="3"/>
  <c r="I985" i="3"/>
  <c r="I986" i="3"/>
  <c r="I987" i="3"/>
  <c r="I988" i="3"/>
  <c r="I989" i="3"/>
  <c r="I990" i="3"/>
  <c r="J990" i="3" s="1"/>
  <c r="I991" i="3"/>
  <c r="J991" i="3" s="1"/>
  <c r="I992" i="3"/>
  <c r="J992" i="3" s="1"/>
  <c r="I993" i="3"/>
  <c r="J993" i="3" s="1"/>
  <c r="I994" i="3"/>
  <c r="J994" i="3" s="1"/>
  <c r="I995" i="3"/>
  <c r="J995" i="3" s="1"/>
  <c r="I996" i="3"/>
  <c r="I997" i="3"/>
  <c r="I998" i="3"/>
  <c r="I999" i="3"/>
  <c r="J999" i="3" s="1"/>
  <c r="I1000" i="3"/>
  <c r="I1001" i="3"/>
  <c r="I5" i="3"/>
  <c r="I6" i="3"/>
  <c r="I7" i="3"/>
  <c r="I8" i="3"/>
  <c r="I9" i="3"/>
  <c r="I10" i="3"/>
  <c r="J10" i="3" s="1"/>
  <c r="I11" i="3"/>
  <c r="J11" i="3" s="1"/>
  <c r="I12" i="3"/>
  <c r="J12" i="3" s="1"/>
  <c r="I13" i="3"/>
  <c r="J13" i="3" s="1"/>
  <c r="I14" i="3"/>
  <c r="J14" i="3" s="1"/>
  <c r="I15" i="3"/>
  <c r="J15" i="3" s="1"/>
  <c r="I16" i="3"/>
  <c r="J16" i="3" s="1"/>
  <c r="I17" i="3"/>
  <c r="J17" i="3" s="1"/>
  <c r="I18" i="3"/>
  <c r="J18" i="3" s="1"/>
  <c r="I19" i="3"/>
  <c r="J19" i="3" s="1"/>
  <c r="I20" i="3"/>
  <c r="I21" i="3"/>
  <c r="I22" i="3"/>
  <c r="I23" i="3"/>
  <c r="I24" i="3"/>
  <c r="I25" i="3"/>
  <c r="I26" i="3"/>
  <c r="J26" i="3" s="1"/>
  <c r="I27" i="3"/>
  <c r="J27" i="3" s="1"/>
  <c r="I28" i="3"/>
  <c r="J28" i="3" s="1"/>
  <c r="I29" i="3"/>
  <c r="J29" i="3" s="1"/>
  <c r="I30" i="3"/>
  <c r="J30" i="3" s="1"/>
  <c r="I31" i="3"/>
  <c r="J31" i="3" s="1"/>
  <c r="I32" i="3"/>
  <c r="J32" i="3" s="1"/>
  <c r="I33" i="3"/>
  <c r="J33" i="3" s="1"/>
  <c r="I34" i="3"/>
  <c r="J34" i="3" s="1"/>
  <c r="I35" i="3"/>
  <c r="J35" i="3" s="1"/>
  <c r="I36" i="3"/>
  <c r="I37" i="3"/>
  <c r="I38" i="3"/>
  <c r="I39" i="3"/>
  <c r="I40" i="3"/>
  <c r="I41" i="3"/>
  <c r="I42" i="3"/>
  <c r="J42" i="3" s="1"/>
  <c r="I43" i="3"/>
  <c r="J43" i="3" s="1"/>
  <c r="I44" i="3"/>
  <c r="J44" i="3" s="1"/>
  <c r="I45" i="3"/>
  <c r="J45" i="3" s="1"/>
  <c r="I46" i="3"/>
  <c r="J46" i="3" s="1"/>
  <c r="I47" i="3"/>
  <c r="J47" i="3" s="1"/>
  <c r="I48" i="3"/>
  <c r="J48" i="3" s="1"/>
  <c r="I49" i="3"/>
  <c r="J49" i="3" s="1"/>
  <c r="I50" i="3"/>
  <c r="J50" i="3" s="1"/>
  <c r="I51" i="3"/>
  <c r="J51" i="3" s="1"/>
  <c r="I52" i="3"/>
  <c r="I53" i="3"/>
  <c r="I54" i="3"/>
  <c r="I55" i="3"/>
  <c r="I56" i="3"/>
  <c r="I57" i="3"/>
  <c r="I58" i="3"/>
  <c r="J58" i="3" s="1"/>
  <c r="I59" i="3"/>
  <c r="J59" i="3" s="1"/>
  <c r="I60" i="3"/>
  <c r="J60" i="3" s="1"/>
  <c r="I61" i="3"/>
  <c r="J61" i="3" s="1"/>
  <c r="I62" i="3"/>
  <c r="J62" i="3" s="1"/>
  <c r="I63" i="3"/>
  <c r="J63" i="3" s="1"/>
  <c r="I64" i="3"/>
  <c r="J64" i="3" s="1"/>
  <c r="I65" i="3"/>
  <c r="J65" i="3" s="1"/>
  <c r="I66" i="3"/>
  <c r="J66" i="3" s="1"/>
  <c r="I67" i="3"/>
  <c r="J67" i="3" s="1"/>
  <c r="I68" i="3"/>
  <c r="I69" i="3"/>
  <c r="I70" i="3"/>
  <c r="I71" i="3"/>
  <c r="I72" i="3"/>
  <c r="I73" i="3"/>
  <c r="I74" i="3"/>
  <c r="J74" i="3" s="1"/>
  <c r="I75" i="3"/>
  <c r="J75" i="3" s="1"/>
  <c r="I76" i="3"/>
  <c r="J76" i="3" s="1"/>
  <c r="I77" i="3"/>
  <c r="J77" i="3" s="1"/>
  <c r="I78" i="3"/>
  <c r="J78" i="3" s="1"/>
  <c r="I79" i="3"/>
  <c r="J79" i="3" s="1"/>
  <c r="I80" i="3"/>
  <c r="J80" i="3" s="1"/>
  <c r="I81" i="3"/>
  <c r="J81" i="3" s="1"/>
  <c r="I82" i="3"/>
  <c r="J82" i="3" s="1"/>
  <c r="I83" i="3"/>
  <c r="J83" i="3" s="1"/>
  <c r="I84" i="3"/>
  <c r="I85" i="3"/>
  <c r="I86" i="3"/>
  <c r="I87" i="3"/>
  <c r="I88" i="3"/>
  <c r="I89" i="3"/>
  <c r="I90" i="3"/>
  <c r="J90" i="3" s="1"/>
  <c r="I91" i="3"/>
  <c r="J91" i="3" s="1"/>
  <c r="I92" i="3"/>
  <c r="J92" i="3" s="1"/>
  <c r="I93" i="3"/>
  <c r="J93" i="3" s="1"/>
  <c r="I94" i="3"/>
  <c r="J94" i="3" s="1"/>
  <c r="I95" i="3"/>
  <c r="J95" i="3" s="1"/>
  <c r="I96" i="3"/>
  <c r="J96" i="3" s="1"/>
  <c r="I97" i="3"/>
  <c r="J97" i="3" s="1"/>
  <c r="I98" i="3"/>
  <c r="J98" i="3" s="1"/>
  <c r="I99" i="3"/>
  <c r="J99" i="3" s="1"/>
  <c r="I100" i="3"/>
  <c r="I101" i="3"/>
  <c r="I102" i="3"/>
  <c r="I103" i="3"/>
  <c r="I104" i="3"/>
  <c r="I105" i="3"/>
  <c r="I106" i="3"/>
  <c r="J106" i="3" s="1"/>
  <c r="I107" i="3"/>
  <c r="J107" i="3" s="1"/>
  <c r="I108" i="3"/>
  <c r="J108" i="3" s="1"/>
  <c r="I109" i="3"/>
  <c r="J109" i="3" s="1"/>
  <c r="I110" i="3"/>
  <c r="J110" i="3" s="1"/>
  <c r="I111" i="3"/>
  <c r="J111" i="3" s="1"/>
  <c r="I112" i="3"/>
  <c r="J112" i="3" s="1"/>
  <c r="I113" i="3"/>
  <c r="J113" i="3" s="1"/>
  <c r="I114" i="3"/>
  <c r="J114" i="3" s="1"/>
  <c r="I115" i="3"/>
  <c r="J115" i="3" s="1"/>
  <c r="I116" i="3"/>
  <c r="I117" i="3"/>
  <c r="I118" i="3"/>
  <c r="I119" i="3"/>
  <c r="I120" i="3"/>
  <c r="I121" i="3"/>
  <c r="I122" i="3"/>
  <c r="J122" i="3" s="1"/>
  <c r="I123" i="3"/>
  <c r="J123" i="3" s="1"/>
  <c r="I124" i="3"/>
  <c r="J124" i="3" s="1"/>
  <c r="I125" i="3"/>
  <c r="J125" i="3" s="1"/>
  <c r="I126" i="3"/>
  <c r="J126" i="3" s="1"/>
  <c r="I127" i="3"/>
  <c r="J127" i="3" s="1"/>
  <c r="I128" i="3"/>
  <c r="J128" i="3" s="1"/>
  <c r="I129" i="3"/>
  <c r="J129" i="3" s="1"/>
  <c r="I130" i="3"/>
  <c r="J130" i="3" s="1"/>
  <c r="I131" i="3"/>
  <c r="J131" i="3" s="1"/>
  <c r="I132" i="3"/>
  <c r="I133" i="3"/>
  <c r="I134" i="3"/>
  <c r="I135" i="3"/>
  <c r="I136" i="3"/>
  <c r="I137" i="3"/>
  <c r="I138" i="3"/>
  <c r="J138" i="3" s="1"/>
  <c r="I139" i="3"/>
  <c r="J139" i="3" s="1"/>
  <c r="I140" i="3"/>
  <c r="J140" i="3" s="1"/>
  <c r="I141" i="3"/>
  <c r="J141" i="3" s="1"/>
  <c r="I142" i="3"/>
  <c r="J142" i="3" s="1"/>
  <c r="I143" i="3"/>
  <c r="J143" i="3" s="1"/>
  <c r="I144" i="3"/>
  <c r="J144" i="3" s="1"/>
  <c r="I145" i="3"/>
  <c r="J145" i="3" s="1"/>
  <c r="I146" i="3"/>
  <c r="J146" i="3" s="1"/>
  <c r="I147" i="3"/>
  <c r="J147" i="3" s="1"/>
  <c r="I148" i="3"/>
  <c r="I149" i="3"/>
  <c r="I150" i="3"/>
  <c r="I151" i="3"/>
  <c r="I152" i="3"/>
  <c r="I153" i="3"/>
  <c r="I154" i="3"/>
  <c r="J154" i="3" s="1"/>
  <c r="I155" i="3"/>
  <c r="J155" i="3" s="1"/>
  <c r="I156" i="3"/>
  <c r="J156" i="3" s="1"/>
  <c r="I157" i="3"/>
  <c r="J157" i="3" s="1"/>
  <c r="I158" i="3"/>
  <c r="J158" i="3" s="1"/>
  <c r="I159" i="3"/>
  <c r="J159" i="3" s="1"/>
  <c r="I160" i="3"/>
  <c r="J160" i="3" s="1"/>
  <c r="I161" i="3"/>
  <c r="J161" i="3" s="1"/>
  <c r="I162" i="3"/>
  <c r="J162" i="3" s="1"/>
  <c r="I163" i="3"/>
  <c r="J163" i="3" s="1"/>
  <c r="I164" i="3"/>
  <c r="I165" i="3"/>
  <c r="I166" i="3"/>
  <c r="I167" i="3"/>
  <c r="I168" i="3"/>
  <c r="I169" i="3"/>
  <c r="I170" i="3"/>
  <c r="J170" i="3" s="1"/>
  <c r="I171" i="3"/>
  <c r="J171" i="3" s="1"/>
  <c r="I172" i="3"/>
  <c r="J172" i="3" s="1"/>
  <c r="I173" i="3"/>
  <c r="J173" i="3" s="1"/>
  <c r="I174" i="3"/>
  <c r="J174" i="3" s="1"/>
  <c r="I175" i="3"/>
  <c r="J175" i="3" s="1"/>
  <c r="I176" i="3"/>
  <c r="J176" i="3" s="1"/>
  <c r="I177" i="3"/>
  <c r="J177" i="3" s="1"/>
  <c r="I178" i="3"/>
  <c r="J178" i="3" s="1"/>
  <c r="I179" i="3"/>
  <c r="J179" i="3" s="1"/>
  <c r="I180" i="3"/>
  <c r="I181" i="3"/>
  <c r="I182" i="3"/>
  <c r="I183" i="3"/>
  <c r="I184" i="3"/>
  <c r="I185" i="3"/>
  <c r="I186" i="3"/>
  <c r="J186" i="3" s="1"/>
  <c r="I187" i="3"/>
  <c r="J187" i="3" s="1"/>
  <c r="I188" i="3"/>
  <c r="J188" i="3" s="1"/>
  <c r="I189" i="3"/>
  <c r="J189" i="3" s="1"/>
  <c r="I190" i="3"/>
  <c r="J190" i="3" s="1"/>
  <c r="I191" i="3"/>
  <c r="J191" i="3" s="1"/>
  <c r="I192" i="3"/>
  <c r="J192" i="3" s="1"/>
  <c r="I193" i="3"/>
  <c r="J193" i="3" s="1"/>
  <c r="I194" i="3"/>
  <c r="J194" i="3" s="1"/>
  <c r="I195" i="3"/>
  <c r="J195" i="3" s="1"/>
  <c r="I196" i="3"/>
  <c r="I197" i="3"/>
  <c r="I198" i="3"/>
  <c r="I199" i="3"/>
  <c r="I200" i="3"/>
  <c r="I201" i="3"/>
  <c r="I202" i="3"/>
  <c r="J202" i="3" s="1"/>
  <c r="I203" i="3"/>
  <c r="J203" i="3" s="1"/>
  <c r="I204" i="3"/>
  <c r="J204" i="3" s="1"/>
  <c r="I205" i="3"/>
  <c r="J205" i="3" s="1"/>
  <c r="I206" i="3"/>
  <c r="J206" i="3" s="1"/>
  <c r="I207" i="3"/>
  <c r="J207" i="3" s="1"/>
  <c r="I208" i="3"/>
  <c r="J208" i="3" s="1"/>
  <c r="I209" i="3"/>
  <c r="J209" i="3" s="1"/>
  <c r="I210" i="3"/>
  <c r="J210" i="3" s="1"/>
  <c r="I211" i="3"/>
  <c r="J211" i="3" s="1"/>
  <c r="I212" i="3"/>
  <c r="I213" i="3"/>
  <c r="I214" i="3"/>
  <c r="I215" i="3"/>
  <c r="I216" i="3"/>
  <c r="I217" i="3"/>
  <c r="I218" i="3"/>
  <c r="J218" i="3" s="1"/>
  <c r="I219" i="3"/>
  <c r="J219" i="3" s="1"/>
  <c r="I220" i="3"/>
  <c r="J220" i="3" s="1"/>
  <c r="I221" i="3"/>
  <c r="J221" i="3" s="1"/>
  <c r="I222" i="3"/>
  <c r="J222" i="3" s="1"/>
  <c r="I223" i="3"/>
  <c r="J223" i="3" s="1"/>
  <c r="I224" i="3"/>
  <c r="J224" i="3" s="1"/>
  <c r="I225" i="3"/>
  <c r="J225" i="3" s="1"/>
  <c r="I226" i="3"/>
  <c r="J226" i="3" s="1"/>
  <c r="I227" i="3"/>
  <c r="J227" i="3" s="1"/>
  <c r="I228" i="3"/>
  <c r="I229" i="3"/>
  <c r="I230" i="3"/>
  <c r="I231" i="3"/>
  <c r="I232" i="3"/>
  <c r="I233" i="3"/>
  <c r="I234" i="3"/>
  <c r="J234" i="3" s="1"/>
  <c r="I235" i="3"/>
  <c r="J235" i="3" s="1"/>
  <c r="I236" i="3"/>
  <c r="J236" i="3" s="1"/>
  <c r="I237" i="3"/>
  <c r="J237" i="3" s="1"/>
  <c r="I238" i="3"/>
  <c r="J238" i="3" s="1"/>
  <c r="I239" i="3"/>
  <c r="J239" i="3" s="1"/>
  <c r="I240" i="3"/>
  <c r="J240" i="3" s="1"/>
  <c r="I241" i="3"/>
  <c r="J241" i="3" s="1"/>
  <c r="I242" i="3"/>
  <c r="J242" i="3" s="1"/>
  <c r="I243" i="3"/>
  <c r="J243" i="3" s="1"/>
  <c r="I244" i="3"/>
  <c r="I245" i="3"/>
  <c r="I246" i="3"/>
  <c r="I247" i="3"/>
  <c r="I248" i="3"/>
  <c r="I249" i="3"/>
  <c r="I250" i="3"/>
  <c r="J250" i="3" s="1"/>
  <c r="I251" i="3"/>
  <c r="J251" i="3" s="1"/>
  <c r="I252" i="3"/>
  <c r="J252" i="3" s="1"/>
  <c r="I253" i="3"/>
  <c r="J253" i="3" s="1"/>
  <c r="I254" i="3"/>
  <c r="J254" i="3" s="1"/>
  <c r="I255" i="3"/>
  <c r="J255" i="3" s="1"/>
  <c r="I256" i="3"/>
  <c r="J256" i="3" s="1"/>
  <c r="I257" i="3"/>
  <c r="J257" i="3" s="1"/>
  <c r="I258" i="3"/>
  <c r="J258" i="3" s="1"/>
  <c r="I259" i="3"/>
  <c r="J259" i="3" s="1"/>
  <c r="I260" i="3"/>
  <c r="I261" i="3"/>
  <c r="I262" i="3"/>
  <c r="I263" i="3"/>
  <c r="I264" i="3"/>
  <c r="I265" i="3"/>
  <c r="I266" i="3"/>
  <c r="J266" i="3" s="1"/>
  <c r="I267" i="3"/>
  <c r="J267" i="3" s="1"/>
  <c r="I268" i="3"/>
  <c r="J268" i="3" s="1"/>
  <c r="I269" i="3"/>
  <c r="J269" i="3" s="1"/>
  <c r="I270" i="3"/>
  <c r="J270" i="3" s="1"/>
  <c r="I271" i="3"/>
  <c r="J271" i="3" s="1"/>
  <c r="I272" i="3"/>
  <c r="J272" i="3" s="1"/>
  <c r="I273" i="3"/>
  <c r="J273" i="3" s="1"/>
  <c r="I274" i="3"/>
  <c r="J274" i="3" s="1"/>
  <c r="I275" i="3"/>
  <c r="J275" i="3" s="1"/>
  <c r="I276" i="3"/>
  <c r="I277" i="3"/>
  <c r="I278" i="3"/>
  <c r="I279" i="3"/>
  <c r="I280" i="3"/>
  <c r="I281" i="3"/>
  <c r="I282" i="3"/>
  <c r="J282" i="3" s="1"/>
  <c r="I283" i="3"/>
  <c r="J283" i="3" s="1"/>
  <c r="I284" i="3"/>
  <c r="J284" i="3" s="1"/>
  <c r="I285" i="3"/>
  <c r="J285" i="3" s="1"/>
  <c r="I286" i="3"/>
  <c r="J286" i="3" s="1"/>
  <c r="I287" i="3"/>
  <c r="J287" i="3" s="1"/>
  <c r="I288" i="3"/>
  <c r="J288" i="3" s="1"/>
  <c r="I289" i="3"/>
  <c r="J289" i="3" s="1"/>
  <c r="I290" i="3"/>
  <c r="J290" i="3" s="1"/>
  <c r="I291" i="3"/>
  <c r="J291" i="3" s="1"/>
  <c r="I292" i="3"/>
  <c r="I293" i="3"/>
  <c r="I294" i="3"/>
  <c r="I295" i="3"/>
  <c r="I296" i="3"/>
  <c r="I297" i="3"/>
  <c r="I298" i="3"/>
  <c r="J298" i="3" s="1"/>
  <c r="I299" i="3"/>
  <c r="J299" i="3" s="1"/>
  <c r="I300" i="3"/>
  <c r="J300" i="3" s="1"/>
  <c r="I301" i="3"/>
  <c r="J301" i="3" s="1"/>
  <c r="I302" i="3"/>
  <c r="J302" i="3" s="1"/>
  <c r="I303" i="3"/>
  <c r="J303" i="3" s="1"/>
  <c r="I304" i="3"/>
  <c r="J304" i="3" s="1"/>
  <c r="I305" i="3"/>
  <c r="J305" i="3" s="1"/>
  <c r="I306" i="3"/>
  <c r="J306" i="3" s="1"/>
  <c r="I307" i="3"/>
  <c r="J307" i="3" s="1"/>
  <c r="I308" i="3"/>
  <c r="I309" i="3"/>
  <c r="I310" i="3"/>
  <c r="I311" i="3"/>
  <c r="I312" i="3"/>
  <c r="I313" i="3"/>
  <c r="I314" i="3"/>
  <c r="J314" i="3" s="1"/>
  <c r="I315" i="3"/>
  <c r="J315" i="3" s="1"/>
  <c r="I316" i="3"/>
  <c r="J316" i="3" s="1"/>
  <c r="I317" i="3"/>
  <c r="J317" i="3" s="1"/>
  <c r="I318" i="3"/>
  <c r="J318" i="3" s="1"/>
  <c r="I319" i="3"/>
  <c r="J319" i="3" s="1"/>
  <c r="I320" i="3"/>
  <c r="J320" i="3" s="1"/>
  <c r="I321" i="3"/>
  <c r="J321" i="3" s="1"/>
  <c r="I322" i="3"/>
  <c r="J322" i="3" s="1"/>
  <c r="I323" i="3"/>
  <c r="J323" i="3" s="1"/>
  <c r="I324" i="3"/>
  <c r="I325" i="3"/>
  <c r="I326" i="3"/>
  <c r="I327" i="3"/>
  <c r="I328" i="3"/>
  <c r="I329" i="3"/>
  <c r="I330" i="3"/>
  <c r="J330" i="3" s="1"/>
  <c r="I331" i="3"/>
  <c r="J331" i="3" s="1"/>
  <c r="I332" i="3"/>
  <c r="J332" i="3" s="1"/>
  <c r="I333" i="3"/>
  <c r="J333" i="3" s="1"/>
  <c r="I334" i="3"/>
  <c r="J334" i="3" s="1"/>
  <c r="I335" i="3"/>
  <c r="J335" i="3" s="1"/>
  <c r="I336" i="3"/>
  <c r="J336" i="3" s="1"/>
  <c r="I337" i="3"/>
  <c r="J337" i="3" s="1"/>
  <c r="I338" i="3"/>
  <c r="J338" i="3" s="1"/>
  <c r="I339" i="3"/>
  <c r="J339" i="3" s="1"/>
  <c r="I340" i="3"/>
  <c r="I341" i="3"/>
  <c r="I342" i="3"/>
  <c r="I343" i="3"/>
  <c r="I344" i="3"/>
  <c r="I345" i="3"/>
  <c r="I346" i="3"/>
  <c r="J346" i="3" s="1"/>
  <c r="I347" i="3"/>
  <c r="J347" i="3" s="1"/>
  <c r="I348" i="3"/>
  <c r="J348" i="3" s="1"/>
  <c r="I349" i="3"/>
  <c r="J349" i="3" s="1"/>
  <c r="I350" i="3"/>
  <c r="J350" i="3" s="1"/>
  <c r="I351" i="3"/>
  <c r="J351" i="3" s="1"/>
  <c r="I352" i="3"/>
  <c r="J352" i="3" s="1"/>
  <c r="I353" i="3"/>
  <c r="J353" i="3" s="1"/>
  <c r="I354" i="3"/>
  <c r="J354" i="3" s="1"/>
  <c r="I355" i="3"/>
  <c r="J355" i="3" s="1"/>
  <c r="I356" i="3"/>
  <c r="I357" i="3"/>
  <c r="I358" i="3"/>
  <c r="I359" i="3"/>
  <c r="I360" i="3"/>
  <c r="I361" i="3"/>
  <c r="I362" i="3"/>
  <c r="J362" i="3" s="1"/>
  <c r="I363" i="3"/>
  <c r="J363" i="3" s="1"/>
  <c r="I364" i="3"/>
  <c r="J364" i="3" s="1"/>
  <c r="I365" i="3"/>
  <c r="J365" i="3" s="1"/>
  <c r="I366" i="3"/>
  <c r="J366" i="3" s="1"/>
  <c r="I367" i="3"/>
  <c r="J367" i="3" s="1"/>
  <c r="I368" i="3"/>
  <c r="J368" i="3" s="1"/>
  <c r="I369" i="3"/>
  <c r="J369" i="3" s="1"/>
  <c r="I370" i="3"/>
  <c r="J370" i="3" s="1"/>
  <c r="I371" i="3"/>
  <c r="J371" i="3" s="1"/>
  <c r="I372" i="3"/>
  <c r="I373" i="3"/>
  <c r="I374" i="3"/>
  <c r="I375" i="3"/>
  <c r="I376" i="3"/>
  <c r="I377" i="3"/>
  <c r="I378" i="3"/>
  <c r="J378" i="3" s="1"/>
  <c r="I379" i="3"/>
  <c r="J379" i="3" s="1"/>
  <c r="I380" i="3"/>
  <c r="J380" i="3" s="1"/>
  <c r="I381" i="3"/>
  <c r="J381" i="3" s="1"/>
  <c r="I382" i="3"/>
  <c r="J382" i="3" s="1"/>
  <c r="I383" i="3"/>
  <c r="J383" i="3" s="1"/>
  <c r="I384" i="3"/>
  <c r="J384" i="3" s="1"/>
  <c r="I385" i="3"/>
  <c r="J385" i="3" s="1"/>
  <c r="I386" i="3"/>
  <c r="J386" i="3" s="1"/>
  <c r="I387" i="3"/>
  <c r="J387" i="3" s="1"/>
  <c r="I388" i="3"/>
  <c r="I389" i="3"/>
  <c r="I390" i="3"/>
  <c r="I391" i="3"/>
  <c r="I392" i="3"/>
  <c r="I393" i="3"/>
  <c r="I394" i="3"/>
  <c r="J394" i="3" s="1"/>
  <c r="I395" i="3"/>
  <c r="J395" i="3" s="1"/>
  <c r="I396" i="3"/>
  <c r="J396" i="3" s="1"/>
  <c r="I397" i="3"/>
  <c r="J397" i="3" s="1"/>
  <c r="I398" i="3"/>
  <c r="J398" i="3" s="1"/>
  <c r="I399" i="3"/>
  <c r="J399" i="3" s="1"/>
  <c r="I400" i="3"/>
  <c r="J400" i="3" s="1"/>
  <c r="I401" i="3"/>
  <c r="J401" i="3" s="1"/>
  <c r="I402" i="3"/>
  <c r="J402" i="3" s="1"/>
  <c r="I403" i="3"/>
  <c r="J403" i="3" s="1"/>
  <c r="I404" i="3"/>
  <c r="I405" i="3"/>
  <c r="I406" i="3"/>
  <c r="I407" i="3"/>
  <c r="I408" i="3"/>
  <c r="I409" i="3"/>
  <c r="I410" i="3"/>
  <c r="J410" i="3" s="1"/>
  <c r="I411" i="3"/>
  <c r="J411" i="3" s="1"/>
  <c r="I412" i="3"/>
  <c r="J412" i="3" s="1"/>
  <c r="I413" i="3"/>
  <c r="J413" i="3" s="1"/>
  <c r="I414" i="3"/>
  <c r="J414" i="3" s="1"/>
  <c r="I415" i="3"/>
  <c r="J415" i="3" s="1"/>
  <c r="I416" i="3"/>
  <c r="J416" i="3" s="1"/>
  <c r="I417" i="3"/>
  <c r="J417" i="3" s="1"/>
  <c r="I418" i="3"/>
  <c r="J418" i="3" s="1"/>
  <c r="I419" i="3"/>
  <c r="J419" i="3" s="1"/>
  <c r="I420" i="3"/>
  <c r="I421" i="3"/>
  <c r="I422" i="3"/>
  <c r="I423" i="3"/>
  <c r="I424" i="3"/>
  <c r="I425" i="3"/>
  <c r="I426" i="3"/>
  <c r="J426" i="3" s="1"/>
  <c r="I427" i="3"/>
  <c r="J427" i="3" s="1"/>
  <c r="I428" i="3"/>
  <c r="J428" i="3" s="1"/>
  <c r="I429" i="3"/>
  <c r="J429" i="3" s="1"/>
  <c r="I430" i="3"/>
  <c r="J430" i="3" s="1"/>
  <c r="I431" i="3"/>
  <c r="J431" i="3" s="1"/>
  <c r="I432" i="3"/>
  <c r="J432" i="3" s="1"/>
  <c r="I433" i="3"/>
  <c r="J433" i="3" s="1"/>
  <c r="I434" i="3"/>
  <c r="J434" i="3" s="1"/>
  <c r="I435" i="3"/>
  <c r="J435" i="3" s="1"/>
  <c r="I436" i="3"/>
  <c r="I437" i="3"/>
  <c r="I438" i="3"/>
  <c r="I439" i="3"/>
  <c r="I440" i="3"/>
  <c r="I441" i="3"/>
  <c r="I442" i="3"/>
  <c r="J442" i="3" s="1"/>
  <c r="I443" i="3"/>
  <c r="J443" i="3" s="1"/>
  <c r="I444" i="3"/>
  <c r="J444" i="3" s="1"/>
  <c r="I445" i="3"/>
  <c r="J445" i="3" s="1"/>
  <c r="I446" i="3"/>
  <c r="J446" i="3" s="1"/>
  <c r="I447" i="3"/>
  <c r="J447" i="3" s="1"/>
  <c r="I448" i="3"/>
  <c r="J448" i="3" s="1"/>
  <c r="I449" i="3"/>
  <c r="J449" i="3" s="1"/>
  <c r="I450" i="3"/>
  <c r="J450" i="3" s="1"/>
  <c r="I451" i="3"/>
  <c r="J451" i="3" s="1"/>
  <c r="I452" i="3"/>
  <c r="I453" i="3"/>
  <c r="I454" i="3"/>
  <c r="I455" i="3"/>
  <c r="I456" i="3"/>
  <c r="I457" i="3"/>
  <c r="I458" i="3"/>
  <c r="J458" i="3" s="1"/>
  <c r="I459" i="3"/>
  <c r="J459" i="3" s="1"/>
  <c r="I460" i="3"/>
  <c r="J460" i="3" s="1"/>
  <c r="I461" i="3"/>
  <c r="J461" i="3" s="1"/>
  <c r="I462" i="3"/>
  <c r="J462" i="3" s="1"/>
  <c r="I463" i="3"/>
  <c r="J463" i="3" s="1"/>
  <c r="I464" i="3"/>
  <c r="J464" i="3" s="1"/>
  <c r="I465" i="3"/>
  <c r="J465" i="3" s="1"/>
  <c r="I466" i="3"/>
  <c r="J466" i="3" s="1"/>
  <c r="I467" i="3"/>
  <c r="J467" i="3" s="1"/>
  <c r="I468" i="3"/>
  <c r="I469" i="3"/>
  <c r="I470" i="3"/>
  <c r="I471" i="3"/>
  <c r="I472" i="3"/>
  <c r="I473" i="3"/>
  <c r="I474" i="3"/>
  <c r="J474" i="3" s="1"/>
  <c r="I475" i="3"/>
  <c r="J475" i="3" s="1"/>
  <c r="I476" i="3"/>
  <c r="J476" i="3" s="1"/>
  <c r="I477" i="3"/>
  <c r="J477" i="3" s="1"/>
  <c r="I478" i="3"/>
  <c r="J478" i="3" s="1"/>
  <c r="I479" i="3"/>
  <c r="J479" i="3" s="1"/>
  <c r="I480" i="3"/>
  <c r="J480" i="3" s="1"/>
  <c r="I481" i="3"/>
  <c r="J481" i="3" s="1"/>
  <c r="I482" i="3"/>
  <c r="J482" i="3" s="1"/>
  <c r="I483" i="3"/>
  <c r="J483" i="3" s="1"/>
  <c r="I484" i="3"/>
  <c r="I485" i="3"/>
  <c r="I486" i="3"/>
  <c r="I487" i="3"/>
  <c r="I488" i="3"/>
  <c r="I489" i="3"/>
  <c r="I490" i="3"/>
  <c r="J490" i="3" s="1"/>
  <c r="I491" i="3"/>
  <c r="J491" i="3" s="1"/>
  <c r="I492" i="3"/>
  <c r="J492" i="3" s="1"/>
  <c r="I493" i="3"/>
  <c r="J493" i="3" s="1"/>
  <c r="I494" i="3"/>
  <c r="J494" i="3" s="1"/>
  <c r="I495" i="3"/>
  <c r="J495" i="3" s="1"/>
  <c r="I496" i="3"/>
  <c r="J496" i="3" s="1"/>
  <c r="I497" i="3"/>
  <c r="J497" i="3" s="1"/>
  <c r="I498" i="3"/>
  <c r="J498" i="3" s="1"/>
  <c r="I499" i="3"/>
  <c r="J499" i="3" s="1"/>
  <c r="I500" i="3"/>
  <c r="I501" i="3"/>
  <c r="I502" i="3"/>
  <c r="I503" i="3"/>
  <c r="I504" i="3"/>
  <c r="I505" i="3"/>
  <c r="I506" i="3"/>
  <c r="J506" i="3" s="1"/>
  <c r="I507" i="3"/>
  <c r="J507" i="3" s="1"/>
  <c r="I508" i="3"/>
  <c r="J508" i="3" s="1"/>
  <c r="I509" i="3"/>
  <c r="J509" i="3" s="1"/>
  <c r="I510" i="3"/>
  <c r="J510" i="3" s="1"/>
  <c r="I511" i="3"/>
  <c r="J511" i="3" s="1"/>
  <c r="I512" i="3"/>
  <c r="J512" i="3" s="1"/>
  <c r="I513" i="3"/>
  <c r="J513" i="3" s="1"/>
  <c r="I514" i="3"/>
  <c r="J514" i="3" s="1"/>
  <c r="I515" i="3"/>
  <c r="J515" i="3" s="1"/>
  <c r="I516" i="3"/>
  <c r="I517" i="3"/>
  <c r="I518" i="3"/>
  <c r="I519" i="3"/>
  <c r="I520" i="3"/>
  <c r="I521" i="3"/>
  <c r="I522" i="3"/>
  <c r="J522" i="3" s="1"/>
  <c r="I523" i="3"/>
  <c r="J523" i="3" s="1"/>
  <c r="I524" i="3"/>
  <c r="J524" i="3" s="1"/>
  <c r="I525" i="3"/>
  <c r="J525" i="3" s="1"/>
  <c r="I526" i="3"/>
  <c r="J526" i="3" s="1"/>
  <c r="I527" i="3"/>
  <c r="J527" i="3" s="1"/>
  <c r="I528" i="3"/>
  <c r="J528" i="3" s="1"/>
  <c r="I529" i="3"/>
  <c r="J529" i="3" s="1"/>
  <c r="I530" i="3"/>
  <c r="J530" i="3" s="1"/>
  <c r="I531" i="3"/>
  <c r="J531" i="3" s="1"/>
  <c r="I532" i="3"/>
  <c r="I533" i="3"/>
  <c r="I534" i="3"/>
  <c r="I535" i="3"/>
  <c r="I536" i="3"/>
  <c r="I537" i="3"/>
  <c r="I538" i="3"/>
  <c r="J538" i="3" s="1"/>
  <c r="I539" i="3"/>
  <c r="J539" i="3" s="1"/>
  <c r="I540" i="3"/>
  <c r="J540" i="3" s="1"/>
  <c r="I541" i="3"/>
  <c r="J541" i="3" s="1"/>
  <c r="I542" i="3"/>
  <c r="J542" i="3" s="1"/>
  <c r="I543" i="3"/>
  <c r="J543" i="3" s="1"/>
  <c r="I544" i="3"/>
  <c r="J544" i="3" s="1"/>
  <c r="I545" i="3"/>
  <c r="J545" i="3" s="1"/>
  <c r="I546" i="3"/>
  <c r="J546" i="3" s="1"/>
  <c r="I547" i="3"/>
  <c r="J547" i="3" s="1"/>
  <c r="I548" i="3"/>
  <c r="I549" i="3"/>
  <c r="I550" i="3"/>
  <c r="I551" i="3"/>
  <c r="I552" i="3"/>
  <c r="I553" i="3"/>
  <c r="I554" i="3"/>
  <c r="J554" i="3" s="1"/>
  <c r="I555" i="3"/>
  <c r="J555" i="3" s="1"/>
  <c r="I556" i="3"/>
  <c r="J556" i="3" s="1"/>
  <c r="I557" i="3"/>
  <c r="J557" i="3" s="1"/>
  <c r="I558" i="3"/>
  <c r="J558" i="3" s="1"/>
  <c r="I559" i="3"/>
  <c r="J559" i="3" s="1"/>
  <c r="I560" i="3"/>
  <c r="J560" i="3" s="1"/>
  <c r="I561" i="3"/>
  <c r="J561" i="3" s="1"/>
  <c r="I562" i="3"/>
  <c r="J562" i="3" s="1"/>
  <c r="I563" i="3"/>
  <c r="J563" i="3" s="1"/>
  <c r="I564" i="3"/>
  <c r="I565" i="3"/>
  <c r="I566" i="3"/>
  <c r="I567" i="3"/>
  <c r="I568" i="3"/>
  <c r="I569" i="3"/>
  <c r="I570" i="3"/>
  <c r="J570" i="3" s="1"/>
  <c r="I571" i="3"/>
  <c r="J571" i="3" s="1"/>
  <c r="I572" i="3"/>
  <c r="J572" i="3" s="1"/>
  <c r="I573" i="3"/>
  <c r="J573" i="3" s="1"/>
  <c r="I574" i="3"/>
  <c r="J574" i="3" s="1"/>
  <c r="I575" i="3"/>
  <c r="J575" i="3" s="1"/>
  <c r="I576" i="3"/>
  <c r="J576" i="3" s="1"/>
  <c r="I577" i="3"/>
  <c r="J577" i="3" s="1"/>
  <c r="I578" i="3"/>
  <c r="J578" i="3" s="1"/>
  <c r="I579" i="3"/>
  <c r="J579" i="3" s="1"/>
  <c r="I580" i="3"/>
  <c r="I581" i="3"/>
  <c r="I582" i="3"/>
  <c r="I583" i="3"/>
  <c r="I584" i="3"/>
  <c r="I585" i="3"/>
  <c r="I586" i="3"/>
  <c r="J586" i="3" s="1"/>
  <c r="I587" i="3"/>
  <c r="J587" i="3" s="1"/>
  <c r="I588" i="3"/>
  <c r="J588" i="3" s="1"/>
  <c r="I589" i="3"/>
  <c r="J589" i="3" s="1"/>
  <c r="I590" i="3"/>
  <c r="J590" i="3" s="1"/>
  <c r="I591" i="3"/>
  <c r="J591" i="3" s="1"/>
  <c r="I592" i="3"/>
  <c r="J592" i="3" s="1"/>
  <c r="I593" i="3"/>
  <c r="J593" i="3" s="1"/>
  <c r="I594" i="3"/>
  <c r="J594" i="3" s="1"/>
  <c r="I595" i="3"/>
  <c r="J595" i="3" s="1"/>
  <c r="I596" i="3"/>
  <c r="I597" i="3"/>
  <c r="I598" i="3"/>
  <c r="I599" i="3"/>
  <c r="I600" i="3"/>
  <c r="I601" i="3"/>
  <c r="I602" i="3"/>
  <c r="J602" i="3" s="1"/>
  <c r="I603" i="3"/>
  <c r="J603" i="3" s="1"/>
  <c r="I604" i="3"/>
  <c r="J604" i="3" s="1"/>
  <c r="I605" i="3"/>
  <c r="J605" i="3" s="1"/>
  <c r="I606" i="3"/>
  <c r="J606" i="3" s="1"/>
  <c r="I607" i="3"/>
  <c r="J607" i="3" s="1"/>
  <c r="I608" i="3"/>
  <c r="J608" i="3" s="1"/>
  <c r="I609" i="3"/>
  <c r="J609" i="3" s="1"/>
  <c r="I610" i="3"/>
  <c r="J610" i="3" s="1"/>
  <c r="I611" i="3"/>
  <c r="J611" i="3" s="1"/>
  <c r="I612" i="3"/>
  <c r="I613" i="3"/>
  <c r="I614" i="3"/>
  <c r="I615" i="3"/>
  <c r="I616" i="3"/>
  <c r="I617" i="3"/>
  <c r="I618" i="3"/>
  <c r="J618" i="3" s="1"/>
  <c r="I619" i="3"/>
  <c r="J619" i="3" s="1"/>
  <c r="I620" i="3"/>
  <c r="J620" i="3" s="1"/>
  <c r="I621" i="3"/>
  <c r="J621" i="3" s="1"/>
  <c r="I622" i="3"/>
  <c r="J622" i="3" s="1"/>
  <c r="I623" i="3"/>
  <c r="J623" i="3" s="1"/>
  <c r="I624" i="3"/>
  <c r="J624" i="3" s="1"/>
  <c r="I625" i="3"/>
  <c r="J625" i="3" s="1"/>
  <c r="I626" i="3"/>
  <c r="J626" i="3" s="1"/>
  <c r="I627" i="3"/>
  <c r="J627" i="3" s="1"/>
  <c r="I628" i="3"/>
  <c r="I629" i="3"/>
  <c r="I630" i="3"/>
  <c r="I631" i="3"/>
  <c r="I632" i="3"/>
  <c r="I633" i="3"/>
  <c r="I634" i="3"/>
  <c r="J634" i="3" s="1"/>
  <c r="I635" i="3"/>
  <c r="J635" i="3" s="1"/>
  <c r="I636" i="3"/>
  <c r="J636" i="3" s="1"/>
  <c r="I637" i="3"/>
  <c r="J637" i="3" s="1"/>
  <c r="I638" i="3"/>
  <c r="J638" i="3" s="1"/>
  <c r="I639" i="3"/>
  <c r="J639" i="3" s="1"/>
  <c r="I640" i="3"/>
  <c r="J640" i="3" s="1"/>
  <c r="I641" i="3"/>
  <c r="J641" i="3" s="1"/>
  <c r="I642" i="3"/>
  <c r="J642" i="3" s="1"/>
  <c r="I643" i="3"/>
  <c r="J643" i="3" s="1"/>
  <c r="I644" i="3"/>
  <c r="I645" i="3"/>
  <c r="I646" i="3"/>
  <c r="I647" i="3"/>
  <c r="I648" i="3"/>
  <c r="I649" i="3"/>
  <c r="I650" i="3"/>
  <c r="J650" i="3" s="1"/>
  <c r="I651" i="3"/>
  <c r="J651" i="3" s="1"/>
  <c r="I652" i="3"/>
  <c r="J652" i="3" s="1"/>
  <c r="I653" i="3"/>
  <c r="J653" i="3" s="1"/>
  <c r="I654" i="3"/>
  <c r="J654" i="3" s="1"/>
  <c r="I655" i="3"/>
  <c r="J655" i="3" s="1"/>
  <c r="I656" i="3"/>
  <c r="J656" i="3" s="1"/>
  <c r="I657" i="3"/>
  <c r="J657" i="3" s="1"/>
  <c r="I658" i="3"/>
  <c r="J658" i="3" s="1"/>
  <c r="I659" i="3"/>
  <c r="J659" i="3" s="1"/>
  <c r="I660" i="3"/>
  <c r="I661" i="3"/>
  <c r="I662" i="3"/>
  <c r="I663" i="3"/>
  <c r="I664" i="3"/>
  <c r="I665" i="3"/>
  <c r="I666" i="3"/>
  <c r="J666" i="3" s="1"/>
  <c r="I667" i="3"/>
  <c r="J667" i="3" s="1"/>
  <c r="I668" i="3"/>
  <c r="J668" i="3" s="1"/>
  <c r="I669" i="3"/>
  <c r="J669" i="3" s="1"/>
  <c r="I670" i="3"/>
  <c r="J670" i="3" s="1"/>
  <c r="I671" i="3"/>
  <c r="J671" i="3" s="1"/>
  <c r="I672" i="3"/>
  <c r="J672" i="3" s="1"/>
  <c r="I673" i="3"/>
  <c r="J673" i="3" s="1"/>
  <c r="I674" i="3"/>
  <c r="J674" i="3" s="1"/>
  <c r="I675" i="3"/>
  <c r="J675" i="3" s="1"/>
  <c r="I676" i="3"/>
  <c r="I677" i="3"/>
  <c r="I678" i="3"/>
  <c r="I679" i="3"/>
  <c r="I680" i="3"/>
  <c r="I681" i="3"/>
  <c r="I682" i="3"/>
  <c r="J682" i="3" s="1"/>
  <c r="I683" i="3"/>
  <c r="J683" i="3" s="1"/>
  <c r="I684" i="3"/>
  <c r="J684" i="3" s="1"/>
  <c r="I685" i="3"/>
  <c r="J685" i="3" s="1"/>
  <c r="I686" i="3"/>
  <c r="J686" i="3" s="1"/>
  <c r="I687" i="3"/>
  <c r="J687" i="3" s="1"/>
  <c r="I688" i="3"/>
  <c r="J688" i="3" s="1"/>
  <c r="I689" i="3"/>
  <c r="J689" i="3" s="1"/>
  <c r="I690" i="3"/>
  <c r="J690" i="3" s="1"/>
  <c r="I691" i="3"/>
  <c r="J691" i="3" s="1"/>
  <c r="I692" i="3"/>
  <c r="I693" i="3"/>
  <c r="I694" i="3"/>
  <c r="I695" i="3"/>
  <c r="I696" i="3"/>
  <c r="I697" i="3"/>
  <c r="I698" i="3"/>
  <c r="J698" i="3" s="1"/>
  <c r="I699" i="3"/>
  <c r="J699" i="3" s="1"/>
  <c r="I700" i="3"/>
  <c r="J700" i="3" s="1"/>
  <c r="I701" i="3"/>
  <c r="J701" i="3" s="1"/>
  <c r="I702" i="3"/>
  <c r="J702" i="3" s="1"/>
  <c r="I703" i="3"/>
  <c r="J703" i="3" s="1"/>
  <c r="I704" i="3"/>
  <c r="J704" i="3" s="1"/>
  <c r="I705" i="3"/>
  <c r="J705" i="3" s="1"/>
  <c r="I706" i="3"/>
  <c r="J706" i="3" s="1"/>
  <c r="I707" i="3"/>
  <c r="J707" i="3" s="1"/>
  <c r="I708" i="3"/>
  <c r="I709" i="3"/>
  <c r="I710" i="3"/>
  <c r="I711" i="3"/>
  <c r="I712" i="3"/>
  <c r="I713" i="3"/>
  <c r="I714" i="3"/>
  <c r="J714" i="3" s="1"/>
  <c r="I715" i="3"/>
  <c r="J715" i="3" s="1"/>
  <c r="I716" i="3"/>
  <c r="J716" i="3" s="1"/>
  <c r="I717" i="3"/>
  <c r="J717" i="3" s="1"/>
  <c r="I718" i="3"/>
  <c r="J718" i="3" s="1"/>
  <c r="I719" i="3"/>
  <c r="J719" i="3" s="1"/>
  <c r="I720" i="3"/>
  <c r="J720" i="3" s="1"/>
  <c r="I721" i="3"/>
  <c r="J721" i="3" s="1"/>
  <c r="I722" i="3"/>
  <c r="J722" i="3" s="1"/>
  <c r="I723" i="3"/>
  <c r="J723" i="3" s="1"/>
  <c r="I724" i="3"/>
  <c r="I725" i="3"/>
  <c r="I726" i="3"/>
  <c r="I727" i="3"/>
  <c r="I728" i="3"/>
  <c r="I729" i="3"/>
  <c r="I730" i="3"/>
  <c r="J730" i="3" s="1"/>
  <c r="I731" i="3"/>
  <c r="J731" i="3" s="1"/>
  <c r="I732" i="3"/>
  <c r="J732" i="3" s="1"/>
  <c r="I733" i="3"/>
  <c r="J733" i="3" s="1"/>
  <c r="I734" i="3"/>
  <c r="J734" i="3" s="1"/>
  <c r="I735" i="3"/>
  <c r="J735" i="3" s="1"/>
  <c r="I736" i="3"/>
  <c r="J736" i="3" s="1"/>
  <c r="I737" i="3"/>
  <c r="J737" i="3" s="1"/>
  <c r="I738" i="3"/>
  <c r="J738" i="3" s="1"/>
  <c r="I739" i="3"/>
  <c r="J739" i="3" s="1"/>
  <c r="I740" i="3"/>
  <c r="I741" i="3"/>
  <c r="I742" i="3"/>
  <c r="I743" i="3"/>
  <c r="I744" i="3"/>
  <c r="I745" i="3"/>
  <c r="I746" i="3"/>
  <c r="J746" i="3" s="1"/>
  <c r="I747" i="3"/>
  <c r="J747" i="3" s="1"/>
  <c r="I748" i="3"/>
  <c r="J748" i="3" s="1"/>
  <c r="I749" i="3"/>
  <c r="J749" i="3" s="1"/>
  <c r="I750" i="3"/>
  <c r="J750" i="3" s="1"/>
  <c r="I751" i="3"/>
  <c r="J751" i="3" s="1"/>
  <c r="I752" i="3"/>
  <c r="J752" i="3" s="1"/>
  <c r="I753" i="3"/>
  <c r="J753" i="3" s="1"/>
  <c r="I754" i="3"/>
  <c r="J754" i="3" s="1"/>
  <c r="I755" i="3"/>
  <c r="J755" i="3" s="1"/>
  <c r="I756" i="3"/>
  <c r="I757" i="3"/>
  <c r="I758" i="3"/>
  <c r="I759" i="3"/>
  <c r="I760" i="3"/>
  <c r="I761" i="3"/>
  <c r="I762" i="3"/>
  <c r="J762" i="3" s="1"/>
  <c r="I763" i="3"/>
  <c r="J763" i="3" s="1"/>
  <c r="I764" i="3"/>
  <c r="J764" i="3" s="1"/>
  <c r="I765" i="3"/>
  <c r="J765" i="3" s="1"/>
  <c r="I766" i="3"/>
  <c r="J766" i="3" s="1"/>
  <c r="I767" i="3"/>
  <c r="J767" i="3" s="1"/>
  <c r="I768" i="3"/>
  <c r="J768" i="3" s="1"/>
  <c r="I769" i="3"/>
  <c r="J769" i="3" s="1"/>
  <c r="I770" i="3"/>
  <c r="J770" i="3" s="1"/>
  <c r="I771" i="3"/>
  <c r="J771" i="3" s="1"/>
  <c r="I772" i="3"/>
  <c r="I773" i="3"/>
  <c r="I774" i="3"/>
  <c r="I775" i="3"/>
  <c r="I776" i="3"/>
  <c r="I777" i="3"/>
  <c r="I778" i="3"/>
  <c r="J778" i="3" s="1"/>
  <c r="I779" i="3"/>
  <c r="J779" i="3" s="1"/>
  <c r="I780" i="3"/>
  <c r="J780" i="3" s="1"/>
  <c r="I781" i="3"/>
  <c r="J781" i="3" s="1"/>
  <c r="I782" i="3"/>
  <c r="J782" i="3" s="1"/>
  <c r="I783" i="3"/>
  <c r="J783" i="3" s="1"/>
  <c r="I784" i="3"/>
  <c r="J784" i="3" s="1"/>
  <c r="I785" i="3"/>
  <c r="J785" i="3" s="1"/>
  <c r="I786" i="3"/>
  <c r="J786" i="3" s="1"/>
  <c r="I787" i="3"/>
  <c r="J787" i="3" s="1"/>
  <c r="I788" i="3"/>
  <c r="I789" i="3"/>
  <c r="I790" i="3"/>
  <c r="I791" i="3"/>
  <c r="I792" i="3"/>
  <c r="I793" i="3"/>
  <c r="I794" i="3"/>
  <c r="J794" i="3" s="1"/>
  <c r="I795" i="3"/>
  <c r="J795" i="3" s="1"/>
  <c r="I796" i="3"/>
  <c r="J796" i="3" s="1"/>
  <c r="I797" i="3"/>
  <c r="J797" i="3" s="1"/>
  <c r="I798" i="3"/>
  <c r="J798" i="3" s="1"/>
  <c r="I799" i="3"/>
  <c r="J799" i="3" s="1"/>
  <c r="I800" i="3"/>
  <c r="J800" i="3" s="1"/>
  <c r="I801" i="3"/>
  <c r="J801" i="3" s="1"/>
  <c r="I802" i="3"/>
  <c r="J802" i="3" s="1"/>
  <c r="I803" i="3"/>
  <c r="J803" i="3" s="1"/>
  <c r="I804" i="3"/>
  <c r="I805" i="3"/>
  <c r="I806" i="3"/>
  <c r="I807" i="3"/>
  <c r="I808" i="3"/>
  <c r="I809" i="3"/>
  <c r="I810" i="3"/>
  <c r="J810" i="3" s="1"/>
  <c r="I811" i="3"/>
  <c r="J811" i="3" s="1"/>
  <c r="I812" i="3"/>
  <c r="J812" i="3" s="1"/>
  <c r="I813" i="3"/>
  <c r="J813" i="3" s="1"/>
  <c r="I814" i="3"/>
  <c r="J814" i="3" s="1"/>
  <c r="I815" i="3"/>
  <c r="J815" i="3" s="1"/>
  <c r="I816" i="3"/>
  <c r="J816" i="3" s="1"/>
  <c r="I817" i="3"/>
  <c r="J817" i="3" s="1"/>
  <c r="I818" i="3"/>
  <c r="J818" i="3" s="1"/>
  <c r="I819" i="3"/>
  <c r="J819" i="3" s="1"/>
  <c r="I820" i="3"/>
  <c r="I821" i="3"/>
  <c r="I822" i="3"/>
  <c r="I823" i="3"/>
  <c r="I824" i="3"/>
  <c r="I825" i="3"/>
  <c r="I826" i="3"/>
  <c r="J826" i="3" s="1"/>
  <c r="I827" i="3"/>
  <c r="J827" i="3" s="1"/>
  <c r="I828" i="3"/>
  <c r="J828" i="3" s="1"/>
  <c r="I829" i="3"/>
  <c r="J829" i="3" s="1"/>
  <c r="I830" i="3"/>
  <c r="J830" i="3" s="1"/>
  <c r="I831" i="3"/>
  <c r="J831" i="3" s="1"/>
  <c r="I832" i="3"/>
  <c r="J832" i="3" s="1"/>
  <c r="I833" i="3"/>
  <c r="J833" i="3" s="1"/>
  <c r="I834" i="3"/>
  <c r="J834" i="3" s="1"/>
  <c r="I835" i="3"/>
  <c r="J835" i="3" s="1"/>
  <c r="I836" i="3"/>
  <c r="I837" i="3"/>
  <c r="I838" i="3"/>
  <c r="I839" i="3"/>
  <c r="I840" i="3"/>
  <c r="I841" i="3"/>
  <c r="I842" i="3"/>
  <c r="J842" i="3" s="1"/>
  <c r="I843" i="3"/>
  <c r="J843" i="3" s="1"/>
  <c r="I844" i="3"/>
  <c r="J844" i="3" s="1"/>
  <c r="I845" i="3"/>
  <c r="J845" i="3" s="1"/>
  <c r="I846" i="3"/>
  <c r="J846" i="3" s="1"/>
  <c r="I847" i="3"/>
  <c r="J847" i="3" s="1"/>
  <c r="I848" i="3"/>
  <c r="J848" i="3" s="1"/>
  <c r="I849" i="3"/>
  <c r="J849" i="3" s="1"/>
  <c r="I850" i="3"/>
  <c r="J850" i="3" s="1"/>
  <c r="I851" i="3"/>
  <c r="J851" i="3" s="1"/>
  <c r="I852" i="3"/>
  <c r="I853" i="3"/>
  <c r="I854" i="3"/>
  <c r="I855" i="3"/>
  <c r="I856" i="3"/>
  <c r="I857" i="3"/>
  <c r="I858" i="3"/>
  <c r="J858" i="3" s="1"/>
  <c r="I859" i="3"/>
  <c r="J859" i="3" s="1"/>
  <c r="I860" i="3"/>
  <c r="J860" i="3" s="1"/>
  <c r="I861" i="3"/>
  <c r="J861" i="3" s="1"/>
  <c r="I862" i="3"/>
  <c r="J862" i="3" s="1"/>
  <c r="I863" i="3"/>
  <c r="J863" i="3" s="1"/>
  <c r="I864" i="3"/>
  <c r="J864" i="3" s="1"/>
  <c r="I865" i="3"/>
  <c r="J865" i="3" s="1"/>
  <c r="I866" i="3"/>
  <c r="J866" i="3" s="1"/>
  <c r="I867" i="3"/>
  <c r="J867" i="3" s="1"/>
  <c r="I868" i="3"/>
  <c r="I869" i="3"/>
  <c r="I870" i="3"/>
  <c r="I871" i="3"/>
  <c r="I872" i="3"/>
  <c r="I873" i="3"/>
  <c r="I874" i="3"/>
  <c r="J874" i="3" s="1"/>
  <c r="I875" i="3"/>
  <c r="J875" i="3" s="1"/>
  <c r="I876" i="3"/>
  <c r="J876" i="3" s="1"/>
  <c r="I877" i="3"/>
  <c r="J877" i="3" s="1"/>
  <c r="I878" i="3"/>
  <c r="J878" i="3" s="1"/>
  <c r="I879" i="3"/>
  <c r="J879" i="3" s="1"/>
  <c r="I880" i="3"/>
  <c r="J880" i="3" s="1"/>
  <c r="I881" i="3"/>
  <c r="J881" i="3" s="1"/>
  <c r="I882" i="3"/>
  <c r="J882" i="3" s="1"/>
  <c r="I883" i="3"/>
  <c r="J883" i="3" s="1"/>
  <c r="I884" i="3"/>
  <c r="I885" i="3"/>
  <c r="I886" i="3"/>
  <c r="I887" i="3"/>
  <c r="I888" i="3"/>
  <c r="I889" i="3"/>
  <c r="I890" i="3"/>
  <c r="J890" i="3" s="1"/>
  <c r="I891" i="3"/>
  <c r="J891" i="3" s="1"/>
  <c r="I892" i="3"/>
  <c r="J892" i="3" s="1"/>
  <c r="I893" i="3"/>
  <c r="J893" i="3" s="1"/>
  <c r="I894" i="3"/>
  <c r="J894" i="3" s="1"/>
  <c r="I895" i="3"/>
  <c r="J895" i="3" s="1"/>
  <c r="I896" i="3"/>
  <c r="J896" i="3" s="1"/>
  <c r="I897" i="3"/>
  <c r="J897" i="3" s="1"/>
  <c r="I898" i="3"/>
  <c r="J898" i="3" s="1"/>
  <c r="I899" i="3"/>
  <c r="J899" i="3" s="1"/>
  <c r="I900" i="3"/>
  <c r="I901" i="3"/>
  <c r="I902" i="3"/>
  <c r="I903" i="3"/>
  <c r="I904" i="3"/>
  <c r="I905" i="3"/>
  <c r="I906" i="3"/>
  <c r="J906" i="3" s="1"/>
  <c r="I907" i="3"/>
  <c r="J907" i="3" s="1"/>
  <c r="I908" i="3"/>
  <c r="J908" i="3" s="1"/>
  <c r="I909" i="3"/>
  <c r="J909" i="3" s="1"/>
  <c r="I910" i="3"/>
  <c r="J910" i="3" s="1"/>
  <c r="I911" i="3"/>
  <c r="J911" i="3" s="1"/>
  <c r="I912" i="3"/>
  <c r="J912" i="3" s="1"/>
  <c r="I913" i="3"/>
  <c r="J913" i="3" s="1"/>
  <c r="I914" i="3"/>
  <c r="J914" i="3" s="1"/>
  <c r="I915" i="3"/>
  <c r="J915" i="3" s="1"/>
  <c r="I916" i="3"/>
  <c r="I917" i="3"/>
  <c r="I918" i="3"/>
  <c r="I919" i="3"/>
  <c r="I920" i="3"/>
  <c r="I921" i="3"/>
  <c r="I922" i="3"/>
  <c r="J922" i="3" s="1"/>
  <c r="I923" i="3"/>
  <c r="J923" i="3" s="1"/>
  <c r="I924" i="3"/>
  <c r="J924" i="3" s="1"/>
  <c r="I925" i="3"/>
  <c r="J925" i="3" s="1"/>
  <c r="I926" i="3"/>
  <c r="J926" i="3" s="1"/>
  <c r="I927" i="3"/>
  <c r="J927" i="3" s="1"/>
  <c r="I928" i="3"/>
  <c r="J928" i="3" s="1"/>
  <c r="I929" i="3"/>
  <c r="J929" i="3" s="1"/>
  <c r="I930" i="3"/>
  <c r="J930" i="3" s="1"/>
  <c r="I931" i="3"/>
  <c r="J931" i="3" s="1"/>
  <c r="I932" i="3"/>
  <c r="I933" i="3"/>
  <c r="I934" i="3"/>
  <c r="I935" i="3"/>
  <c r="I936" i="3"/>
  <c r="I937" i="3"/>
  <c r="I938" i="3"/>
  <c r="J938" i="3" s="1"/>
  <c r="I939" i="3"/>
  <c r="J939" i="3" s="1"/>
  <c r="I940" i="3"/>
  <c r="J940" i="3" s="1"/>
  <c r="I941" i="3"/>
  <c r="J941" i="3" s="1"/>
  <c r="I942" i="3"/>
  <c r="J942" i="3" s="1"/>
  <c r="I943" i="3"/>
  <c r="J943" i="3" s="1"/>
  <c r="I944" i="3"/>
  <c r="J944" i="3" s="1"/>
  <c r="I945" i="3"/>
  <c r="J945" i="3" s="1"/>
  <c r="I946" i="3"/>
  <c r="J946" i="3" s="1"/>
  <c r="I947" i="3"/>
  <c r="J947" i="3" s="1"/>
  <c r="I948" i="3"/>
  <c r="I949" i="3"/>
  <c r="I950" i="3"/>
  <c r="I951" i="3"/>
  <c r="I952" i="3"/>
  <c r="I953" i="3"/>
  <c r="I954" i="3"/>
  <c r="J954" i="3" s="1"/>
  <c r="I955" i="3"/>
  <c r="J955" i="3" s="1"/>
  <c r="I956" i="3"/>
  <c r="J956" i="3" s="1"/>
  <c r="I957" i="3"/>
  <c r="J957" i="3" s="1"/>
  <c r="I958" i="3"/>
  <c r="J958" i="3" s="1"/>
  <c r="I959" i="3"/>
  <c r="J959" i="3" s="1"/>
  <c r="I960" i="3"/>
  <c r="J960" i="3" s="1"/>
  <c r="I961" i="3"/>
  <c r="J961" i="3" s="1"/>
  <c r="I962" i="3"/>
  <c r="J962" i="3" s="1"/>
  <c r="I963" i="3"/>
  <c r="J963" i="3" s="1"/>
  <c r="I964" i="3"/>
  <c r="I965" i="3"/>
  <c r="I966" i="3"/>
  <c r="I967" i="3"/>
  <c r="I968" i="3"/>
  <c r="I969" i="3"/>
  <c r="I970" i="3"/>
  <c r="J970" i="3" s="1"/>
  <c r="I971" i="3"/>
  <c r="J971" i="3" s="1"/>
  <c r="I972" i="3"/>
  <c r="J972" i="3" s="1"/>
  <c r="I973" i="3"/>
  <c r="J973" i="3" s="1"/>
  <c r="I974" i="3"/>
  <c r="J974" i="3" s="1"/>
  <c r="I975" i="3"/>
  <c r="J975" i="3" s="1"/>
  <c r="I976" i="3"/>
  <c r="J976" i="3" s="1"/>
  <c r="I977" i="3"/>
  <c r="J977" i="3" s="1"/>
  <c r="I978" i="3"/>
  <c r="J978" i="3" s="1"/>
  <c r="I979" i="3"/>
  <c r="J979" i="3" s="1"/>
  <c r="I980" i="3"/>
  <c r="I981" i="3"/>
  <c r="I982" i="3"/>
  <c r="I4" i="3"/>
  <c r="J4" i="3" s="1"/>
  <c r="I3" i="3"/>
  <c r="F17" i="13" l="1"/>
  <c r="H17" i="13"/>
  <c r="I17" i="13" s="1"/>
  <c r="J4" i="13"/>
  <c r="J5" i="13" s="1"/>
  <c r="J6" i="13" s="1"/>
  <c r="D17" i="13"/>
  <c r="D18" i="13" s="1"/>
  <c r="D19" i="13" s="1"/>
  <c r="D20" i="13" s="1"/>
  <c r="D21" i="13" s="1"/>
  <c r="D22" i="13" s="1"/>
  <c r="D23" i="13" s="1"/>
  <c r="D24" i="13" s="1"/>
  <c r="D25" i="13" s="1"/>
  <c r="D26" i="13" s="1"/>
  <c r="D27" i="13" s="1"/>
  <c r="D28" i="13" s="1"/>
  <c r="D29" i="13" s="1"/>
  <c r="D30" i="13" s="1"/>
  <c r="D31" i="13" s="1"/>
  <c r="D32" i="13" s="1"/>
  <c r="D33" i="13" s="1"/>
  <c r="D34" i="13" s="1"/>
  <c r="D35" i="13" s="1"/>
  <c r="D36" i="13" s="1"/>
  <c r="D37" i="13" s="1"/>
  <c r="D38" i="13" s="1"/>
  <c r="D39" i="13" s="1"/>
  <c r="D40" i="13" s="1"/>
  <c r="D41" i="13" s="1"/>
  <c r="D42" i="13" s="1"/>
  <c r="D43" i="13" s="1"/>
  <c r="D44" i="13" s="1"/>
  <c r="D45" i="13" s="1"/>
  <c r="D46" i="13" s="1"/>
  <c r="D47" i="13" s="1"/>
  <c r="D48" i="13" s="1"/>
  <c r="D49" i="13" s="1"/>
  <c r="D50" i="13" s="1"/>
  <c r="D51" i="13" s="1"/>
  <c r="D52" i="13" s="1"/>
  <c r="D53" i="13" s="1"/>
  <c r="D54" i="13" s="1"/>
  <c r="D55" i="13" s="1"/>
  <c r="D56" i="13" s="1"/>
  <c r="D57" i="13" s="1"/>
  <c r="D58" i="13" s="1"/>
  <c r="D59" i="13" s="1"/>
  <c r="D60" i="13" s="1"/>
  <c r="D61" i="13" s="1"/>
  <c r="D62" i="13" s="1"/>
  <c r="D63" i="13" s="1"/>
  <c r="D64" i="13" s="1"/>
  <c r="D65" i="13" s="1"/>
  <c r="D66" i="13" s="1"/>
  <c r="D67" i="13" s="1"/>
  <c r="D68" i="13" s="1"/>
  <c r="D69" i="13" s="1"/>
  <c r="D70" i="13" s="1"/>
  <c r="D71" i="13" s="1"/>
  <c r="D72" i="13" s="1"/>
  <c r="D73" i="13" s="1"/>
  <c r="D74" i="13" s="1"/>
  <c r="D75" i="13" s="1"/>
  <c r="D76" i="13" s="1"/>
  <c r="D77" i="13" s="1"/>
  <c r="D78" i="13" s="1"/>
  <c r="D79" i="13" s="1"/>
  <c r="D80" i="13" s="1"/>
  <c r="D81" i="13" s="1"/>
  <c r="D82" i="13" s="1"/>
  <c r="D83" i="13" s="1"/>
  <c r="D84" i="13" s="1"/>
  <c r="D85" i="13" s="1"/>
  <c r="D86" i="13" s="1"/>
  <c r="D87" i="13" s="1"/>
  <c r="D88" i="13" s="1"/>
  <c r="D89" i="13" s="1"/>
  <c r="D90" i="13" s="1"/>
  <c r="D91" i="13" s="1"/>
  <c r="D92" i="13" s="1"/>
  <c r="D93" i="13" s="1"/>
  <c r="D94" i="13" s="1"/>
  <c r="D95" i="13" s="1"/>
  <c r="D96" i="13" s="1"/>
  <c r="D97" i="13" s="1"/>
  <c r="D98" i="13" s="1"/>
  <c r="D99" i="13" s="1"/>
  <c r="D100" i="13" s="1"/>
  <c r="D101" i="13" s="1"/>
  <c r="D102" i="13" s="1"/>
  <c r="D103" i="13" s="1"/>
  <c r="D104" i="13" s="1"/>
  <c r="D105" i="13" s="1"/>
  <c r="D106" i="13" s="1"/>
  <c r="D107" i="13" s="1"/>
  <c r="D108" i="13" s="1"/>
  <c r="D109" i="13" s="1"/>
  <c r="D110" i="13" s="1"/>
  <c r="D111" i="13" s="1"/>
  <c r="D112" i="13" s="1"/>
  <c r="D113" i="13" s="1"/>
  <c r="D114" i="13" s="1"/>
  <c r="D115" i="13" s="1"/>
  <c r="D116" i="13" s="1"/>
  <c r="D117" i="13" s="1"/>
  <c r="D118" i="13" s="1"/>
  <c r="D119" i="13" s="1"/>
  <c r="D120" i="13" s="1"/>
  <c r="D121" i="13" s="1"/>
  <c r="D122" i="13" s="1"/>
  <c r="D123" i="13" s="1"/>
  <c r="D124" i="13" s="1"/>
  <c r="D125" i="13" s="1"/>
  <c r="D126" i="13" s="1"/>
  <c r="D127" i="13" s="1"/>
  <c r="D128" i="13" s="1"/>
  <c r="D129" i="13" s="1"/>
  <c r="D130" i="13" s="1"/>
  <c r="D131" i="13" s="1"/>
  <c r="D132" i="13" s="1"/>
  <c r="D133" i="13" s="1"/>
  <c r="D134" i="13" s="1"/>
  <c r="D135" i="13" s="1"/>
  <c r="D136" i="13" s="1"/>
  <c r="D137" i="13" s="1"/>
  <c r="D138" i="13" s="1"/>
  <c r="D139" i="13" s="1"/>
  <c r="D140" i="13" s="1"/>
  <c r="D141" i="13" s="1"/>
  <c r="D142" i="13" s="1"/>
  <c r="D143" i="13" s="1"/>
  <c r="D144" i="13" s="1"/>
  <c r="D145" i="13" s="1"/>
  <c r="D146" i="13" s="1"/>
  <c r="D147" i="13" s="1"/>
  <c r="D148" i="13" s="1"/>
  <c r="D149" i="13" s="1"/>
  <c r="D150" i="13" s="1"/>
  <c r="D151" i="13" s="1"/>
  <c r="D152" i="13" s="1"/>
  <c r="D153" i="13" s="1"/>
  <c r="D154" i="13" s="1"/>
  <c r="D155" i="13" s="1"/>
  <c r="D156" i="13" s="1"/>
  <c r="D157" i="13" s="1"/>
  <c r="D158" i="13" s="1"/>
  <c r="D159" i="13" s="1"/>
  <c r="D160" i="13" s="1"/>
  <c r="D161" i="13" s="1"/>
  <c r="D162" i="13" s="1"/>
  <c r="D163" i="13" s="1"/>
  <c r="D164" i="13" s="1"/>
  <c r="D165" i="13" s="1"/>
  <c r="D166" i="13" s="1"/>
  <c r="D167" i="13" s="1"/>
  <c r="D168" i="13" s="1"/>
  <c r="D169" i="13" s="1"/>
  <c r="D170" i="13" s="1"/>
  <c r="D171" i="13" s="1"/>
  <c r="D172" i="13" s="1"/>
  <c r="D173" i="13" s="1"/>
  <c r="D174" i="13" s="1"/>
  <c r="D175" i="13" s="1"/>
  <c r="D176" i="13" s="1"/>
  <c r="D177" i="13" s="1"/>
  <c r="D178" i="13" s="1"/>
  <c r="D179" i="13" s="1"/>
  <c r="D180" i="13" s="1"/>
  <c r="D181" i="13" s="1"/>
  <c r="D182" i="13" s="1"/>
  <c r="D183" i="13" s="1"/>
  <c r="D184" i="13" s="1"/>
  <c r="D185" i="13" s="1"/>
  <c r="D186" i="13" s="1"/>
  <c r="D187" i="13" s="1"/>
  <c r="D188" i="13" s="1"/>
  <c r="D189" i="13" s="1"/>
  <c r="D190" i="13" s="1"/>
  <c r="D191" i="13" s="1"/>
  <c r="D192" i="13" s="1"/>
  <c r="D193" i="13" s="1"/>
  <c r="D194" i="13" s="1"/>
  <c r="D195" i="13" s="1"/>
  <c r="D196" i="13" s="1"/>
  <c r="D197" i="13" s="1"/>
  <c r="D198" i="13" s="1"/>
  <c r="D199" i="13" s="1"/>
  <c r="D200" i="13" s="1"/>
  <c r="D201" i="13" s="1"/>
  <c r="D202" i="13" s="1"/>
  <c r="D203" i="13" s="1"/>
  <c r="D204" i="13" s="1"/>
  <c r="D205" i="13" s="1"/>
  <c r="D206" i="13" s="1"/>
  <c r="D207" i="13" s="1"/>
  <c r="D208" i="13" s="1"/>
  <c r="D209" i="13" s="1"/>
  <c r="D210" i="13" s="1"/>
  <c r="D211" i="13" s="1"/>
  <c r="D212" i="13" s="1"/>
  <c r="D213" i="13" s="1"/>
  <c r="D214" i="13" s="1"/>
  <c r="D215" i="13" s="1"/>
  <c r="D216" i="13" s="1"/>
  <c r="D217" i="13" s="1"/>
  <c r="D218" i="13" s="1"/>
  <c r="D219" i="13" s="1"/>
  <c r="D220" i="13" s="1"/>
  <c r="D221" i="13" s="1"/>
  <c r="D222" i="13" s="1"/>
  <c r="D223" i="13" s="1"/>
  <c r="D224" i="13" s="1"/>
  <c r="D225" i="13" s="1"/>
  <c r="D226" i="13" s="1"/>
  <c r="D227" i="13" s="1"/>
  <c r="D228" i="13" s="1"/>
  <c r="D229" i="13" s="1"/>
  <c r="D230" i="13" s="1"/>
  <c r="D231" i="13" s="1"/>
  <c r="D232" i="13" s="1"/>
  <c r="D233" i="13" s="1"/>
  <c r="D234" i="13" s="1"/>
  <c r="D235" i="13" s="1"/>
  <c r="D236" i="13" s="1"/>
  <c r="D237" i="13" s="1"/>
  <c r="D238" i="13" s="1"/>
  <c r="D239" i="13" s="1"/>
  <c r="D240" i="13" s="1"/>
  <c r="D241" i="13" s="1"/>
  <c r="D242" i="13" s="1"/>
  <c r="D243" i="13" s="1"/>
  <c r="D244" i="13" s="1"/>
  <c r="D245" i="13" s="1"/>
  <c r="D246" i="13" s="1"/>
  <c r="D247" i="13" s="1"/>
  <c r="D248" i="13" s="1"/>
  <c r="D249" i="13" s="1"/>
  <c r="D250" i="13" s="1"/>
  <c r="D251" i="13" s="1"/>
  <c r="D252" i="13" s="1"/>
  <c r="D253" i="13" s="1"/>
  <c r="D254" i="13" s="1"/>
  <c r="D255" i="13" s="1"/>
  <c r="D256" i="13" s="1"/>
  <c r="J8" i="13"/>
  <c r="H18" i="13" l="1"/>
  <c r="I18" i="13" s="1"/>
  <c r="F19" i="13" s="1"/>
  <c r="F18" i="13"/>
  <c r="G17" i="13"/>
  <c r="E18" i="13"/>
  <c r="G18" i="13" l="1"/>
  <c r="J18" i="13" s="1"/>
  <c r="J17" i="13"/>
  <c r="E19" i="13"/>
  <c r="H19" i="13"/>
  <c r="G19" i="13" s="1"/>
  <c r="J19" i="13" l="1"/>
  <c r="I19" i="13"/>
  <c r="F20" i="13" s="1"/>
  <c r="E20" i="13" l="1"/>
  <c r="H20" i="13"/>
  <c r="G20" i="13" s="1"/>
  <c r="J20" i="13" l="1"/>
  <c r="I20" i="13"/>
  <c r="F21" i="13" s="1"/>
  <c r="E21" i="13"/>
  <c r="H21" i="13"/>
  <c r="G21" i="13" l="1"/>
  <c r="I21" i="13"/>
  <c r="F22" i="13" s="1"/>
  <c r="J21" i="13" l="1"/>
  <c r="E22" i="13"/>
  <c r="H22" i="13"/>
  <c r="G22" i="13" s="1"/>
  <c r="J22" i="13" l="1"/>
  <c r="I22" i="13"/>
  <c r="E23" i="13" l="1"/>
  <c r="F23" i="13"/>
  <c r="H23" i="13"/>
  <c r="I23" i="13" s="1"/>
  <c r="F24" i="13" s="1"/>
  <c r="G23" i="13" l="1"/>
  <c r="E24" i="13"/>
  <c r="H24" i="13"/>
  <c r="G24" i="13" s="1"/>
  <c r="J24" i="13" l="1"/>
  <c r="J23" i="13"/>
  <c r="I24" i="13"/>
  <c r="F25" i="13" s="1"/>
  <c r="E25" i="13" l="1"/>
  <c r="H25" i="13"/>
  <c r="G25" i="13" s="1"/>
  <c r="J25" i="13" s="1"/>
  <c r="I25" i="13" l="1"/>
  <c r="F26" i="13" s="1"/>
  <c r="E26" i="13" l="1"/>
  <c r="H26" i="13"/>
  <c r="G26" i="13" s="1"/>
  <c r="J26" i="13" s="1"/>
  <c r="I26" i="13" l="1"/>
  <c r="E27" i="13" l="1"/>
  <c r="F27" i="13"/>
  <c r="H27" i="13"/>
  <c r="G27" i="13" l="1"/>
  <c r="J27" i="13" s="1"/>
  <c r="I27" i="13"/>
  <c r="E28" i="13" l="1"/>
  <c r="F28" i="13"/>
  <c r="H28" i="13"/>
  <c r="G28" i="13" l="1"/>
  <c r="J28" i="13" s="1"/>
  <c r="I28" i="13"/>
  <c r="F29" i="13" s="1"/>
  <c r="E29" i="13" l="1"/>
  <c r="H29" i="13"/>
  <c r="G29" i="13" s="1"/>
  <c r="J29" i="13" s="1"/>
  <c r="I29" i="13" l="1"/>
  <c r="F30" i="13" s="1"/>
  <c r="E30" i="13" l="1"/>
  <c r="H30" i="13"/>
  <c r="G30" i="13" s="1"/>
  <c r="J30" i="13" s="1"/>
  <c r="I30" i="13" l="1"/>
  <c r="F31" i="13" s="1"/>
  <c r="H31" i="13" l="1"/>
  <c r="G31" i="13" s="1"/>
  <c r="J31" i="13" s="1"/>
  <c r="E31" i="13"/>
  <c r="I31" i="13" l="1"/>
  <c r="F32" i="13" s="1"/>
  <c r="H32" i="13" l="1"/>
  <c r="G32" i="13" s="1"/>
  <c r="J32" i="13" s="1"/>
  <c r="E32" i="13"/>
  <c r="I32" i="13" l="1"/>
  <c r="F33" i="13" s="1"/>
  <c r="H33" i="13" l="1"/>
  <c r="G33" i="13" s="1"/>
  <c r="J33" i="13" s="1"/>
  <c r="E33" i="13"/>
  <c r="I33" i="13" l="1"/>
  <c r="F34" i="13" s="1"/>
  <c r="E34" i="13" l="1"/>
  <c r="H34" i="13"/>
  <c r="G34" i="13" s="1"/>
  <c r="J34" i="13" s="1"/>
  <c r="I34" i="13" l="1"/>
  <c r="F35" i="13" s="1"/>
  <c r="E35" i="13" l="1"/>
  <c r="H35" i="13"/>
  <c r="G35" i="13" s="1"/>
  <c r="J35" i="13" s="1"/>
  <c r="I35" i="13" l="1"/>
  <c r="F36" i="13" s="1"/>
  <c r="E36" i="13" l="1"/>
  <c r="H36" i="13"/>
  <c r="G36" i="13" s="1"/>
  <c r="J36" i="13" s="1"/>
  <c r="I36" i="13" l="1"/>
  <c r="F37" i="13" s="1"/>
  <c r="H37" i="13" l="1"/>
  <c r="G37" i="13" s="1"/>
  <c r="J37" i="13" s="1"/>
  <c r="E37" i="13"/>
  <c r="I37" i="13" l="1"/>
  <c r="F38" i="13" s="1"/>
  <c r="H38" i="13" l="1"/>
  <c r="G38" i="13" s="1"/>
  <c r="J38" i="13" s="1"/>
  <c r="E38" i="13"/>
  <c r="I38" i="13" l="1"/>
  <c r="F39" i="13" s="1"/>
  <c r="H39" i="13" l="1"/>
  <c r="G39" i="13" s="1"/>
  <c r="J39" i="13" s="1"/>
  <c r="E39" i="13"/>
  <c r="I39" i="13" l="1"/>
  <c r="F40" i="13" s="1"/>
  <c r="H40" i="13" l="1"/>
  <c r="G40" i="13" s="1"/>
  <c r="J40" i="13" s="1"/>
  <c r="E40" i="13"/>
  <c r="I40" i="13" l="1"/>
  <c r="F41" i="13" s="1"/>
  <c r="E41" i="13" l="1"/>
  <c r="H41" i="13"/>
  <c r="G41" i="13" s="1"/>
  <c r="J41" i="13" s="1"/>
  <c r="I41" i="13" l="1"/>
  <c r="F42" i="13" s="1"/>
  <c r="E42" i="13" l="1"/>
  <c r="H42" i="13"/>
  <c r="G42" i="13" s="1"/>
  <c r="J42" i="13" s="1"/>
  <c r="I42" i="13" l="1"/>
  <c r="F43" i="13" s="1"/>
  <c r="E43" i="13" l="1"/>
  <c r="H43" i="13"/>
  <c r="G43" i="13" s="1"/>
  <c r="J43" i="13" s="1"/>
  <c r="I43" i="13" l="1"/>
  <c r="F44" i="13" s="1"/>
  <c r="H44" i="13" l="1"/>
  <c r="G44" i="13" s="1"/>
  <c r="J44" i="13" s="1"/>
  <c r="E44" i="13"/>
  <c r="I44" i="13" l="1"/>
  <c r="F45" i="13" s="1"/>
  <c r="E45" i="13" l="1"/>
  <c r="H45" i="13"/>
  <c r="G45" i="13" s="1"/>
  <c r="J45" i="13" s="1"/>
  <c r="I45" i="13" l="1"/>
  <c r="F46" i="13" s="1"/>
  <c r="H46" i="13" l="1"/>
  <c r="G46" i="13" s="1"/>
  <c r="J46" i="13" s="1"/>
  <c r="E46" i="13"/>
  <c r="I46" i="13" l="1"/>
  <c r="F47" i="13" s="1"/>
  <c r="E47" i="13" l="1"/>
  <c r="H47" i="13"/>
  <c r="G47" i="13" s="1"/>
  <c r="J47" i="13" s="1"/>
  <c r="I47" i="13" l="1"/>
  <c r="F48" i="13" s="1"/>
  <c r="E48" i="13" l="1"/>
  <c r="H48" i="13"/>
  <c r="G48" i="13" s="1"/>
  <c r="J48" i="13" s="1"/>
  <c r="I48" i="13" l="1"/>
  <c r="F49" i="13" s="1"/>
  <c r="E49" i="13" l="1"/>
  <c r="H49" i="13"/>
  <c r="G49" i="13" s="1"/>
  <c r="J49" i="13" s="1"/>
  <c r="I49" i="13" l="1"/>
  <c r="F50" i="13" s="1"/>
  <c r="E50" i="13" l="1"/>
  <c r="H50" i="13"/>
  <c r="G50" i="13" s="1"/>
  <c r="J50" i="13" s="1"/>
  <c r="I50" i="13" l="1"/>
  <c r="F51" i="13" s="1"/>
  <c r="H51" i="13" l="1"/>
  <c r="G51" i="13" s="1"/>
  <c r="J51" i="13" s="1"/>
  <c r="E51" i="13"/>
  <c r="I51" i="13" l="1"/>
  <c r="F52" i="13" s="1"/>
  <c r="E52" i="13" l="1"/>
  <c r="H52" i="13"/>
  <c r="G52" i="13" s="1"/>
  <c r="J52" i="13" s="1"/>
  <c r="I52" i="13" l="1"/>
  <c r="F53" i="13" s="1"/>
  <c r="H53" i="13" l="1"/>
  <c r="G53" i="13" s="1"/>
  <c r="J53" i="13" s="1"/>
  <c r="E53" i="13"/>
  <c r="I53" i="13" l="1"/>
  <c r="F54" i="13" s="1"/>
  <c r="E54" i="13" l="1"/>
  <c r="H54" i="13"/>
  <c r="G54" i="13" s="1"/>
  <c r="J54" i="13" s="1"/>
  <c r="I54" i="13" l="1"/>
  <c r="F55" i="13" s="1"/>
  <c r="H55" i="13" l="1"/>
  <c r="G55" i="13" s="1"/>
  <c r="J55" i="13" s="1"/>
  <c r="E55" i="13"/>
  <c r="I55" i="13" l="1"/>
  <c r="F56" i="13" s="1"/>
  <c r="H56" i="13" l="1"/>
  <c r="G56" i="13" s="1"/>
  <c r="J56" i="13" s="1"/>
  <c r="E56" i="13"/>
  <c r="I56" i="13" l="1"/>
  <c r="F57" i="13" s="1"/>
  <c r="H57" i="13" l="1"/>
  <c r="G57" i="13" s="1"/>
  <c r="J57" i="13" s="1"/>
  <c r="E57" i="13"/>
  <c r="I57" i="13" l="1"/>
  <c r="F58" i="13" s="1"/>
  <c r="E58" i="13" l="1"/>
  <c r="H58" i="13"/>
  <c r="G58" i="13" s="1"/>
  <c r="J58" i="13" s="1"/>
  <c r="I58" i="13" l="1"/>
  <c r="F59" i="13" s="1"/>
  <c r="H59" i="13" l="1"/>
  <c r="G59" i="13" s="1"/>
  <c r="J59" i="13" s="1"/>
  <c r="E59" i="13"/>
  <c r="I59" i="13" l="1"/>
  <c r="F60" i="13" s="1"/>
  <c r="E60" i="13" l="1"/>
  <c r="H60" i="13"/>
  <c r="G60" i="13" s="1"/>
  <c r="J60" i="13" s="1"/>
  <c r="I60" i="13" l="1"/>
  <c r="F61" i="13" s="1"/>
  <c r="E61" i="13" l="1"/>
  <c r="H61" i="13"/>
  <c r="G61" i="13" s="1"/>
  <c r="J61" i="13" s="1"/>
  <c r="I61" i="13" l="1"/>
  <c r="F62" i="13" s="1"/>
  <c r="E62" i="13" l="1"/>
  <c r="H62" i="13"/>
  <c r="G62" i="13" s="1"/>
  <c r="J62" i="13" s="1"/>
  <c r="I62" i="13" l="1"/>
  <c r="F63" i="13" s="1"/>
  <c r="E63" i="13" l="1"/>
  <c r="H63" i="13"/>
  <c r="G63" i="13" s="1"/>
  <c r="J63" i="13" s="1"/>
  <c r="I63" i="13" l="1"/>
  <c r="F64" i="13" s="1"/>
  <c r="E64" i="13" l="1"/>
  <c r="H64" i="13"/>
  <c r="G64" i="13" s="1"/>
  <c r="J64" i="13" s="1"/>
  <c r="I64" i="13" l="1"/>
  <c r="F65" i="13" s="1"/>
  <c r="E65" i="13" l="1"/>
  <c r="H65" i="13"/>
  <c r="G65" i="13" s="1"/>
  <c r="J65" i="13" s="1"/>
  <c r="I65" i="13" l="1"/>
  <c r="F66" i="13" s="1"/>
  <c r="E66" i="13" l="1"/>
  <c r="H66" i="13"/>
  <c r="G66" i="13" s="1"/>
  <c r="J66" i="13" s="1"/>
  <c r="I66" i="13" l="1"/>
  <c r="F67" i="13" s="1"/>
  <c r="E67" i="13" l="1"/>
  <c r="H67" i="13"/>
  <c r="G67" i="13" s="1"/>
  <c r="J67" i="13" s="1"/>
  <c r="I67" i="13" l="1"/>
  <c r="F68" i="13" s="1"/>
  <c r="H68" i="13" l="1"/>
  <c r="G68" i="13" s="1"/>
  <c r="J68" i="13" s="1"/>
  <c r="E68" i="13"/>
  <c r="I68" i="13" l="1"/>
  <c r="F69" i="13" s="1"/>
  <c r="E69" i="13" l="1"/>
  <c r="H69" i="13"/>
  <c r="G69" i="13" s="1"/>
  <c r="J69" i="13" s="1"/>
  <c r="I69" i="13" l="1"/>
  <c r="F70" i="13" s="1"/>
  <c r="H70" i="13" l="1"/>
  <c r="G70" i="13" s="1"/>
  <c r="J70" i="13" s="1"/>
  <c r="E70" i="13"/>
  <c r="I70" i="13" l="1"/>
  <c r="F71" i="13" s="1"/>
  <c r="H71" i="13" l="1"/>
  <c r="G71" i="13" s="1"/>
  <c r="J71" i="13" s="1"/>
  <c r="E71" i="13"/>
  <c r="I71" i="13" l="1"/>
  <c r="F72" i="13" s="1"/>
  <c r="E72" i="13" l="1"/>
  <c r="H72" i="13"/>
  <c r="G72" i="13" s="1"/>
  <c r="J72" i="13" s="1"/>
  <c r="I72" i="13" l="1"/>
  <c r="F73" i="13" s="1"/>
  <c r="E73" i="13" l="1"/>
  <c r="H73" i="13"/>
  <c r="G73" i="13" s="1"/>
  <c r="J73" i="13" s="1"/>
  <c r="I73" i="13" l="1"/>
  <c r="F74" i="13" s="1"/>
  <c r="E74" i="13" l="1"/>
  <c r="H74" i="13"/>
  <c r="G74" i="13" s="1"/>
  <c r="J74" i="13" s="1"/>
  <c r="I74" i="13" l="1"/>
  <c r="F75" i="13" s="1"/>
  <c r="E75" i="13" l="1"/>
  <c r="H75" i="13"/>
  <c r="G75" i="13" s="1"/>
  <c r="J75" i="13" s="1"/>
  <c r="I75" i="13" l="1"/>
  <c r="F76" i="13" s="1"/>
  <c r="E76" i="13" l="1"/>
  <c r="H76" i="13"/>
  <c r="G76" i="13" s="1"/>
  <c r="J76" i="13" s="1"/>
  <c r="I76" i="13" l="1"/>
  <c r="F77" i="13" s="1"/>
  <c r="H77" i="13" l="1"/>
  <c r="G77" i="13" s="1"/>
  <c r="J77" i="13" s="1"/>
  <c r="E77" i="13"/>
  <c r="I77" i="13" l="1"/>
  <c r="F78" i="13" s="1"/>
  <c r="E78" i="13" l="1"/>
  <c r="H78" i="13"/>
  <c r="G78" i="13" s="1"/>
  <c r="J78" i="13" s="1"/>
  <c r="I78" i="13" l="1"/>
  <c r="F79" i="13" s="1"/>
  <c r="E79" i="13" l="1"/>
  <c r="H79" i="13"/>
  <c r="G79" i="13" s="1"/>
  <c r="J79" i="13" s="1"/>
  <c r="I79" i="13" l="1"/>
  <c r="F80" i="13" s="1"/>
  <c r="H80" i="13" l="1"/>
  <c r="G80" i="13" s="1"/>
  <c r="J80" i="13" s="1"/>
  <c r="E80" i="13"/>
  <c r="I80" i="13" l="1"/>
  <c r="F81" i="13" s="1"/>
  <c r="E81" i="13" l="1"/>
  <c r="H81" i="13"/>
  <c r="G81" i="13" s="1"/>
  <c r="J81" i="13" s="1"/>
  <c r="I81" i="13" l="1"/>
  <c r="F82" i="13" s="1"/>
  <c r="E82" i="13" l="1"/>
  <c r="H82" i="13"/>
  <c r="G82" i="13" s="1"/>
  <c r="J82" i="13" s="1"/>
  <c r="I82" i="13" l="1"/>
  <c r="F83" i="13" s="1"/>
  <c r="H83" i="13" l="1"/>
  <c r="G83" i="13" s="1"/>
  <c r="J83" i="13" s="1"/>
  <c r="E83" i="13"/>
  <c r="I83" i="13" l="1"/>
  <c r="F84" i="13" s="1"/>
  <c r="H84" i="13" l="1"/>
  <c r="G84" i="13" s="1"/>
  <c r="J84" i="13" s="1"/>
  <c r="E84" i="13"/>
  <c r="I84" i="13" l="1"/>
  <c r="F85" i="13" s="1"/>
  <c r="E85" i="13" l="1"/>
  <c r="H85" i="13"/>
  <c r="G85" i="13" s="1"/>
  <c r="J85" i="13" s="1"/>
  <c r="I85" i="13" l="1"/>
  <c r="F86" i="13" s="1"/>
  <c r="E86" i="13" l="1"/>
  <c r="H86" i="13"/>
  <c r="G86" i="13" s="1"/>
  <c r="J86" i="13" s="1"/>
  <c r="I86" i="13" l="1"/>
  <c r="F87" i="13" s="1"/>
  <c r="E87" i="13" l="1"/>
  <c r="H87" i="13"/>
  <c r="G87" i="13" s="1"/>
  <c r="J87" i="13" s="1"/>
  <c r="I87" i="13" l="1"/>
  <c r="F88" i="13" s="1"/>
  <c r="E88" i="13" l="1"/>
  <c r="H88" i="13"/>
  <c r="G88" i="13" s="1"/>
  <c r="J88" i="13" s="1"/>
  <c r="I88" i="13" l="1"/>
  <c r="F89" i="13" s="1"/>
  <c r="E89" i="13" l="1"/>
  <c r="H89" i="13"/>
  <c r="G89" i="13" s="1"/>
  <c r="J89" i="13" s="1"/>
  <c r="I89" i="13" l="1"/>
  <c r="F90" i="13" s="1"/>
  <c r="E90" i="13" l="1"/>
  <c r="H90" i="13"/>
  <c r="G90" i="13" s="1"/>
  <c r="J90" i="13" s="1"/>
  <c r="I90" i="13" l="1"/>
  <c r="F91" i="13" s="1"/>
  <c r="H91" i="13" l="1"/>
  <c r="G91" i="13" s="1"/>
  <c r="J91" i="13" s="1"/>
  <c r="E91" i="13"/>
  <c r="I91" i="13" l="1"/>
  <c r="F92" i="13" s="1"/>
  <c r="E92" i="13" l="1"/>
  <c r="H92" i="13"/>
  <c r="G92" i="13" s="1"/>
  <c r="J92" i="13" s="1"/>
  <c r="I92" i="13" l="1"/>
  <c r="F93" i="13" s="1"/>
  <c r="E93" i="13" l="1"/>
  <c r="H93" i="13"/>
  <c r="G93" i="13" s="1"/>
  <c r="J93" i="13" s="1"/>
  <c r="I93" i="13" l="1"/>
  <c r="F94" i="13" s="1"/>
  <c r="E94" i="13" l="1"/>
  <c r="H94" i="13"/>
  <c r="G94" i="13" s="1"/>
  <c r="J94" i="13" s="1"/>
  <c r="I94" i="13" l="1"/>
  <c r="F95" i="13" s="1"/>
  <c r="E95" i="13" l="1"/>
  <c r="H95" i="13"/>
  <c r="G95" i="13" s="1"/>
  <c r="J95" i="13" s="1"/>
  <c r="I95" i="13" l="1"/>
  <c r="F96" i="13" s="1"/>
  <c r="H96" i="13" l="1"/>
  <c r="G96" i="13" s="1"/>
  <c r="J96" i="13" s="1"/>
  <c r="E96" i="13"/>
  <c r="I96" i="13" l="1"/>
  <c r="F97" i="13" s="1"/>
  <c r="H97" i="13" l="1"/>
  <c r="G97" i="13" s="1"/>
  <c r="J97" i="13" s="1"/>
  <c r="E97" i="13"/>
  <c r="I97" i="13" l="1"/>
  <c r="F98" i="13" s="1"/>
  <c r="E98" i="13" l="1"/>
  <c r="H98" i="13"/>
  <c r="G98" i="13" s="1"/>
  <c r="J98" i="13" s="1"/>
  <c r="I98" i="13" l="1"/>
  <c r="F99" i="13" s="1"/>
  <c r="H99" i="13" l="1"/>
  <c r="G99" i="13" s="1"/>
  <c r="J99" i="13" s="1"/>
  <c r="E99" i="13"/>
  <c r="I99" i="13" l="1"/>
  <c r="F100" i="13" s="1"/>
  <c r="H100" i="13" l="1"/>
  <c r="G100" i="13" s="1"/>
  <c r="J100" i="13" s="1"/>
  <c r="E100" i="13"/>
  <c r="I100" i="13" l="1"/>
  <c r="F101" i="13" s="1"/>
  <c r="E101" i="13" l="1"/>
  <c r="H101" i="13"/>
  <c r="G101" i="13" s="1"/>
  <c r="J101" i="13" s="1"/>
  <c r="I101" i="13" l="1"/>
  <c r="F102" i="13" s="1"/>
  <c r="H102" i="13" l="1"/>
  <c r="G102" i="13" s="1"/>
  <c r="J102" i="13" s="1"/>
  <c r="E102" i="13"/>
  <c r="I102" i="13" l="1"/>
  <c r="F103" i="13" s="1"/>
  <c r="E103" i="13" l="1"/>
  <c r="H103" i="13"/>
  <c r="G103" i="13" s="1"/>
  <c r="J103" i="13" s="1"/>
  <c r="I103" i="13" l="1"/>
  <c r="F104" i="13" s="1"/>
  <c r="E104" i="13" l="1"/>
  <c r="H104" i="13"/>
  <c r="G104" i="13" s="1"/>
  <c r="J104" i="13" s="1"/>
  <c r="I104" i="13" l="1"/>
  <c r="F105" i="13" s="1"/>
  <c r="E105" i="13" l="1"/>
  <c r="H105" i="13"/>
  <c r="G105" i="13" s="1"/>
  <c r="J105" i="13" s="1"/>
  <c r="I105" i="13" l="1"/>
  <c r="F106" i="13" s="1"/>
  <c r="E106" i="13" l="1"/>
  <c r="H106" i="13"/>
  <c r="G106" i="13" s="1"/>
  <c r="J106" i="13" s="1"/>
  <c r="I106" i="13" l="1"/>
  <c r="F107" i="13" s="1"/>
  <c r="E107" i="13" l="1"/>
  <c r="H107" i="13"/>
  <c r="G107" i="13" s="1"/>
  <c r="J107" i="13" s="1"/>
  <c r="I107" i="13" l="1"/>
  <c r="F108" i="13" s="1"/>
  <c r="E108" i="13" l="1"/>
  <c r="H108" i="13"/>
  <c r="G108" i="13" s="1"/>
  <c r="J108" i="13" s="1"/>
  <c r="I108" i="13" l="1"/>
  <c r="F109" i="13" s="1"/>
  <c r="E109" i="13" l="1"/>
  <c r="H109" i="13"/>
  <c r="G109" i="13" s="1"/>
  <c r="J109" i="13" s="1"/>
  <c r="I109" i="13" l="1"/>
  <c r="F110" i="13" s="1"/>
  <c r="E110" i="13" l="1"/>
  <c r="H110" i="13"/>
  <c r="G110" i="13" s="1"/>
  <c r="J110" i="13" s="1"/>
  <c r="I110" i="13" l="1"/>
  <c r="F111" i="13" s="1"/>
  <c r="E111" i="13" l="1"/>
  <c r="H111" i="13"/>
  <c r="G111" i="13" s="1"/>
  <c r="J111" i="13" s="1"/>
  <c r="I111" i="13" l="1"/>
  <c r="F112" i="13" s="1"/>
  <c r="E112" i="13" l="1"/>
  <c r="H112" i="13"/>
  <c r="G112" i="13" s="1"/>
  <c r="J112" i="13" s="1"/>
  <c r="I112" i="13" l="1"/>
  <c r="F113" i="13" s="1"/>
  <c r="E113" i="13" l="1"/>
  <c r="H113" i="13"/>
  <c r="G113" i="13" s="1"/>
  <c r="J113" i="13" s="1"/>
  <c r="I113" i="13" l="1"/>
  <c r="F114" i="13" s="1"/>
  <c r="E114" i="13" l="1"/>
  <c r="H114" i="13"/>
  <c r="G114" i="13" s="1"/>
  <c r="J114" i="13" s="1"/>
  <c r="I114" i="13" l="1"/>
  <c r="F115" i="13" s="1"/>
  <c r="E115" i="13" l="1"/>
  <c r="H115" i="13"/>
  <c r="G115" i="13" s="1"/>
  <c r="J115" i="13" s="1"/>
  <c r="I115" i="13" l="1"/>
  <c r="F116" i="13" s="1"/>
  <c r="E116" i="13" l="1"/>
  <c r="H116" i="13"/>
  <c r="G116" i="13" s="1"/>
  <c r="J116" i="13" s="1"/>
  <c r="I116" i="13" l="1"/>
  <c r="F117" i="13" s="1"/>
  <c r="E117" i="13" l="1"/>
  <c r="H117" i="13"/>
  <c r="G117" i="13" s="1"/>
  <c r="J117" i="13" s="1"/>
  <c r="I117" i="13" l="1"/>
  <c r="F118" i="13" s="1"/>
  <c r="E118" i="13" l="1"/>
  <c r="H118" i="13"/>
  <c r="G118" i="13" s="1"/>
  <c r="J118" i="13" s="1"/>
  <c r="I118" i="13" l="1"/>
  <c r="F119" i="13" s="1"/>
  <c r="E119" i="13" l="1"/>
  <c r="H119" i="13"/>
  <c r="G119" i="13" s="1"/>
  <c r="J119" i="13" s="1"/>
  <c r="I119" i="13" l="1"/>
  <c r="F120" i="13" s="1"/>
  <c r="E120" i="13" l="1"/>
  <c r="H120" i="13"/>
  <c r="G120" i="13" s="1"/>
  <c r="J120" i="13" s="1"/>
  <c r="I120" i="13" l="1"/>
  <c r="F121" i="13" s="1"/>
  <c r="E121" i="13" l="1"/>
  <c r="H121" i="13"/>
  <c r="G121" i="13" s="1"/>
  <c r="J121" i="13" s="1"/>
  <c r="I121" i="13" l="1"/>
  <c r="F122" i="13" s="1"/>
  <c r="E122" i="13" l="1"/>
  <c r="H122" i="13"/>
  <c r="G122" i="13" s="1"/>
  <c r="J122" i="13" s="1"/>
  <c r="I122" i="13" l="1"/>
  <c r="F123" i="13" s="1"/>
  <c r="E123" i="13" l="1"/>
  <c r="H123" i="13"/>
  <c r="G123" i="13" s="1"/>
  <c r="J123" i="13" s="1"/>
  <c r="I123" i="13" l="1"/>
  <c r="F124" i="13" s="1"/>
  <c r="E124" i="13" l="1"/>
  <c r="H124" i="13"/>
  <c r="G124" i="13" s="1"/>
  <c r="J124" i="13" s="1"/>
  <c r="I124" i="13" l="1"/>
  <c r="F125" i="13" s="1"/>
  <c r="E125" i="13" l="1"/>
  <c r="H125" i="13"/>
  <c r="G125" i="13" s="1"/>
  <c r="J125" i="13" s="1"/>
  <c r="I125" i="13" l="1"/>
  <c r="F126" i="13" s="1"/>
  <c r="E126" i="13" l="1"/>
  <c r="H126" i="13"/>
  <c r="G126" i="13" s="1"/>
  <c r="J126" i="13" s="1"/>
  <c r="I126" i="13" l="1"/>
  <c r="F127" i="13" s="1"/>
  <c r="E127" i="13" l="1"/>
  <c r="H127" i="13"/>
  <c r="G127" i="13" s="1"/>
  <c r="J127" i="13" s="1"/>
  <c r="I127" i="13" l="1"/>
  <c r="F128" i="13" s="1"/>
  <c r="E128" i="13" l="1"/>
  <c r="H128" i="13"/>
  <c r="G128" i="13" s="1"/>
  <c r="J128" i="13" s="1"/>
  <c r="I128" i="13" l="1"/>
  <c r="F129" i="13" s="1"/>
  <c r="E129" i="13" l="1"/>
  <c r="H129" i="13"/>
  <c r="G129" i="13" s="1"/>
  <c r="J129" i="13" s="1"/>
  <c r="I129" i="13" l="1"/>
  <c r="F130" i="13" s="1"/>
  <c r="E130" i="13" l="1"/>
  <c r="H130" i="13"/>
  <c r="G130" i="13" s="1"/>
  <c r="J130" i="13" s="1"/>
  <c r="I130" i="13" l="1"/>
  <c r="F131" i="13" s="1"/>
  <c r="E131" i="13" l="1"/>
  <c r="H131" i="13"/>
  <c r="G131" i="13" s="1"/>
  <c r="J131" i="13" s="1"/>
  <c r="I131" i="13" l="1"/>
  <c r="F132" i="13" s="1"/>
  <c r="E132" i="13" l="1"/>
  <c r="H132" i="13"/>
  <c r="G132" i="13" s="1"/>
  <c r="J132" i="13" s="1"/>
  <c r="I132" i="13" l="1"/>
  <c r="F133" i="13" s="1"/>
  <c r="E133" i="13" l="1"/>
  <c r="H133" i="13"/>
  <c r="G133" i="13" s="1"/>
  <c r="J133" i="13" s="1"/>
  <c r="I133" i="13" l="1"/>
  <c r="F134" i="13" s="1"/>
  <c r="E134" i="13" l="1"/>
  <c r="H134" i="13"/>
  <c r="G134" i="13" s="1"/>
  <c r="J134" i="13" s="1"/>
  <c r="I134" i="13" l="1"/>
  <c r="F135" i="13" s="1"/>
  <c r="E135" i="13" l="1"/>
  <c r="H135" i="13"/>
  <c r="G135" i="13" s="1"/>
  <c r="J135" i="13" s="1"/>
  <c r="I135" i="13" l="1"/>
  <c r="F136" i="13" s="1"/>
  <c r="E136" i="13" l="1"/>
  <c r="H136" i="13"/>
  <c r="G136" i="13" s="1"/>
  <c r="J136" i="13" s="1"/>
  <c r="I136" i="13" l="1"/>
  <c r="F137" i="13" s="1"/>
  <c r="E137" i="13" l="1"/>
  <c r="H137" i="13"/>
  <c r="G137" i="13" s="1"/>
  <c r="J137" i="13" s="1"/>
  <c r="I137" i="13" l="1"/>
  <c r="F138" i="13" s="1"/>
  <c r="E138" i="13" l="1"/>
  <c r="H138" i="13"/>
  <c r="G138" i="13" s="1"/>
  <c r="J138" i="13" s="1"/>
  <c r="I138" i="13" l="1"/>
  <c r="F139" i="13" s="1"/>
  <c r="E139" i="13" l="1"/>
  <c r="H139" i="13"/>
  <c r="G139" i="13" s="1"/>
  <c r="J139" i="13" s="1"/>
  <c r="I139" i="13" l="1"/>
  <c r="F140" i="13" s="1"/>
  <c r="E140" i="13" l="1"/>
  <c r="H140" i="13"/>
  <c r="G140" i="13" s="1"/>
  <c r="J140" i="13" s="1"/>
  <c r="I140" i="13" l="1"/>
  <c r="F141" i="13" s="1"/>
  <c r="E141" i="13" l="1"/>
  <c r="H141" i="13"/>
  <c r="G141" i="13" s="1"/>
  <c r="J141" i="13" s="1"/>
  <c r="I141" i="13" l="1"/>
  <c r="F142" i="13" s="1"/>
  <c r="E142" i="13" l="1"/>
  <c r="H142" i="13"/>
  <c r="G142" i="13" s="1"/>
  <c r="J142" i="13" s="1"/>
  <c r="I142" i="13" l="1"/>
  <c r="F143" i="13" s="1"/>
  <c r="E143" i="13" l="1"/>
  <c r="H143" i="13"/>
  <c r="G143" i="13" s="1"/>
  <c r="J143" i="13" s="1"/>
  <c r="I143" i="13" l="1"/>
  <c r="F144" i="13" s="1"/>
  <c r="E144" i="13" l="1"/>
  <c r="H144" i="13"/>
  <c r="G144" i="13" s="1"/>
  <c r="J144" i="13" s="1"/>
  <c r="I144" i="13" l="1"/>
  <c r="F145" i="13" s="1"/>
  <c r="E145" i="13" l="1"/>
  <c r="H145" i="13"/>
  <c r="G145" i="13" s="1"/>
  <c r="J145" i="13" s="1"/>
  <c r="I145" i="13" l="1"/>
  <c r="F146" i="13" s="1"/>
  <c r="E146" i="13" l="1"/>
  <c r="H146" i="13"/>
  <c r="G146" i="13" s="1"/>
  <c r="J146" i="13" s="1"/>
  <c r="I146" i="13" l="1"/>
  <c r="F147" i="13" s="1"/>
  <c r="E147" i="13" l="1"/>
  <c r="H147" i="13"/>
  <c r="G147" i="13" s="1"/>
  <c r="J147" i="13" s="1"/>
  <c r="I147" i="13" l="1"/>
  <c r="F148" i="13" s="1"/>
  <c r="E148" i="13" l="1"/>
  <c r="H148" i="13"/>
  <c r="G148" i="13" s="1"/>
  <c r="J148" i="13" s="1"/>
  <c r="I148" i="13" l="1"/>
  <c r="F149" i="13" s="1"/>
  <c r="E149" i="13" l="1"/>
  <c r="H149" i="13"/>
  <c r="G149" i="13" s="1"/>
  <c r="J149" i="13" s="1"/>
  <c r="I149" i="13" l="1"/>
  <c r="F150" i="13" s="1"/>
  <c r="E150" i="13" l="1"/>
  <c r="H150" i="13"/>
  <c r="G150" i="13" s="1"/>
  <c r="J150" i="13" s="1"/>
  <c r="I150" i="13" l="1"/>
  <c r="F151" i="13" s="1"/>
  <c r="E151" i="13" l="1"/>
  <c r="H151" i="13"/>
  <c r="G151" i="13" s="1"/>
  <c r="J151" i="13" s="1"/>
  <c r="I151" i="13" l="1"/>
  <c r="F152" i="13" s="1"/>
  <c r="E152" i="13" l="1"/>
  <c r="H152" i="13"/>
  <c r="G152" i="13" s="1"/>
  <c r="J152" i="13" s="1"/>
  <c r="I152" i="13" l="1"/>
  <c r="F153" i="13" s="1"/>
  <c r="E153" i="13" l="1"/>
  <c r="H153" i="13"/>
  <c r="G153" i="13" s="1"/>
  <c r="J153" i="13" s="1"/>
  <c r="I153" i="13" l="1"/>
  <c r="F154" i="13" s="1"/>
  <c r="E154" i="13" l="1"/>
  <c r="H154" i="13"/>
  <c r="G154" i="13" s="1"/>
  <c r="J154" i="13" s="1"/>
  <c r="I154" i="13" l="1"/>
  <c r="F155" i="13" s="1"/>
  <c r="E155" i="13" l="1"/>
  <c r="H155" i="13"/>
  <c r="G155" i="13" s="1"/>
  <c r="J155" i="13" s="1"/>
  <c r="I155" i="13" l="1"/>
  <c r="F156" i="13" s="1"/>
  <c r="E156" i="13" l="1"/>
  <c r="H156" i="13"/>
  <c r="G156" i="13" s="1"/>
  <c r="J156" i="13" s="1"/>
  <c r="I156" i="13" l="1"/>
  <c r="F157" i="13" s="1"/>
  <c r="E157" i="13" l="1"/>
  <c r="H157" i="13"/>
  <c r="G157" i="13" s="1"/>
  <c r="J157" i="13" s="1"/>
  <c r="I157" i="13" l="1"/>
  <c r="F158" i="13" s="1"/>
  <c r="E158" i="13" l="1"/>
  <c r="H158" i="13"/>
  <c r="G158" i="13" s="1"/>
  <c r="J158" i="13" s="1"/>
  <c r="I158" i="13" l="1"/>
  <c r="F159" i="13" s="1"/>
  <c r="E159" i="13" l="1"/>
  <c r="H159" i="13"/>
  <c r="G159" i="13" s="1"/>
  <c r="J159" i="13" s="1"/>
  <c r="I159" i="13" l="1"/>
  <c r="F160" i="13" s="1"/>
  <c r="E160" i="13" l="1"/>
  <c r="H160" i="13"/>
  <c r="G160" i="13" s="1"/>
  <c r="J160" i="13" s="1"/>
  <c r="I160" i="13" l="1"/>
  <c r="F161" i="13" s="1"/>
  <c r="E161" i="13" l="1"/>
  <c r="H161" i="13"/>
  <c r="G161" i="13" s="1"/>
  <c r="J161" i="13" s="1"/>
  <c r="I161" i="13" l="1"/>
  <c r="F162" i="13" s="1"/>
  <c r="E162" i="13" l="1"/>
  <c r="H162" i="13"/>
  <c r="G162" i="13" s="1"/>
  <c r="J162" i="13" s="1"/>
  <c r="I162" i="13" l="1"/>
  <c r="F163" i="13" s="1"/>
  <c r="E163" i="13" l="1"/>
  <c r="H163" i="13"/>
  <c r="G163" i="13" s="1"/>
  <c r="J163" i="13" s="1"/>
  <c r="I163" i="13" l="1"/>
  <c r="F164" i="13" s="1"/>
  <c r="E164" i="13" l="1"/>
  <c r="H164" i="13"/>
  <c r="G164" i="13" s="1"/>
  <c r="J164" i="13" s="1"/>
  <c r="I164" i="13" l="1"/>
  <c r="F165" i="13" s="1"/>
  <c r="E165" i="13" l="1"/>
  <c r="H165" i="13"/>
  <c r="G165" i="13" s="1"/>
  <c r="J165" i="13" s="1"/>
  <c r="I165" i="13" l="1"/>
  <c r="F166" i="13" s="1"/>
  <c r="E166" i="13" l="1"/>
  <c r="H166" i="13"/>
  <c r="G166" i="13" s="1"/>
  <c r="J166" i="13" s="1"/>
  <c r="I166" i="13" l="1"/>
  <c r="F167" i="13" s="1"/>
  <c r="E167" i="13" l="1"/>
  <c r="H167" i="13"/>
  <c r="G167" i="13" s="1"/>
  <c r="J167" i="13" s="1"/>
  <c r="I167" i="13" l="1"/>
  <c r="F168" i="13" s="1"/>
  <c r="E168" i="13" l="1"/>
  <c r="H168" i="13"/>
  <c r="G168" i="13" s="1"/>
  <c r="J168" i="13" s="1"/>
  <c r="I168" i="13" l="1"/>
  <c r="F169" i="13" s="1"/>
  <c r="E169" i="13" l="1"/>
  <c r="H169" i="13"/>
  <c r="G169" i="13" s="1"/>
  <c r="J169" i="13" s="1"/>
  <c r="I169" i="13" l="1"/>
  <c r="F170" i="13" s="1"/>
  <c r="E170" i="13" l="1"/>
  <c r="H170" i="13"/>
  <c r="G170" i="13" s="1"/>
  <c r="J170" i="13" s="1"/>
  <c r="I170" i="13" l="1"/>
  <c r="F171" i="13" s="1"/>
  <c r="E171" i="13" l="1"/>
  <c r="H171" i="13"/>
  <c r="G171" i="13" s="1"/>
  <c r="J171" i="13" s="1"/>
  <c r="I171" i="13" l="1"/>
  <c r="F172" i="13" s="1"/>
  <c r="E172" i="13" l="1"/>
  <c r="H172" i="13"/>
  <c r="G172" i="13" s="1"/>
  <c r="J172" i="13" s="1"/>
  <c r="I172" i="13" l="1"/>
  <c r="F173" i="13" s="1"/>
  <c r="E173" i="13" l="1"/>
  <c r="H173" i="13"/>
  <c r="G173" i="13" s="1"/>
  <c r="J173" i="13" s="1"/>
  <c r="I173" i="13" l="1"/>
  <c r="F174" i="13" s="1"/>
  <c r="E174" i="13" l="1"/>
  <c r="H174" i="13"/>
  <c r="G174" i="13" s="1"/>
  <c r="J174" i="13" s="1"/>
  <c r="I174" i="13" l="1"/>
  <c r="F175" i="13" s="1"/>
  <c r="E175" i="13" l="1"/>
  <c r="H175" i="13"/>
  <c r="G175" i="13" s="1"/>
  <c r="J175" i="13" s="1"/>
  <c r="I175" i="13" l="1"/>
  <c r="F176" i="13" s="1"/>
  <c r="E176" i="13" l="1"/>
  <c r="H176" i="13"/>
  <c r="G176" i="13" s="1"/>
  <c r="J176" i="13" s="1"/>
  <c r="I176" i="13" l="1"/>
  <c r="F177" i="13" s="1"/>
  <c r="E177" i="13" l="1"/>
  <c r="H177" i="13"/>
  <c r="G177" i="13" s="1"/>
  <c r="J177" i="13" s="1"/>
  <c r="I177" i="13" l="1"/>
  <c r="F178" i="13" s="1"/>
  <c r="E178" i="13" l="1"/>
  <c r="H178" i="13"/>
  <c r="G178" i="13" s="1"/>
  <c r="J178" i="13" s="1"/>
  <c r="I178" i="13" l="1"/>
  <c r="F179" i="13" s="1"/>
  <c r="E179" i="13" l="1"/>
  <c r="H179" i="13"/>
  <c r="G179" i="13" s="1"/>
  <c r="J179" i="13" s="1"/>
  <c r="I179" i="13" l="1"/>
  <c r="F180" i="13" s="1"/>
  <c r="E180" i="13" l="1"/>
  <c r="H180" i="13"/>
  <c r="G180" i="13" s="1"/>
  <c r="J180" i="13" s="1"/>
  <c r="I180" i="13" l="1"/>
  <c r="F181" i="13" s="1"/>
  <c r="E181" i="13" l="1"/>
  <c r="H181" i="13"/>
  <c r="G181" i="13" s="1"/>
  <c r="J181" i="13" s="1"/>
  <c r="I181" i="13" l="1"/>
  <c r="F182" i="13" s="1"/>
  <c r="E182" i="13" l="1"/>
  <c r="H182" i="13"/>
  <c r="G182" i="13" s="1"/>
  <c r="J182" i="13" s="1"/>
  <c r="I182" i="13" l="1"/>
  <c r="F183" i="13" s="1"/>
  <c r="E183" i="13" l="1"/>
  <c r="H183" i="13"/>
  <c r="G183" i="13" s="1"/>
  <c r="J183" i="13" s="1"/>
  <c r="I183" i="13" l="1"/>
  <c r="F184" i="13" s="1"/>
  <c r="E184" i="13" l="1"/>
  <c r="H184" i="13"/>
  <c r="G184" i="13" s="1"/>
  <c r="J184" i="13" s="1"/>
  <c r="I184" i="13" l="1"/>
  <c r="F185" i="13" s="1"/>
  <c r="E185" i="13" l="1"/>
  <c r="H185" i="13"/>
  <c r="G185" i="13" s="1"/>
  <c r="J185" i="13" s="1"/>
  <c r="I185" i="13" l="1"/>
  <c r="F186" i="13" s="1"/>
  <c r="E186" i="13" l="1"/>
  <c r="H186" i="13"/>
  <c r="G186" i="13" s="1"/>
  <c r="J186" i="13" s="1"/>
  <c r="I186" i="13" l="1"/>
  <c r="F187" i="13" s="1"/>
  <c r="E187" i="13" l="1"/>
  <c r="H187" i="13"/>
  <c r="G187" i="13" s="1"/>
  <c r="J187" i="13" s="1"/>
  <c r="I187" i="13" l="1"/>
  <c r="F188" i="13" s="1"/>
  <c r="E188" i="13" l="1"/>
  <c r="H188" i="13"/>
  <c r="G188" i="13" s="1"/>
  <c r="J188" i="13" s="1"/>
  <c r="I188" i="13" l="1"/>
  <c r="F189" i="13" s="1"/>
  <c r="E189" i="13" l="1"/>
  <c r="H189" i="13"/>
  <c r="G189" i="13" s="1"/>
  <c r="J189" i="13" s="1"/>
  <c r="I189" i="13" l="1"/>
  <c r="F190" i="13" s="1"/>
  <c r="E190" i="13" l="1"/>
  <c r="H190" i="13"/>
  <c r="G190" i="13" s="1"/>
  <c r="J190" i="13" s="1"/>
  <c r="I190" i="13" l="1"/>
  <c r="F191" i="13" s="1"/>
  <c r="E191" i="13" l="1"/>
  <c r="H191" i="13"/>
  <c r="G191" i="13" s="1"/>
  <c r="J191" i="13" s="1"/>
  <c r="I191" i="13" l="1"/>
  <c r="F192" i="13" s="1"/>
  <c r="E192" i="13" l="1"/>
  <c r="H192" i="13"/>
  <c r="G192" i="13" s="1"/>
  <c r="J192" i="13" s="1"/>
  <c r="I192" i="13" l="1"/>
  <c r="F193" i="13" s="1"/>
  <c r="E193" i="13" l="1"/>
  <c r="H193" i="13"/>
  <c r="G193" i="13" s="1"/>
  <c r="J193" i="13" s="1"/>
  <c r="I193" i="13" l="1"/>
  <c r="F194" i="13" s="1"/>
  <c r="E194" i="13" l="1"/>
  <c r="H194" i="13"/>
  <c r="G194" i="13" s="1"/>
  <c r="J194" i="13" s="1"/>
  <c r="I194" i="13" l="1"/>
  <c r="F195" i="13" s="1"/>
  <c r="E195" i="13" l="1"/>
  <c r="H195" i="13"/>
  <c r="G195" i="13" s="1"/>
  <c r="J195" i="13" s="1"/>
  <c r="I195" i="13" l="1"/>
  <c r="F196" i="13" s="1"/>
  <c r="E196" i="13" l="1"/>
  <c r="H196" i="13"/>
  <c r="G196" i="13" s="1"/>
  <c r="J196" i="13" s="1"/>
  <c r="I196" i="13" l="1"/>
  <c r="F197" i="13" s="1"/>
  <c r="E197" i="13" l="1"/>
  <c r="H197" i="13"/>
  <c r="G197" i="13" s="1"/>
  <c r="J197" i="13" s="1"/>
  <c r="I197" i="13" l="1"/>
  <c r="F198" i="13" s="1"/>
  <c r="E198" i="13" l="1"/>
  <c r="H198" i="13"/>
  <c r="G198" i="13" s="1"/>
  <c r="J198" i="13" s="1"/>
  <c r="I198" i="13" l="1"/>
  <c r="F199" i="13" s="1"/>
  <c r="E199" i="13" l="1"/>
  <c r="H199" i="13"/>
  <c r="G199" i="13" s="1"/>
  <c r="J199" i="13" s="1"/>
  <c r="I199" i="13" l="1"/>
  <c r="F200" i="13" s="1"/>
  <c r="E200" i="13" l="1"/>
  <c r="H200" i="13"/>
  <c r="G200" i="13" s="1"/>
  <c r="J200" i="13" s="1"/>
  <c r="I200" i="13" l="1"/>
  <c r="F201" i="13" s="1"/>
  <c r="E201" i="13" l="1"/>
  <c r="H201" i="13"/>
  <c r="G201" i="13" s="1"/>
  <c r="J201" i="13" s="1"/>
  <c r="I201" i="13" l="1"/>
  <c r="F202" i="13" s="1"/>
  <c r="E202" i="13" l="1"/>
  <c r="H202" i="13"/>
  <c r="G202" i="13" s="1"/>
  <c r="J202" i="13" s="1"/>
  <c r="I202" i="13" l="1"/>
  <c r="F203" i="13" s="1"/>
  <c r="E203" i="13" l="1"/>
  <c r="H203" i="13"/>
  <c r="G203" i="13" s="1"/>
  <c r="J203" i="13" s="1"/>
  <c r="I203" i="13" l="1"/>
  <c r="F204" i="13" s="1"/>
  <c r="E204" i="13" l="1"/>
  <c r="H204" i="13"/>
  <c r="G204" i="13" s="1"/>
  <c r="J204" i="13" s="1"/>
  <c r="I204" i="13" l="1"/>
  <c r="F205" i="13" s="1"/>
  <c r="E205" i="13" l="1"/>
  <c r="H205" i="13"/>
  <c r="G205" i="13" s="1"/>
  <c r="J205" i="13" s="1"/>
  <c r="I205" i="13" l="1"/>
  <c r="F206" i="13" s="1"/>
  <c r="E206" i="13" l="1"/>
  <c r="H206" i="13"/>
  <c r="G206" i="13" s="1"/>
  <c r="J206" i="13" s="1"/>
  <c r="I206" i="13" l="1"/>
  <c r="F207" i="13" s="1"/>
  <c r="E207" i="13" l="1"/>
  <c r="H207" i="13"/>
  <c r="G207" i="13" s="1"/>
  <c r="J207" i="13" s="1"/>
  <c r="I207" i="13" l="1"/>
  <c r="F208" i="13" s="1"/>
  <c r="E208" i="13" l="1"/>
  <c r="H208" i="13"/>
  <c r="G208" i="13" s="1"/>
  <c r="J208" i="13" s="1"/>
  <c r="I208" i="13" l="1"/>
  <c r="F209" i="13" s="1"/>
  <c r="E209" i="13" l="1"/>
  <c r="H209" i="13"/>
  <c r="G209" i="13" s="1"/>
  <c r="J209" i="13" s="1"/>
  <c r="I209" i="13" l="1"/>
  <c r="F210" i="13" s="1"/>
  <c r="E210" i="13" l="1"/>
  <c r="H210" i="13"/>
  <c r="G210" i="13" s="1"/>
  <c r="J210" i="13" s="1"/>
  <c r="I210" i="13" l="1"/>
  <c r="F211" i="13" s="1"/>
  <c r="E211" i="13" l="1"/>
  <c r="H211" i="13"/>
  <c r="G211" i="13" s="1"/>
  <c r="J211" i="13" s="1"/>
  <c r="I211" i="13" l="1"/>
  <c r="F212" i="13" s="1"/>
  <c r="E212" i="13" l="1"/>
  <c r="H212" i="13"/>
  <c r="G212" i="13" s="1"/>
  <c r="J212" i="13" s="1"/>
  <c r="I212" i="13" l="1"/>
  <c r="F213" i="13" s="1"/>
  <c r="E213" i="13" l="1"/>
  <c r="H213" i="13"/>
  <c r="G213" i="13" s="1"/>
  <c r="J213" i="13" s="1"/>
  <c r="I213" i="13" l="1"/>
  <c r="F214" i="13" s="1"/>
  <c r="E214" i="13" l="1"/>
  <c r="H214" i="13"/>
  <c r="G214" i="13" s="1"/>
  <c r="J214" i="13" s="1"/>
  <c r="I214" i="13" l="1"/>
  <c r="F215" i="13" s="1"/>
  <c r="E215" i="13" l="1"/>
  <c r="H215" i="13"/>
  <c r="G215" i="13" s="1"/>
  <c r="J215" i="13" s="1"/>
  <c r="I215" i="13" l="1"/>
  <c r="F216" i="13" s="1"/>
  <c r="E216" i="13" l="1"/>
  <c r="H216" i="13"/>
  <c r="G216" i="13" s="1"/>
  <c r="J216" i="13" s="1"/>
  <c r="I216" i="13" l="1"/>
  <c r="F217" i="13" s="1"/>
  <c r="E217" i="13" l="1"/>
  <c r="H217" i="13"/>
  <c r="G217" i="13" s="1"/>
  <c r="J217" i="13" s="1"/>
  <c r="I217" i="13" l="1"/>
  <c r="F218" i="13" s="1"/>
  <c r="E218" i="13" l="1"/>
  <c r="H218" i="13"/>
  <c r="G218" i="13" s="1"/>
  <c r="J218" i="13" s="1"/>
  <c r="I218" i="13" l="1"/>
  <c r="F219" i="13" s="1"/>
  <c r="E219" i="13" l="1"/>
  <c r="H219" i="13"/>
  <c r="G219" i="13" s="1"/>
  <c r="J219" i="13" s="1"/>
  <c r="I219" i="13" l="1"/>
  <c r="F220" i="13" s="1"/>
  <c r="E220" i="13" l="1"/>
  <c r="H220" i="13"/>
  <c r="G220" i="13" s="1"/>
  <c r="J220" i="13" s="1"/>
  <c r="I220" i="13" l="1"/>
  <c r="F221" i="13" s="1"/>
  <c r="E221" i="13" l="1"/>
  <c r="H221" i="13"/>
  <c r="G221" i="13" s="1"/>
  <c r="J221" i="13" s="1"/>
  <c r="I221" i="13" l="1"/>
  <c r="F222" i="13" s="1"/>
  <c r="E222" i="13" l="1"/>
  <c r="H222" i="13"/>
  <c r="G222" i="13" s="1"/>
  <c r="J222" i="13" s="1"/>
  <c r="I222" i="13" l="1"/>
  <c r="F223" i="13" s="1"/>
  <c r="E223" i="13" l="1"/>
  <c r="H223" i="13"/>
  <c r="G223" i="13" s="1"/>
  <c r="J223" i="13" s="1"/>
  <c r="I223" i="13" l="1"/>
  <c r="F224" i="13" s="1"/>
  <c r="E224" i="13" l="1"/>
  <c r="H224" i="13"/>
  <c r="G224" i="13" s="1"/>
  <c r="J224" i="13" s="1"/>
  <c r="I224" i="13" l="1"/>
  <c r="F225" i="13" s="1"/>
  <c r="E225" i="13" l="1"/>
  <c r="H225" i="13"/>
  <c r="G225" i="13" s="1"/>
  <c r="J225" i="13" s="1"/>
  <c r="I225" i="13" l="1"/>
  <c r="F226" i="13" s="1"/>
  <c r="E226" i="13" l="1"/>
  <c r="H226" i="13"/>
  <c r="G226" i="13" s="1"/>
  <c r="J226" i="13" s="1"/>
  <c r="I226" i="13" l="1"/>
  <c r="F227" i="13" s="1"/>
  <c r="E227" i="13" l="1"/>
  <c r="H227" i="13"/>
  <c r="G227" i="13" s="1"/>
  <c r="J227" i="13" s="1"/>
  <c r="I227" i="13" l="1"/>
  <c r="F228" i="13" s="1"/>
  <c r="E228" i="13" l="1"/>
  <c r="H228" i="13"/>
  <c r="G228" i="13" s="1"/>
  <c r="J228" i="13" s="1"/>
  <c r="I228" i="13" l="1"/>
  <c r="F229" i="13" s="1"/>
  <c r="E229" i="13" l="1"/>
  <c r="H229" i="13"/>
  <c r="G229" i="13" s="1"/>
  <c r="J229" i="13" s="1"/>
  <c r="I229" i="13" l="1"/>
  <c r="F230" i="13" s="1"/>
  <c r="E230" i="13" l="1"/>
  <c r="H230" i="13"/>
  <c r="G230" i="13" s="1"/>
  <c r="J230" i="13" s="1"/>
  <c r="I230" i="13" l="1"/>
  <c r="F231" i="13" s="1"/>
  <c r="E231" i="13" l="1"/>
  <c r="H231" i="13"/>
  <c r="G231" i="13" s="1"/>
  <c r="J231" i="13" s="1"/>
  <c r="I231" i="13" l="1"/>
  <c r="F232" i="13" s="1"/>
  <c r="E232" i="13" l="1"/>
  <c r="H232" i="13"/>
  <c r="G232" i="13" s="1"/>
  <c r="J232" i="13" s="1"/>
  <c r="I232" i="13" l="1"/>
  <c r="F233" i="13" s="1"/>
  <c r="E233" i="13" l="1"/>
  <c r="H233" i="13"/>
  <c r="G233" i="13" s="1"/>
  <c r="J233" i="13" s="1"/>
  <c r="I233" i="13" l="1"/>
  <c r="F234" i="13" s="1"/>
  <c r="E234" i="13" l="1"/>
  <c r="H234" i="13"/>
  <c r="G234" i="13" s="1"/>
  <c r="J234" i="13" s="1"/>
  <c r="I234" i="13" l="1"/>
  <c r="F235" i="13" s="1"/>
  <c r="E235" i="13" l="1"/>
  <c r="H235" i="13"/>
  <c r="G235" i="13" s="1"/>
  <c r="J235" i="13" s="1"/>
  <c r="I235" i="13" l="1"/>
  <c r="F236" i="13" s="1"/>
  <c r="E236" i="13" l="1"/>
  <c r="H236" i="13"/>
  <c r="G236" i="13" s="1"/>
  <c r="J236" i="13" s="1"/>
  <c r="I236" i="13" l="1"/>
  <c r="F237" i="13" s="1"/>
  <c r="E237" i="13" l="1"/>
  <c r="H237" i="13"/>
  <c r="G237" i="13" s="1"/>
  <c r="J237" i="13" s="1"/>
  <c r="I237" i="13" l="1"/>
  <c r="F238" i="13" s="1"/>
  <c r="E238" i="13" l="1"/>
  <c r="H238" i="13"/>
  <c r="G238" i="13" s="1"/>
  <c r="J238" i="13" s="1"/>
  <c r="I238" i="13" l="1"/>
  <c r="F239" i="13" s="1"/>
  <c r="E239" i="13" l="1"/>
  <c r="H239" i="13"/>
  <c r="G239" i="13" s="1"/>
  <c r="J239" i="13" s="1"/>
  <c r="I239" i="13" l="1"/>
  <c r="F240" i="13" s="1"/>
  <c r="E240" i="13" l="1"/>
  <c r="H240" i="13"/>
  <c r="G240" i="13" s="1"/>
  <c r="J240" i="13" s="1"/>
  <c r="I240" i="13" l="1"/>
  <c r="F241" i="13" s="1"/>
  <c r="E241" i="13" l="1"/>
  <c r="H241" i="13"/>
  <c r="G241" i="13" s="1"/>
  <c r="J241" i="13" s="1"/>
  <c r="I241" i="13" l="1"/>
  <c r="F242" i="13" s="1"/>
  <c r="E242" i="13" l="1"/>
  <c r="H242" i="13"/>
  <c r="G242" i="13" s="1"/>
  <c r="J242" i="13" s="1"/>
  <c r="I242" i="13" l="1"/>
  <c r="F243" i="13" s="1"/>
  <c r="E243" i="13" l="1"/>
  <c r="H243" i="13"/>
  <c r="G243" i="13" s="1"/>
  <c r="J243" i="13" s="1"/>
  <c r="I243" i="13" l="1"/>
  <c r="F244" i="13" s="1"/>
  <c r="E244" i="13" l="1"/>
  <c r="H244" i="13"/>
  <c r="G244" i="13" s="1"/>
  <c r="J244" i="13" s="1"/>
  <c r="I244" i="13" l="1"/>
  <c r="F245" i="13" s="1"/>
  <c r="E245" i="13" l="1"/>
  <c r="H245" i="13"/>
  <c r="G245" i="13" s="1"/>
  <c r="J245" i="13" s="1"/>
  <c r="I245" i="13" l="1"/>
  <c r="F246" i="13" s="1"/>
  <c r="E246" i="13" l="1"/>
  <c r="H246" i="13"/>
  <c r="G246" i="13" s="1"/>
  <c r="J246" i="13" s="1"/>
  <c r="I246" i="13" l="1"/>
  <c r="F247" i="13" s="1"/>
  <c r="E247" i="13" l="1"/>
  <c r="H247" i="13"/>
  <c r="G247" i="13" s="1"/>
  <c r="J247" i="13" s="1"/>
  <c r="I247" i="13" l="1"/>
  <c r="F248" i="13" s="1"/>
  <c r="E248" i="13" l="1"/>
  <c r="H248" i="13"/>
  <c r="G248" i="13" s="1"/>
  <c r="J248" i="13" s="1"/>
  <c r="I248" i="13" l="1"/>
  <c r="F249" i="13" s="1"/>
  <c r="E249" i="13" l="1"/>
  <c r="H249" i="13"/>
  <c r="G249" i="13" s="1"/>
  <c r="J249" i="13" s="1"/>
  <c r="I249" i="13" l="1"/>
  <c r="F250" i="13" s="1"/>
  <c r="E250" i="13" l="1"/>
  <c r="H250" i="13"/>
  <c r="G250" i="13" s="1"/>
  <c r="J250" i="13" s="1"/>
  <c r="I250" i="13" l="1"/>
  <c r="F251" i="13" s="1"/>
  <c r="E251" i="13" l="1"/>
  <c r="H251" i="13"/>
  <c r="G251" i="13" s="1"/>
  <c r="J251" i="13" s="1"/>
  <c r="I251" i="13" l="1"/>
  <c r="F252" i="13" s="1"/>
  <c r="E252" i="13" l="1"/>
  <c r="H252" i="13"/>
  <c r="G252" i="13" s="1"/>
  <c r="J252" i="13" s="1"/>
  <c r="I252" i="13" l="1"/>
  <c r="F253" i="13" s="1"/>
  <c r="E253" i="13" l="1"/>
  <c r="H253" i="13"/>
  <c r="G253" i="13" s="1"/>
  <c r="J253" i="13" s="1"/>
  <c r="I253" i="13" l="1"/>
  <c r="F254" i="13" s="1"/>
  <c r="E254" i="13" l="1"/>
  <c r="H254" i="13"/>
  <c r="G254" i="13" s="1"/>
  <c r="J254" i="13" s="1"/>
  <c r="I254" i="13" l="1"/>
  <c r="F255" i="13" s="1"/>
  <c r="E255" i="13" l="1"/>
  <c r="H255" i="13"/>
  <c r="G255" i="13" s="1"/>
  <c r="J255" i="13" s="1"/>
  <c r="I255" i="13" l="1"/>
  <c r="F256" i="13" s="1"/>
  <c r="E256" i="13" l="1"/>
  <c r="H256" i="13"/>
  <c r="G256" i="13" s="1"/>
  <c r="J256" i="13" s="1"/>
  <c r="I256" i="13" l="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<sst xmlns="http://schemas.openxmlformats.org/spreadsheetml/2006/main" count="12339" uniqueCount="2765">
  <si>
    <t>Loan ID</t>
  </si>
  <si>
    <t>EMI</t>
  </si>
  <si>
    <t>STATUS</t>
  </si>
  <si>
    <t>CITY</t>
  </si>
  <si>
    <t>AGE</t>
  </si>
  <si>
    <t>LOAN
 TYPE</t>
  </si>
  <si>
    <t>LOAN 
AMOUNT</t>
  </si>
  <si>
    <t>ANNUAL 
INTEREST RATE</t>
  </si>
  <si>
    <t>TENURE
(MONTH)</t>
  </si>
  <si>
    <t xml:space="preserve">SANCTION 
DATE </t>
  </si>
  <si>
    <t>TOTAL
 PAYMENT</t>
  </si>
  <si>
    <t>CIBIL 
SCORE</t>
  </si>
  <si>
    <t>LN01</t>
  </si>
  <si>
    <t>LN02</t>
  </si>
  <si>
    <t>LN03</t>
  </si>
  <si>
    <t>Student loan</t>
  </si>
  <si>
    <t>active</t>
  </si>
  <si>
    <t>Rohit Mitra</t>
  </si>
  <si>
    <t>Education loan</t>
  </si>
  <si>
    <t>06-11-2019</t>
  </si>
  <si>
    <t>closed</t>
  </si>
  <si>
    <t>Chandannagar</t>
  </si>
  <si>
    <t>Manoj Das</t>
  </si>
  <si>
    <t>Home loan</t>
  </si>
  <si>
    <t>10-04-2019</t>
  </si>
  <si>
    <t>Arambagh</t>
  </si>
  <si>
    <t>Nisha Singh</t>
  </si>
  <si>
    <t>Personal loan</t>
  </si>
  <si>
    <t>14-03-2017</t>
  </si>
  <si>
    <t>Bankura</t>
  </si>
  <si>
    <t>LN04</t>
  </si>
  <si>
    <t>Anjali Mukherjee</t>
  </si>
  <si>
    <t>Gold loan</t>
  </si>
  <si>
    <t>20-08-2016</t>
  </si>
  <si>
    <t>Medinipur</t>
  </si>
  <si>
    <t>LN05</t>
  </si>
  <si>
    <t>Divya Gupta</t>
  </si>
  <si>
    <t>Business loan</t>
  </si>
  <si>
    <t>04-09-2016</t>
  </si>
  <si>
    <t>Cooch Behar</t>
  </si>
  <si>
    <t>LN06</t>
  </si>
  <si>
    <t>Sunil Reddy</t>
  </si>
  <si>
    <t>Car loan</t>
  </si>
  <si>
    <t>21-04-2020</t>
  </si>
  <si>
    <t>Jalpaiguri</t>
  </si>
  <si>
    <t>LN07</t>
  </si>
  <si>
    <t>Priya Mitra</t>
  </si>
  <si>
    <t>09-02-2015</t>
  </si>
  <si>
    <t>Krishnanagar</t>
  </si>
  <si>
    <t>LN08</t>
  </si>
  <si>
    <t>Vikram Verma</t>
  </si>
  <si>
    <t>24-12-2016</t>
  </si>
  <si>
    <t>Bardhaman</t>
  </si>
  <si>
    <t>LN09</t>
  </si>
  <si>
    <t>Nisha Kapoor</t>
  </si>
  <si>
    <t>23-09-2019</t>
  </si>
  <si>
    <t>Balurghat</t>
  </si>
  <si>
    <t>LN10</t>
  </si>
  <si>
    <t>Mamta Mitra</t>
  </si>
  <si>
    <t>08-08-2020</t>
  </si>
  <si>
    <t>defaulted</t>
  </si>
  <si>
    <t>LN11</t>
  </si>
  <si>
    <t>Mukesh Verma</t>
  </si>
  <si>
    <t>04-07-2016</t>
  </si>
  <si>
    <t>Katwa</t>
  </si>
  <si>
    <t>LN12</t>
  </si>
  <si>
    <t>Divya Reddy</t>
  </si>
  <si>
    <t>27-01-2022</t>
  </si>
  <si>
    <t>Kalyani</t>
  </si>
  <si>
    <t>LN13</t>
  </si>
  <si>
    <t>Nisha Mishra</t>
  </si>
  <si>
    <t>18-10-2020</t>
  </si>
  <si>
    <t>LN14</t>
  </si>
  <si>
    <t>Sunil Rao</t>
  </si>
  <si>
    <t>27-12-2020</t>
  </si>
  <si>
    <t>Bolpur</t>
  </si>
  <si>
    <t>LN15</t>
  </si>
  <si>
    <t>Subhayan Sen</t>
  </si>
  <si>
    <t>30-01-2023</t>
  </si>
  <si>
    <t>LN16</t>
  </si>
  <si>
    <t>Meena Banerjee</t>
  </si>
  <si>
    <t>17-07-2018</t>
  </si>
  <si>
    <t>Serampore</t>
  </si>
  <si>
    <t>LN17</t>
  </si>
  <si>
    <t>Ajay Mehta</t>
  </si>
  <si>
    <t>16-06-2020</t>
  </si>
  <si>
    <t>Uluberia</t>
  </si>
  <si>
    <t>LN18</t>
  </si>
  <si>
    <t>Manoj Singh</t>
  </si>
  <si>
    <t>13-05-2018</t>
  </si>
  <si>
    <t>Purulia</t>
  </si>
  <si>
    <t>LN19</t>
  </si>
  <si>
    <t>Deepak Sen</t>
  </si>
  <si>
    <t>24-10-2017</t>
  </si>
  <si>
    <t>Tamluk</t>
  </si>
  <si>
    <t>LN20</t>
  </si>
  <si>
    <t>Anil Patel</t>
  </si>
  <si>
    <t>21-04-2021</t>
  </si>
  <si>
    <t>LN21</t>
  </si>
  <si>
    <t>Vikram Bose</t>
  </si>
  <si>
    <t>14-05-2021</t>
  </si>
  <si>
    <t>LN22</t>
  </si>
  <si>
    <t>Anjali Nair</t>
  </si>
  <si>
    <t>15-07-2015</t>
  </si>
  <si>
    <t>Haldia</t>
  </si>
  <si>
    <t>LN23</t>
  </si>
  <si>
    <t>Lata Yadav</t>
  </si>
  <si>
    <t>20-06-2019</t>
  </si>
  <si>
    <t>Ranaghat</t>
  </si>
  <si>
    <t>LN24</t>
  </si>
  <si>
    <t>Sunita Roy</t>
  </si>
  <si>
    <t>10-02-2016</t>
  </si>
  <si>
    <t>LN25</t>
  </si>
  <si>
    <t>Priya Ghosh</t>
  </si>
  <si>
    <t>29-09-2022</t>
  </si>
  <si>
    <t>Bangaon</t>
  </si>
  <si>
    <t>LN26</t>
  </si>
  <si>
    <t>Rajesh Shah</t>
  </si>
  <si>
    <t>31-10-2016</t>
  </si>
  <si>
    <t>Basirhat</t>
  </si>
  <si>
    <t>LN27</t>
  </si>
  <si>
    <t>Rohit Menon</t>
  </si>
  <si>
    <t>03-09-2015</t>
  </si>
  <si>
    <t>LN28</t>
  </si>
  <si>
    <t>Usha Gupta</t>
  </si>
  <si>
    <t>01-06-2017</t>
  </si>
  <si>
    <t>LN29</t>
  </si>
  <si>
    <t>Mukesh Joshi</t>
  </si>
  <si>
    <t>07-11-2017</t>
  </si>
  <si>
    <t>LN30</t>
  </si>
  <si>
    <t>Vikas Pillai</t>
  </si>
  <si>
    <t>05-05-2020</t>
  </si>
  <si>
    <t>Bishnupur</t>
  </si>
  <si>
    <t>LN31</t>
  </si>
  <si>
    <t>Ramesh Pandey</t>
  </si>
  <si>
    <t>23-01-2022</t>
  </si>
  <si>
    <t>Bongaon</t>
  </si>
  <si>
    <t>LN32</t>
  </si>
  <si>
    <t>Kavya Banerjee</t>
  </si>
  <si>
    <t>30-01-2016</t>
  </si>
  <si>
    <t>LN33</t>
  </si>
  <si>
    <t>Sneha Sharma</t>
  </si>
  <si>
    <t>17-01-2020</t>
  </si>
  <si>
    <t>Durgapur</t>
  </si>
  <si>
    <t>LN34</t>
  </si>
  <si>
    <t>Nisha Sen</t>
  </si>
  <si>
    <t>02-10-2018</t>
  </si>
  <si>
    <t>Raiganj</t>
  </si>
  <si>
    <t>LN35</t>
  </si>
  <si>
    <t>Geeta Gupta</t>
  </si>
  <si>
    <t>30-11-2017</t>
  </si>
  <si>
    <t>Habra</t>
  </si>
  <si>
    <t>LN36</t>
  </si>
  <si>
    <t>Nisha Bhat</t>
  </si>
  <si>
    <t>18-01-2019</t>
  </si>
  <si>
    <t>Kolkata</t>
  </si>
  <si>
    <t>LN37</t>
  </si>
  <si>
    <t>Anjali Bose</t>
  </si>
  <si>
    <t>15-01-2019</t>
  </si>
  <si>
    <t>Barasat</t>
  </si>
  <si>
    <t>LN38</t>
  </si>
  <si>
    <t>Manoj Mishra</t>
  </si>
  <si>
    <t>14-04-2021</t>
  </si>
  <si>
    <t>LN39</t>
  </si>
  <si>
    <t>Ramesh Kumar</t>
  </si>
  <si>
    <t>02-04-2021</t>
  </si>
  <si>
    <t>LN40</t>
  </si>
  <si>
    <t>Ramesh Nair</t>
  </si>
  <si>
    <t>21-11-2017</t>
  </si>
  <si>
    <t>LN41</t>
  </si>
  <si>
    <t>Deepak Mukherjee</t>
  </si>
  <si>
    <t>10-11-2018</t>
  </si>
  <si>
    <t>LN42</t>
  </si>
  <si>
    <t>Manoj Banerjee</t>
  </si>
  <si>
    <t>23-03-2015</t>
  </si>
  <si>
    <t>LN43</t>
  </si>
  <si>
    <t>Sneha Yadav</t>
  </si>
  <si>
    <t>14-08-2019</t>
  </si>
  <si>
    <t>LN44</t>
  </si>
  <si>
    <t>Meena Shah</t>
  </si>
  <si>
    <t>11-05-2016</t>
  </si>
  <si>
    <t>LN45</t>
  </si>
  <si>
    <t>Kiran Kumar</t>
  </si>
  <si>
    <t>09-12-2018</t>
  </si>
  <si>
    <t>LN46</t>
  </si>
  <si>
    <t>Rajesh Bose</t>
  </si>
  <si>
    <t>15-08-2022</t>
  </si>
  <si>
    <t>Asansol</t>
  </si>
  <si>
    <t>LN47</t>
  </si>
  <si>
    <t>Manoj Menon</t>
  </si>
  <si>
    <t>16-10-2021</t>
  </si>
  <si>
    <t>Diamond Harbour</t>
  </si>
  <si>
    <t>LN48</t>
  </si>
  <si>
    <t>Mukesh Das</t>
  </si>
  <si>
    <t>25-03-2017</t>
  </si>
  <si>
    <t>LN49</t>
  </si>
  <si>
    <t>Ritu Dutta</t>
  </si>
  <si>
    <t>20-06-2021</t>
  </si>
  <si>
    <t>LN50</t>
  </si>
  <si>
    <t>Rahul Das</t>
  </si>
  <si>
    <t>16-06-2021</t>
  </si>
  <si>
    <t>Kharagpur</t>
  </si>
  <si>
    <t>LN51</t>
  </si>
  <si>
    <t>Priya Roy</t>
  </si>
  <si>
    <t>15-04-2022</t>
  </si>
  <si>
    <t>Nabadwip</t>
  </si>
  <si>
    <t>LN52</t>
  </si>
  <si>
    <t>Ritu Bose</t>
  </si>
  <si>
    <t>12-04-2022</t>
  </si>
  <si>
    <t>LN53</t>
  </si>
  <si>
    <t>Manoj Gupta</t>
  </si>
  <si>
    <t>14-01-2021</t>
  </si>
  <si>
    <t>Suri</t>
  </si>
  <si>
    <t>LN54</t>
  </si>
  <si>
    <t>Deepak Menon</t>
  </si>
  <si>
    <t>15-12-2016</t>
  </si>
  <si>
    <t>LN55</t>
  </si>
  <si>
    <t>Preeti Pillai</t>
  </si>
  <si>
    <t>11-03-2018</t>
  </si>
  <si>
    <t>LN56</t>
  </si>
  <si>
    <t>Ritu Verma</t>
  </si>
  <si>
    <t>25-12-2018</t>
  </si>
  <si>
    <t>Baharampur</t>
  </si>
  <si>
    <t>LN57</t>
  </si>
  <si>
    <t>Dinesh Bose</t>
  </si>
  <si>
    <t>24-08-2018</t>
  </si>
  <si>
    <t>Howrah</t>
  </si>
  <si>
    <t>LN58</t>
  </si>
  <si>
    <t>Rajesh Singh</t>
  </si>
  <si>
    <t>20-07-2022</t>
  </si>
  <si>
    <t>LN59</t>
  </si>
  <si>
    <t>Sunita Singh</t>
  </si>
  <si>
    <t>21-09-2020</t>
  </si>
  <si>
    <t>LN60</t>
  </si>
  <si>
    <t>Kiran Ghosh</t>
  </si>
  <si>
    <t>19-06-2020</t>
  </si>
  <si>
    <t>LN61</t>
  </si>
  <si>
    <t>Mukesh Shah</t>
  </si>
  <si>
    <t>05-01-2020</t>
  </si>
  <si>
    <t>LN62</t>
  </si>
  <si>
    <t>Sunita Ghosh</t>
  </si>
  <si>
    <t>18-11-2015</t>
  </si>
  <si>
    <t>LN63</t>
  </si>
  <si>
    <t>LN64</t>
  </si>
  <si>
    <t>Sunil Bose</t>
  </si>
  <si>
    <t>18-11-2021</t>
  </si>
  <si>
    <t>LN65</t>
  </si>
  <si>
    <t>Ramesh Das</t>
  </si>
  <si>
    <t>19-03-2018</t>
  </si>
  <si>
    <t>Kalimpong</t>
  </si>
  <si>
    <t>LN66</t>
  </si>
  <si>
    <t>Pooja Kapoor</t>
  </si>
  <si>
    <t>14-03-2020</t>
  </si>
  <si>
    <t>LN67</t>
  </si>
  <si>
    <t>Dinesh Gupta</t>
  </si>
  <si>
    <t>31-01-2022</t>
  </si>
  <si>
    <t>LN68</t>
  </si>
  <si>
    <t>Rahul Bhat</t>
  </si>
  <si>
    <t>16-08-2016</t>
  </si>
  <si>
    <t>LN69</t>
  </si>
  <si>
    <t>Rohit Singh</t>
  </si>
  <si>
    <t>17-11-2016</t>
  </si>
  <si>
    <t>LN70</t>
  </si>
  <si>
    <t>Meena Roy</t>
  </si>
  <si>
    <t>08-03-2022</t>
  </si>
  <si>
    <t>LN71</t>
  </si>
  <si>
    <t>Ajay Yadav</t>
  </si>
  <si>
    <t>13-10-2018</t>
  </si>
  <si>
    <t>LN72</t>
  </si>
  <si>
    <t>Sneha Bose</t>
  </si>
  <si>
    <t>24-09-2019</t>
  </si>
  <si>
    <t>LN73</t>
  </si>
  <si>
    <t>Usha Yadav</t>
  </si>
  <si>
    <t>29-01-2022</t>
  </si>
  <si>
    <t>LN74</t>
  </si>
  <si>
    <t>Rajesh Kapoor</t>
  </si>
  <si>
    <t>13-11-2021</t>
  </si>
  <si>
    <t>LN75</t>
  </si>
  <si>
    <t>Sunita Shah</t>
  </si>
  <si>
    <t>30-05-2021</t>
  </si>
  <si>
    <t>LN76</t>
  </si>
  <si>
    <t>Subhayan Mukherjee</t>
  </si>
  <si>
    <t>16-07-2019</t>
  </si>
  <si>
    <t>LN77</t>
  </si>
  <si>
    <t>Rohit Mukherjee</t>
  </si>
  <si>
    <t>20-10-2015</t>
  </si>
  <si>
    <t>LN78</t>
  </si>
  <si>
    <t>Divya Sen</t>
  </si>
  <si>
    <t>21-11-2015</t>
  </si>
  <si>
    <t>LN79</t>
  </si>
  <si>
    <t>Manoj Sen</t>
  </si>
  <si>
    <t>25-10-2016</t>
  </si>
  <si>
    <t>LN80</t>
  </si>
  <si>
    <t>08-11-2018</t>
  </si>
  <si>
    <t>LN81</t>
  </si>
  <si>
    <t>Geeta Reddy</t>
  </si>
  <si>
    <t>23-07-2017</t>
  </si>
  <si>
    <t>LN82</t>
  </si>
  <si>
    <t>Meena Mishra</t>
  </si>
  <si>
    <t>08-07-2018</t>
  </si>
  <si>
    <t>LN83</t>
  </si>
  <si>
    <t>Subhayan Ghosh</t>
  </si>
  <si>
    <t>21-07-2018</t>
  </si>
  <si>
    <t>LN84</t>
  </si>
  <si>
    <t>Sunita Kapoor</t>
  </si>
  <si>
    <t>28-04-2022</t>
  </si>
  <si>
    <t>LN85</t>
  </si>
  <si>
    <t>Arjun Kapoor</t>
  </si>
  <si>
    <t>08-04-2018</t>
  </si>
  <si>
    <t>LN86</t>
  </si>
  <si>
    <t>Anjali Bhat</t>
  </si>
  <si>
    <t>19-12-2022</t>
  </si>
  <si>
    <t>pending</t>
  </si>
  <si>
    <t>LN87</t>
  </si>
  <si>
    <t>Sanjay Dutta</t>
  </si>
  <si>
    <t>31-12-2017</t>
  </si>
  <si>
    <t>Malda</t>
  </si>
  <si>
    <t>LN88</t>
  </si>
  <si>
    <t>Shweta Yadav</t>
  </si>
  <si>
    <t>15-10-2021</t>
  </si>
  <si>
    <t>LN89</t>
  </si>
  <si>
    <t>Kavya Singh</t>
  </si>
  <si>
    <t>25-03-2022</t>
  </si>
  <si>
    <t>LN90</t>
  </si>
  <si>
    <t>Ramesh Sen</t>
  </si>
  <si>
    <t>08-06-2019</t>
  </si>
  <si>
    <t>Darjeeling</t>
  </si>
  <si>
    <t>LN91</t>
  </si>
  <si>
    <t>16-01-2018</t>
  </si>
  <si>
    <t>LN92</t>
  </si>
  <si>
    <t>Hemant Menon</t>
  </si>
  <si>
    <t>28-12-2019</t>
  </si>
  <si>
    <t>LN93</t>
  </si>
  <si>
    <t>Subhayan Yadav</t>
  </si>
  <si>
    <t>27-01-2019</t>
  </si>
  <si>
    <t>LN94</t>
  </si>
  <si>
    <t>Ritu Iyer</t>
  </si>
  <si>
    <t>01-08-2021</t>
  </si>
  <si>
    <t>LN95</t>
  </si>
  <si>
    <t>Amit Patel</t>
  </si>
  <si>
    <t>03-11-2020</t>
  </si>
  <si>
    <t>LN96</t>
  </si>
  <si>
    <t>Ramesh Pillai</t>
  </si>
  <si>
    <t>19-01-2020</t>
  </si>
  <si>
    <t>LN97</t>
  </si>
  <si>
    <t>Sanjay Das</t>
  </si>
  <si>
    <t>23-08-2019</t>
  </si>
  <si>
    <t>LN98</t>
  </si>
  <si>
    <t>16-11-2016</t>
  </si>
  <si>
    <t>LN99</t>
  </si>
  <si>
    <t>Preeti Gupta</t>
  </si>
  <si>
    <t>23-01-2017</t>
  </si>
  <si>
    <t>LN100</t>
  </si>
  <si>
    <t>Vikram Ghosh</t>
  </si>
  <si>
    <t>05-04-2015</t>
  </si>
  <si>
    <t>LN101</t>
  </si>
  <si>
    <t>Dinesh Dutta</t>
  </si>
  <si>
    <t>27-05-2016</t>
  </si>
  <si>
    <t>LN102</t>
  </si>
  <si>
    <t>Sneha Sen</t>
  </si>
  <si>
    <t>28-02-2023</t>
  </si>
  <si>
    <t>LN103</t>
  </si>
  <si>
    <t>19-08-2017</t>
  </si>
  <si>
    <t>LN104</t>
  </si>
  <si>
    <t>Pooja Singh</t>
  </si>
  <si>
    <t>04-06-2022</t>
  </si>
  <si>
    <t>Siliguri</t>
  </si>
  <si>
    <t>LN105</t>
  </si>
  <si>
    <t>Pallavi Shah</t>
  </si>
  <si>
    <t>27-10-2017</t>
  </si>
  <si>
    <t>LN106</t>
  </si>
  <si>
    <t>Meena Rao</t>
  </si>
  <si>
    <t>10-11-2022</t>
  </si>
  <si>
    <t>LN107</t>
  </si>
  <si>
    <t>Hemant Bhat</t>
  </si>
  <si>
    <t>24-11-2015</t>
  </si>
  <si>
    <t>LN108</t>
  </si>
  <si>
    <t>Mamta Reddy</t>
  </si>
  <si>
    <t>12-05-2017</t>
  </si>
  <si>
    <t>LN109</t>
  </si>
  <si>
    <t>14-11-2016</t>
  </si>
  <si>
    <t>LN110</t>
  </si>
  <si>
    <t>15-06-2019</t>
  </si>
  <si>
    <t>LN111</t>
  </si>
  <si>
    <t>26-02-2016</t>
  </si>
  <si>
    <t>LN112</t>
  </si>
  <si>
    <t>Sanjay Bose</t>
  </si>
  <si>
    <t>27-01-2016</t>
  </si>
  <si>
    <t>LN113</t>
  </si>
  <si>
    <t>Ramesh Mishra</t>
  </si>
  <si>
    <t>19-09-2015</t>
  </si>
  <si>
    <t>LN114</t>
  </si>
  <si>
    <t>Hemant Mishra</t>
  </si>
  <si>
    <t>22-04-2020</t>
  </si>
  <si>
    <t>LN115</t>
  </si>
  <si>
    <t>Rohit Das</t>
  </si>
  <si>
    <t>24-02-2021</t>
  </si>
  <si>
    <t>LN116</t>
  </si>
  <si>
    <t>Nisha Gupta</t>
  </si>
  <si>
    <t>09-08-2015</t>
  </si>
  <si>
    <t>LN117</t>
  </si>
  <si>
    <t>Anil Mitra</t>
  </si>
  <si>
    <t>18-04-2015</t>
  </si>
  <si>
    <t>LN118</t>
  </si>
  <si>
    <t>Sunil Shah</t>
  </si>
  <si>
    <t>LN119</t>
  </si>
  <si>
    <t>Nisha Pandey</t>
  </si>
  <si>
    <t>16-11-2020</t>
  </si>
  <si>
    <t>LN120</t>
  </si>
  <si>
    <t>Nisha Mitra</t>
  </si>
  <si>
    <t>07-12-2015</t>
  </si>
  <si>
    <t>LN121</t>
  </si>
  <si>
    <t>Sneha Banerjee</t>
  </si>
  <si>
    <t>01-03-2016</t>
  </si>
  <si>
    <t>LN122</t>
  </si>
  <si>
    <t>11-12-2017</t>
  </si>
  <si>
    <t>LN123</t>
  </si>
  <si>
    <t>Sneha Pillai</t>
  </si>
  <si>
    <t>06-12-2021</t>
  </si>
  <si>
    <t>LN124</t>
  </si>
  <si>
    <t>Priya Bhat</t>
  </si>
  <si>
    <t>28-09-2016</t>
  </si>
  <si>
    <t>LN125</t>
  </si>
  <si>
    <t>Anil Gupta</t>
  </si>
  <si>
    <t>12-12-2015</t>
  </si>
  <si>
    <t>LN126</t>
  </si>
  <si>
    <t>Shweta Das</t>
  </si>
  <si>
    <t>06-05-2022</t>
  </si>
  <si>
    <t>LN127</t>
  </si>
  <si>
    <t>Manoj Mukherjee</t>
  </si>
  <si>
    <t>16-05-2019</t>
  </si>
  <si>
    <t>LN128</t>
  </si>
  <si>
    <t>Dinesh Verma</t>
  </si>
  <si>
    <t>21-06-2018</t>
  </si>
  <si>
    <t>LN129</t>
  </si>
  <si>
    <t>Divya Singh</t>
  </si>
  <si>
    <t>28-07-2017</t>
  </si>
  <si>
    <t>LN130</t>
  </si>
  <si>
    <t>Preeti Pandey</t>
  </si>
  <si>
    <t>10-10-2017</t>
  </si>
  <si>
    <t>LN131</t>
  </si>
  <si>
    <t>Pallavi Das</t>
  </si>
  <si>
    <t>09-03-2018</t>
  </si>
  <si>
    <t>LN132</t>
  </si>
  <si>
    <t>Pallavi Roy</t>
  </si>
  <si>
    <t>21-12-2019</t>
  </si>
  <si>
    <t>LN133</t>
  </si>
  <si>
    <t>Rekha Verma</t>
  </si>
  <si>
    <t>10-01-2022</t>
  </si>
  <si>
    <t>LN134</t>
  </si>
  <si>
    <t>Anjali Patel</t>
  </si>
  <si>
    <t>01-06-2016</t>
  </si>
  <si>
    <t>LN135</t>
  </si>
  <si>
    <t>Ajay Nair</t>
  </si>
  <si>
    <t>21-06-2016</t>
  </si>
  <si>
    <t>LN136</t>
  </si>
  <si>
    <t>Ajay Reddy</t>
  </si>
  <si>
    <t>27-11-2020</t>
  </si>
  <si>
    <t>LN137</t>
  </si>
  <si>
    <t>Rajesh Bhat</t>
  </si>
  <si>
    <t>29-11-2016</t>
  </si>
  <si>
    <t>LN138</t>
  </si>
  <si>
    <t>Rahul Mukherjee</t>
  </si>
  <si>
    <t>28-04-2015</t>
  </si>
  <si>
    <t>LN139</t>
  </si>
  <si>
    <t>Anjali Sharma</t>
  </si>
  <si>
    <t>24-05-2015</t>
  </si>
  <si>
    <t>LN140</t>
  </si>
  <si>
    <t>Vinod Ghosh</t>
  </si>
  <si>
    <t>10-06-2022</t>
  </si>
  <si>
    <t>LN141</t>
  </si>
  <si>
    <t>Anil Roy</t>
  </si>
  <si>
    <t>01-01-2019</t>
  </si>
  <si>
    <t>LN142</t>
  </si>
  <si>
    <t>Anjali Das</t>
  </si>
  <si>
    <t>25-08-2018</t>
  </si>
  <si>
    <t>LN143</t>
  </si>
  <si>
    <t>Kavya Verma</t>
  </si>
  <si>
    <t>04-05-2020</t>
  </si>
  <si>
    <t>LN144</t>
  </si>
  <si>
    <t>Divya Mishra</t>
  </si>
  <si>
    <t>28-03-2020</t>
  </si>
  <si>
    <t>LN145</t>
  </si>
  <si>
    <t>Pooja Reddy</t>
  </si>
  <si>
    <t>23-01-2021</t>
  </si>
  <si>
    <t>LN146</t>
  </si>
  <si>
    <t>Arjun Rao</t>
  </si>
  <si>
    <t>20-01-2018</t>
  </si>
  <si>
    <t>LN147</t>
  </si>
  <si>
    <t>Rajesh Das</t>
  </si>
  <si>
    <t>LN148</t>
  </si>
  <si>
    <t>Sneha Mishra</t>
  </si>
  <si>
    <t>LN149</t>
  </si>
  <si>
    <t>Mukesh Patel</t>
  </si>
  <si>
    <t>07-07-2016</t>
  </si>
  <si>
    <t>LN150</t>
  </si>
  <si>
    <t>Rahul Chatterjee</t>
  </si>
  <si>
    <t>28-10-2022</t>
  </si>
  <si>
    <t>LN151</t>
  </si>
  <si>
    <t>Divya Dutta</t>
  </si>
  <si>
    <t>17-01-2021</t>
  </si>
  <si>
    <t>LN152</t>
  </si>
  <si>
    <t>Subhayan Gupta</t>
  </si>
  <si>
    <t>26-12-2016</t>
  </si>
  <si>
    <t>LN153</t>
  </si>
  <si>
    <t>17-08-2021</t>
  </si>
  <si>
    <t>LN154</t>
  </si>
  <si>
    <t>Rekha Iyer</t>
  </si>
  <si>
    <t>13-09-2021</t>
  </si>
  <si>
    <t>LN155</t>
  </si>
  <si>
    <t>Pallavi Verma</t>
  </si>
  <si>
    <t>14-02-2020</t>
  </si>
  <si>
    <t>LN156</t>
  </si>
  <si>
    <t>Vinod Pillai</t>
  </si>
  <si>
    <t>28-01-2022</t>
  </si>
  <si>
    <t>LN157</t>
  </si>
  <si>
    <t>Rahul Kumar</t>
  </si>
  <si>
    <t>17-02-2022</t>
  </si>
  <si>
    <t>LN158</t>
  </si>
  <si>
    <t>Usha Mitra</t>
  </si>
  <si>
    <t>29-04-2021</t>
  </si>
  <si>
    <t>LN159</t>
  </si>
  <si>
    <t>Usha Rao</t>
  </si>
  <si>
    <t>17-11-2019</t>
  </si>
  <si>
    <t>LN160</t>
  </si>
  <si>
    <t>Rajesh Joshi</t>
  </si>
  <si>
    <t>14-11-2020</t>
  </si>
  <si>
    <t>LN161</t>
  </si>
  <si>
    <t>Ajay Banerjee</t>
  </si>
  <si>
    <t>05-03-2022</t>
  </si>
  <si>
    <t>LN162</t>
  </si>
  <si>
    <t>Mukesh Mukherjee</t>
  </si>
  <si>
    <t>04-03-2022</t>
  </si>
  <si>
    <t>LN163</t>
  </si>
  <si>
    <t>Dinesh Singh</t>
  </si>
  <si>
    <t>26-12-2020</t>
  </si>
  <si>
    <t>LN164</t>
  </si>
  <si>
    <t>Kavya Joshi</t>
  </si>
  <si>
    <t>22-06-2018</t>
  </si>
  <si>
    <t>LN165</t>
  </si>
  <si>
    <t>Deepak Sharma</t>
  </si>
  <si>
    <t>23-11-2018</t>
  </si>
  <si>
    <t>LN166</t>
  </si>
  <si>
    <t>Sunil Ghosh</t>
  </si>
  <si>
    <t>26-05-2020</t>
  </si>
  <si>
    <t>LN167</t>
  </si>
  <si>
    <t>Divya Sharma</t>
  </si>
  <si>
    <t>19-01-2021</t>
  </si>
  <si>
    <t>LN168</t>
  </si>
  <si>
    <t>Ritu Sharma</t>
  </si>
  <si>
    <t>19-07-2017</t>
  </si>
  <si>
    <t>LN169</t>
  </si>
  <si>
    <t>Rahul Pandey</t>
  </si>
  <si>
    <t>02-01-2016</t>
  </si>
  <si>
    <t>LN170</t>
  </si>
  <si>
    <t>Pallavi Kapoor</t>
  </si>
  <si>
    <t>15-12-2019</t>
  </si>
  <si>
    <t>LN171</t>
  </si>
  <si>
    <t>Hemant Kumar</t>
  </si>
  <si>
    <t>15-06-2018</t>
  </si>
  <si>
    <t>LN172</t>
  </si>
  <si>
    <t>Rahul Kapoor</t>
  </si>
  <si>
    <t>07-02-2019</t>
  </si>
  <si>
    <t>LN173</t>
  </si>
  <si>
    <t>Vikram Bhat</t>
  </si>
  <si>
    <t>16-08-2019</t>
  </si>
  <si>
    <t>LN174</t>
  </si>
  <si>
    <t>Arjun Gupta</t>
  </si>
  <si>
    <t>LN175</t>
  </si>
  <si>
    <t>Mamta Gupta</t>
  </si>
  <si>
    <t>29-09-2016</t>
  </si>
  <si>
    <t>LN176</t>
  </si>
  <si>
    <t>Kiran Bose</t>
  </si>
  <si>
    <t>28-05-2018</t>
  </si>
  <si>
    <t>LN177</t>
  </si>
  <si>
    <t>Rohit Pillai</t>
  </si>
  <si>
    <t>13-02-2015</t>
  </si>
  <si>
    <t>LN178</t>
  </si>
  <si>
    <t>Preeti Das</t>
  </si>
  <si>
    <t>01-01-2015</t>
  </si>
  <si>
    <t>LN179</t>
  </si>
  <si>
    <t>Sunil Yadav</t>
  </si>
  <si>
    <t>13-11-2020</t>
  </si>
  <si>
    <t>LN180</t>
  </si>
  <si>
    <t>Priya Yadav</t>
  </si>
  <si>
    <t>12-07-2016</t>
  </si>
  <si>
    <t>LN181</t>
  </si>
  <si>
    <t>Vikram Reddy</t>
  </si>
  <si>
    <t>09-11-2018</t>
  </si>
  <si>
    <t>LN182</t>
  </si>
  <si>
    <t>Sunil Pandey</t>
  </si>
  <si>
    <t>20-03-2018</t>
  </si>
  <si>
    <t>LN183</t>
  </si>
  <si>
    <t>Hemant Mehta</t>
  </si>
  <si>
    <t>05-04-2020</t>
  </si>
  <si>
    <t>LN184</t>
  </si>
  <si>
    <t>Sunita Verma</t>
  </si>
  <si>
    <t>31-12-2020</t>
  </si>
  <si>
    <t>LN185</t>
  </si>
  <si>
    <t>Ritu Das</t>
  </si>
  <si>
    <t>04-02-2015</t>
  </si>
  <si>
    <t>LN186</t>
  </si>
  <si>
    <t>Sunita Bose</t>
  </si>
  <si>
    <t>18-09-2022</t>
  </si>
  <si>
    <t>LN187</t>
  </si>
  <si>
    <t>Pooja Mukherjee</t>
  </si>
  <si>
    <t>07-07-2020</t>
  </si>
  <si>
    <t>LN188</t>
  </si>
  <si>
    <t>Sanjay Mishra</t>
  </si>
  <si>
    <t>08-05-2020</t>
  </si>
  <si>
    <t>LN189</t>
  </si>
  <si>
    <t>Ritu Menon</t>
  </si>
  <si>
    <t>12-05-2018</t>
  </si>
  <si>
    <t>LN190</t>
  </si>
  <si>
    <t>Sneha Mitra</t>
  </si>
  <si>
    <t>07-02-2015</t>
  </si>
  <si>
    <t>LN191</t>
  </si>
  <si>
    <t>Rajesh Yadav</t>
  </si>
  <si>
    <t>30-10-2019</t>
  </si>
  <si>
    <t>LN192</t>
  </si>
  <si>
    <t>Preeti Patel</t>
  </si>
  <si>
    <t>14-04-2018</t>
  </si>
  <si>
    <t>LN193</t>
  </si>
  <si>
    <t>Sneha Shah</t>
  </si>
  <si>
    <t>11-09-2021</t>
  </si>
  <si>
    <t>LN194</t>
  </si>
  <si>
    <t>Deepak Kapoor</t>
  </si>
  <si>
    <t>05-08-2017</t>
  </si>
  <si>
    <t>LN195</t>
  </si>
  <si>
    <t>30-01-2015</t>
  </si>
  <si>
    <t>LN196</t>
  </si>
  <si>
    <t>Lata Pillai</t>
  </si>
  <si>
    <t>23-02-2021</t>
  </si>
  <si>
    <t>LN197</t>
  </si>
  <si>
    <t>11-03-2019</t>
  </si>
  <si>
    <t>LN198</t>
  </si>
  <si>
    <t>Kiran Nair</t>
  </si>
  <si>
    <t>11-02-2017</t>
  </si>
  <si>
    <t>LN199</t>
  </si>
  <si>
    <t>Geeta Kumar</t>
  </si>
  <si>
    <t>LN200</t>
  </si>
  <si>
    <t>Neha Dutta</t>
  </si>
  <si>
    <t>15-04-2021</t>
  </si>
  <si>
    <t>LN201</t>
  </si>
  <si>
    <t>Divya Banerjee</t>
  </si>
  <si>
    <t>26-11-2019</t>
  </si>
  <si>
    <t>LN202</t>
  </si>
  <si>
    <t>Sanjay Yadav</t>
  </si>
  <si>
    <t>05-06-2019</t>
  </si>
  <si>
    <t>LN203</t>
  </si>
  <si>
    <t>Hemant Mitra</t>
  </si>
  <si>
    <t>20-10-2017</t>
  </si>
  <si>
    <t>LN204</t>
  </si>
  <si>
    <t>30-10-2016</t>
  </si>
  <si>
    <t>LN205</t>
  </si>
  <si>
    <t>Anjali Pillai</t>
  </si>
  <si>
    <t>07-01-2023</t>
  </si>
  <si>
    <t>LN206</t>
  </si>
  <si>
    <t>Pooja Rao</t>
  </si>
  <si>
    <t>30-03-2022</t>
  </si>
  <si>
    <t>LN207</t>
  </si>
  <si>
    <t>LN208</t>
  </si>
  <si>
    <t>Anjali Ghosh</t>
  </si>
  <si>
    <t>30-03-2019</t>
  </si>
  <si>
    <t>LN209</t>
  </si>
  <si>
    <t>Mukesh Singh</t>
  </si>
  <si>
    <t>22-06-2017</t>
  </si>
  <si>
    <t>LN210</t>
  </si>
  <si>
    <t>Manoj Joshi</t>
  </si>
  <si>
    <t>13-12-2017</t>
  </si>
  <si>
    <t>LN211</t>
  </si>
  <si>
    <t>Mamta Verma</t>
  </si>
  <si>
    <t>LN212</t>
  </si>
  <si>
    <t>Anil Verma</t>
  </si>
  <si>
    <t>26-09-2019</t>
  </si>
  <si>
    <t>LN213</t>
  </si>
  <si>
    <t>05-01-2022</t>
  </si>
  <si>
    <t>LN214</t>
  </si>
  <si>
    <t>Dinesh Rao</t>
  </si>
  <si>
    <t>08-09-2017</t>
  </si>
  <si>
    <t>LN215</t>
  </si>
  <si>
    <t>Rahul Gupta</t>
  </si>
  <si>
    <t>17-10-2020</t>
  </si>
  <si>
    <t>LN216</t>
  </si>
  <si>
    <t>Ajay Dutta</t>
  </si>
  <si>
    <t>16-11-2021</t>
  </si>
  <si>
    <t>LN217</t>
  </si>
  <si>
    <t>Manoj Sharma</t>
  </si>
  <si>
    <t>13-10-2022</t>
  </si>
  <si>
    <t>LN218</t>
  </si>
  <si>
    <t>Subhayan Mehta</t>
  </si>
  <si>
    <t>05-09-2022</t>
  </si>
  <si>
    <t>LN219</t>
  </si>
  <si>
    <t>Pooja Chatterjee</t>
  </si>
  <si>
    <t>18-01-2018</t>
  </si>
  <si>
    <t>LN220</t>
  </si>
  <si>
    <t>Sunita Kumar</t>
  </si>
  <si>
    <t>12-03-2018</t>
  </si>
  <si>
    <t>LN221</t>
  </si>
  <si>
    <t>Neha Shah</t>
  </si>
  <si>
    <t>10-04-2022</t>
  </si>
  <si>
    <t>LN222</t>
  </si>
  <si>
    <t>Ajay Shah</t>
  </si>
  <si>
    <t>18-12-2020</t>
  </si>
  <si>
    <t>LN223</t>
  </si>
  <si>
    <t>Subhayan Patel</t>
  </si>
  <si>
    <t>06-01-2018</t>
  </si>
  <si>
    <t>LN224</t>
  </si>
  <si>
    <t>19-08-2019</t>
  </si>
  <si>
    <t>LN225</t>
  </si>
  <si>
    <t>Suresh Shah</t>
  </si>
  <si>
    <t>09-02-2017</t>
  </si>
  <si>
    <t>LN226</t>
  </si>
  <si>
    <t>Priya Dutta</t>
  </si>
  <si>
    <t>08-10-2015</t>
  </si>
  <si>
    <t>LN227</t>
  </si>
  <si>
    <t>17-01-2017</t>
  </si>
  <si>
    <t>LN228</t>
  </si>
  <si>
    <t>13-07-2016</t>
  </si>
  <si>
    <t>LN229</t>
  </si>
  <si>
    <t>Ajay Singh</t>
  </si>
  <si>
    <t>01-04-2018</t>
  </si>
  <si>
    <t>LN230</t>
  </si>
  <si>
    <t>Priya Joshi</t>
  </si>
  <si>
    <t>28-03-2016</t>
  </si>
  <si>
    <t>LN231</t>
  </si>
  <si>
    <t>21-02-2022</t>
  </si>
  <si>
    <t>LN232</t>
  </si>
  <si>
    <t>Priya Pillai</t>
  </si>
  <si>
    <t>09-02-2020</t>
  </si>
  <si>
    <t>LN233</t>
  </si>
  <si>
    <t>Lata Verma</t>
  </si>
  <si>
    <t>05-12-2021</t>
  </si>
  <si>
    <t>LN234</t>
  </si>
  <si>
    <t>Kiran Mukherjee</t>
  </si>
  <si>
    <t>29-01-2020</t>
  </si>
  <si>
    <t>LN235</t>
  </si>
  <si>
    <t>19-01-2018</t>
  </si>
  <si>
    <t>LN236</t>
  </si>
  <si>
    <t>Mukesh Pillai</t>
  </si>
  <si>
    <t>09-11-2022</t>
  </si>
  <si>
    <t>LN237</t>
  </si>
  <si>
    <t>Rekha Yadav</t>
  </si>
  <si>
    <t>25-12-2021</t>
  </si>
  <si>
    <t>LN238</t>
  </si>
  <si>
    <t>Suresh Menon</t>
  </si>
  <si>
    <t>08-07-2020</t>
  </si>
  <si>
    <t>LN239</t>
  </si>
  <si>
    <t>Kiran Bhat</t>
  </si>
  <si>
    <t>08-02-2017</t>
  </si>
  <si>
    <t>LN240</t>
  </si>
  <si>
    <t>06-08-2018</t>
  </si>
  <si>
    <t>LN241</t>
  </si>
  <si>
    <t>Arjun Pillai</t>
  </si>
  <si>
    <t>21-03-2015</t>
  </si>
  <si>
    <t>LN242</t>
  </si>
  <si>
    <t>Rekha Mitra</t>
  </si>
  <si>
    <t>15-09-2016</t>
  </si>
  <si>
    <t>LN243</t>
  </si>
  <si>
    <t>Arjun Ghosh</t>
  </si>
  <si>
    <t>23-07-2015</t>
  </si>
  <si>
    <t>LN244</t>
  </si>
  <si>
    <t>LN245</t>
  </si>
  <si>
    <t>Rekha Roy</t>
  </si>
  <si>
    <t>01-04-2015</t>
  </si>
  <si>
    <t>LN246</t>
  </si>
  <si>
    <t>Kiran Rao</t>
  </si>
  <si>
    <t>31-01-2017</t>
  </si>
  <si>
    <t>LN247</t>
  </si>
  <si>
    <t>23-02-2016</t>
  </si>
  <si>
    <t>LN248</t>
  </si>
  <si>
    <t>01-03-2018</t>
  </si>
  <si>
    <t>LN249</t>
  </si>
  <si>
    <t>07-01-2018</t>
  </si>
  <si>
    <t>LN250</t>
  </si>
  <si>
    <t>LN251</t>
  </si>
  <si>
    <t>Kavya Dutta</t>
  </si>
  <si>
    <t>08-01-2023</t>
  </si>
  <si>
    <t>LN252</t>
  </si>
  <si>
    <t>Rajesh Nair</t>
  </si>
  <si>
    <t>01-12-2019</t>
  </si>
  <si>
    <t>LN253</t>
  </si>
  <si>
    <t>26-02-2023</t>
  </si>
  <si>
    <t>LN254</t>
  </si>
  <si>
    <t>Nisha Das</t>
  </si>
  <si>
    <t>03-02-2015</t>
  </si>
  <si>
    <t>LN255</t>
  </si>
  <si>
    <t>Amit Mukherjee</t>
  </si>
  <si>
    <t>11-08-2017</t>
  </si>
  <si>
    <t>LN256</t>
  </si>
  <si>
    <t>Kavya Bose</t>
  </si>
  <si>
    <t>05-01-2016</t>
  </si>
  <si>
    <t>LN257</t>
  </si>
  <si>
    <t>Anil Rao</t>
  </si>
  <si>
    <t>09-09-2016</t>
  </si>
  <si>
    <t>LN258</t>
  </si>
  <si>
    <t>02-03-2015</t>
  </si>
  <si>
    <t>LN259</t>
  </si>
  <si>
    <t>Manoj Nair</t>
  </si>
  <si>
    <t>14-07-2020</t>
  </si>
  <si>
    <t>LN260</t>
  </si>
  <si>
    <t>Shweta Bose</t>
  </si>
  <si>
    <t>08-06-2017</t>
  </si>
  <si>
    <t>LN261</t>
  </si>
  <si>
    <t>Divya Mehta</t>
  </si>
  <si>
    <t>01-11-2018</t>
  </si>
  <si>
    <t>LN262</t>
  </si>
  <si>
    <t>18-09-2019</t>
  </si>
  <si>
    <t>LN263</t>
  </si>
  <si>
    <t>30-06-2018</t>
  </si>
  <si>
    <t>LN264</t>
  </si>
  <si>
    <t>03-08-2020</t>
  </si>
  <si>
    <t>LN265</t>
  </si>
  <si>
    <t>Priya Patel</t>
  </si>
  <si>
    <t>02-03-2019</t>
  </si>
  <si>
    <t>LN266</t>
  </si>
  <si>
    <t>LN267</t>
  </si>
  <si>
    <t>Lata Ghosh</t>
  </si>
  <si>
    <t>25-10-2022</t>
  </si>
  <si>
    <t>LN268</t>
  </si>
  <si>
    <t>Ritu Reddy</t>
  </si>
  <si>
    <t>10-05-2015</t>
  </si>
  <si>
    <t>LN269</t>
  </si>
  <si>
    <t>Mamta Kapoor</t>
  </si>
  <si>
    <t>14-09-2018</t>
  </si>
  <si>
    <t>LN270</t>
  </si>
  <si>
    <t>Rohit Bose</t>
  </si>
  <si>
    <t>25-11-2015</t>
  </si>
  <si>
    <t>LN271</t>
  </si>
  <si>
    <t>Preeti Verma</t>
  </si>
  <si>
    <t>21-08-2016</t>
  </si>
  <si>
    <t>LN272</t>
  </si>
  <si>
    <t>Sunita Sharma</t>
  </si>
  <si>
    <t>18-08-2015</t>
  </si>
  <si>
    <t>LN273</t>
  </si>
  <si>
    <t>Ajay Mitra</t>
  </si>
  <si>
    <t>27-12-2017</t>
  </si>
  <si>
    <t>LN274</t>
  </si>
  <si>
    <t>27-05-2019</t>
  </si>
  <si>
    <t>LN275</t>
  </si>
  <si>
    <t>Divya Mukherjee</t>
  </si>
  <si>
    <t>LN276</t>
  </si>
  <si>
    <t>Kavya Nair</t>
  </si>
  <si>
    <t>02-02-2021</t>
  </si>
  <si>
    <t>LN277</t>
  </si>
  <si>
    <t>Ajay Gupta</t>
  </si>
  <si>
    <t>09-04-2020</t>
  </si>
  <si>
    <t>LN278</t>
  </si>
  <si>
    <t>Anil Yadav</t>
  </si>
  <si>
    <t>13-01-2017</t>
  </si>
  <si>
    <t>LN279</t>
  </si>
  <si>
    <t>Ritu Mukherjee</t>
  </si>
  <si>
    <t>26-02-2017</t>
  </si>
  <si>
    <t>LN280</t>
  </si>
  <si>
    <t>Rohit Ghosh</t>
  </si>
  <si>
    <t>21-10-2017</t>
  </si>
  <si>
    <t>LN281</t>
  </si>
  <si>
    <t>Sanjay Kapoor</t>
  </si>
  <si>
    <t>12-04-2019</t>
  </si>
  <si>
    <t>LN282</t>
  </si>
  <si>
    <t>Sanjay Mukherjee</t>
  </si>
  <si>
    <t>21-02-2015</t>
  </si>
  <si>
    <t>LN283</t>
  </si>
  <si>
    <t>Rekha Mehta</t>
  </si>
  <si>
    <t>14-05-2016</t>
  </si>
  <si>
    <t>LN284</t>
  </si>
  <si>
    <t>Vinod Banerjee</t>
  </si>
  <si>
    <t>06-01-2023</t>
  </si>
  <si>
    <t>LN285</t>
  </si>
  <si>
    <t>Geeta Shah</t>
  </si>
  <si>
    <t>16-10-2017</t>
  </si>
  <si>
    <t>LN286</t>
  </si>
  <si>
    <t>Pooja Verma</t>
  </si>
  <si>
    <t>26-04-2019</t>
  </si>
  <si>
    <t>LN287</t>
  </si>
  <si>
    <t>Rekha Mukherjee</t>
  </si>
  <si>
    <t>20-12-2019</t>
  </si>
  <si>
    <t>LN288</t>
  </si>
  <si>
    <t>Usha Mukherjee</t>
  </si>
  <si>
    <t>09-10-2017</t>
  </si>
  <si>
    <t>LN289</t>
  </si>
  <si>
    <t>Arjun Yadav</t>
  </si>
  <si>
    <t>18-05-2015</t>
  </si>
  <si>
    <t>LN290</t>
  </si>
  <si>
    <t>Preeti Joshi</t>
  </si>
  <si>
    <t>26-03-2017</t>
  </si>
  <si>
    <t>LN291</t>
  </si>
  <si>
    <t>Vinod Shah</t>
  </si>
  <si>
    <t>02-03-2020</t>
  </si>
  <si>
    <t>LN292</t>
  </si>
  <si>
    <t>Subhayan Joshi</t>
  </si>
  <si>
    <t>20-01-2016</t>
  </si>
  <si>
    <t>LN293</t>
  </si>
  <si>
    <t>Geeta Verma</t>
  </si>
  <si>
    <t>04-11-2020</t>
  </si>
  <si>
    <t>LN294</t>
  </si>
  <si>
    <t>Ajay Roy</t>
  </si>
  <si>
    <t>20-06-2022</t>
  </si>
  <si>
    <t>LN295</t>
  </si>
  <si>
    <t>03-05-2017</t>
  </si>
  <si>
    <t>LN296</t>
  </si>
  <si>
    <t>Ritu Mishra</t>
  </si>
  <si>
    <t>20-04-2020</t>
  </si>
  <si>
    <t>LN297</t>
  </si>
  <si>
    <t>Neha Mishra</t>
  </si>
  <si>
    <t>13-05-2019</t>
  </si>
  <si>
    <t>LN298</t>
  </si>
  <si>
    <t>23-08-2022</t>
  </si>
  <si>
    <t>LN299</t>
  </si>
  <si>
    <t>02-07-2018</t>
  </si>
  <si>
    <t>LN300</t>
  </si>
  <si>
    <t>Meena Mukherjee</t>
  </si>
  <si>
    <t>16-08-2018</t>
  </si>
  <si>
    <t>LN301</t>
  </si>
  <si>
    <t>Vikram Joshi</t>
  </si>
  <si>
    <t>11-10-2016</t>
  </si>
  <si>
    <t>LN302</t>
  </si>
  <si>
    <t>Shweta Mukherjee</t>
  </si>
  <si>
    <t>21-01-2022</t>
  </si>
  <si>
    <t>LN303</t>
  </si>
  <si>
    <t>Vikas Mehta</t>
  </si>
  <si>
    <t>02-03-2023</t>
  </si>
  <si>
    <t>LN304</t>
  </si>
  <si>
    <t>Vikram Dutta</t>
  </si>
  <si>
    <t>22-06-2015</t>
  </si>
  <si>
    <t>LN305</t>
  </si>
  <si>
    <t>01-03-2021</t>
  </si>
  <si>
    <t>LN306</t>
  </si>
  <si>
    <t>LN307</t>
  </si>
  <si>
    <t>15-05-2016</t>
  </si>
  <si>
    <t>LN308</t>
  </si>
  <si>
    <t>Amit Sharma</t>
  </si>
  <si>
    <t>03-11-2017</t>
  </si>
  <si>
    <t>LN309</t>
  </si>
  <si>
    <t>Kiran Iyer</t>
  </si>
  <si>
    <t>25-05-2020</t>
  </si>
  <si>
    <t>LN310</t>
  </si>
  <si>
    <t>Vikas Bhat</t>
  </si>
  <si>
    <t>28-02-2022</t>
  </si>
  <si>
    <t>LN311</t>
  </si>
  <si>
    <t>08-05-2018</t>
  </si>
  <si>
    <t>LN312</t>
  </si>
  <si>
    <t>Rekha Pillai</t>
  </si>
  <si>
    <t>24-03-2017</t>
  </si>
  <si>
    <t>LN313</t>
  </si>
  <si>
    <t>16-01-2019</t>
  </si>
  <si>
    <t>LN314</t>
  </si>
  <si>
    <t>Usha Iyer</t>
  </si>
  <si>
    <t>02-08-2015</t>
  </si>
  <si>
    <t>LN315</t>
  </si>
  <si>
    <t>Vinod Das</t>
  </si>
  <si>
    <t>23-06-2022</t>
  </si>
  <si>
    <t>LN316</t>
  </si>
  <si>
    <t>Suresh Chatterjee</t>
  </si>
  <si>
    <t>11-06-2017</t>
  </si>
  <si>
    <t>LN317</t>
  </si>
  <si>
    <t>Subhayan Pillai</t>
  </si>
  <si>
    <t>07-04-2016</t>
  </si>
  <si>
    <t>LN318</t>
  </si>
  <si>
    <t>Anjali Sen</t>
  </si>
  <si>
    <t>24-08-2017</t>
  </si>
  <si>
    <t>LN319</t>
  </si>
  <si>
    <t>Ajay Das</t>
  </si>
  <si>
    <t>05-02-2022</t>
  </si>
  <si>
    <t>LN320</t>
  </si>
  <si>
    <t>Arjun Roy</t>
  </si>
  <si>
    <t>14-11-2019</t>
  </si>
  <si>
    <t>LN321</t>
  </si>
  <si>
    <t>22-08-2018</t>
  </si>
  <si>
    <t>LN322</t>
  </si>
  <si>
    <t>Rahul Shah</t>
  </si>
  <si>
    <t>03-03-2015</t>
  </si>
  <si>
    <t>LN323</t>
  </si>
  <si>
    <t>Kiran Menon</t>
  </si>
  <si>
    <t>LN324</t>
  </si>
  <si>
    <t>Rohit Mishra</t>
  </si>
  <si>
    <t>04-02-2018</t>
  </si>
  <si>
    <t>LN325</t>
  </si>
  <si>
    <t>Pooja Roy</t>
  </si>
  <si>
    <t>22-07-2021</t>
  </si>
  <si>
    <t>LN326</t>
  </si>
  <si>
    <t>Rajesh Mukherjee</t>
  </si>
  <si>
    <t>05-05-2016</t>
  </si>
  <si>
    <t>LN327</t>
  </si>
  <si>
    <t>Hemant Shah</t>
  </si>
  <si>
    <t>10-06-2019</t>
  </si>
  <si>
    <t>LN328</t>
  </si>
  <si>
    <t>Mamta Mehta</t>
  </si>
  <si>
    <t>22-09-2017</t>
  </si>
  <si>
    <t>LN329</t>
  </si>
  <si>
    <t>Neha Yadav</t>
  </si>
  <si>
    <t>06-02-2015</t>
  </si>
  <si>
    <t>LN330</t>
  </si>
  <si>
    <t>Shweta Reddy</t>
  </si>
  <si>
    <t>LN331</t>
  </si>
  <si>
    <t>Mukesh Mishra</t>
  </si>
  <si>
    <t>08-07-2021</t>
  </si>
  <si>
    <t>LN332</t>
  </si>
  <si>
    <t>Meena Ghosh</t>
  </si>
  <si>
    <t>30-09-2022</t>
  </si>
  <si>
    <t>LN333</t>
  </si>
  <si>
    <t>Pallavi Mishra</t>
  </si>
  <si>
    <t>30-04-2020</t>
  </si>
  <si>
    <t>LN334</t>
  </si>
  <si>
    <t>Sunita Sen</t>
  </si>
  <si>
    <t>20-09-2022</t>
  </si>
  <si>
    <t>LN335</t>
  </si>
  <si>
    <t>Kiran Dutta</t>
  </si>
  <si>
    <t>08-09-2021</t>
  </si>
  <si>
    <t>LN336</t>
  </si>
  <si>
    <t>26-09-2016</t>
  </si>
  <si>
    <t>LN337</t>
  </si>
  <si>
    <t>Hemant Iyer</t>
  </si>
  <si>
    <t>LN338</t>
  </si>
  <si>
    <t>LN339</t>
  </si>
  <si>
    <t>Neha Gupta</t>
  </si>
  <si>
    <t>15-10-2017</t>
  </si>
  <si>
    <t>LN340</t>
  </si>
  <si>
    <t>Geeta Das</t>
  </si>
  <si>
    <t>07-10-2016</t>
  </si>
  <si>
    <t>LN341</t>
  </si>
  <si>
    <t>Manoj Mehta</t>
  </si>
  <si>
    <t>09-08-2020</t>
  </si>
  <si>
    <t>LN342</t>
  </si>
  <si>
    <t>Ritu Pillai</t>
  </si>
  <si>
    <t>10-01-2016</t>
  </si>
  <si>
    <t>LN343</t>
  </si>
  <si>
    <t>10-09-2022</t>
  </si>
  <si>
    <t>LN344</t>
  </si>
  <si>
    <t>08-12-2021</t>
  </si>
  <si>
    <t>LN345</t>
  </si>
  <si>
    <t>Nisha Bose</t>
  </si>
  <si>
    <t>18-10-2018</t>
  </si>
  <si>
    <t>LN346</t>
  </si>
  <si>
    <t>Suresh Banerjee</t>
  </si>
  <si>
    <t>04-01-2022</t>
  </si>
  <si>
    <t>LN347</t>
  </si>
  <si>
    <t>Deepak Gupta</t>
  </si>
  <si>
    <t>LN348</t>
  </si>
  <si>
    <t>Rekha Reddy</t>
  </si>
  <si>
    <t>02-09-2015</t>
  </si>
  <si>
    <t>LN349</t>
  </si>
  <si>
    <t>Anil Shah</t>
  </si>
  <si>
    <t>27-12-2018</t>
  </si>
  <si>
    <t>LN350</t>
  </si>
  <si>
    <t>Rajesh Reddy</t>
  </si>
  <si>
    <t>LN351</t>
  </si>
  <si>
    <t>Rahul Verma</t>
  </si>
  <si>
    <t>22-09-2016</t>
  </si>
  <si>
    <t>LN352</t>
  </si>
  <si>
    <t>Rekha Bose</t>
  </si>
  <si>
    <t>12-11-2022</t>
  </si>
  <si>
    <t>LN353</t>
  </si>
  <si>
    <t>Sunil Banerjee</t>
  </si>
  <si>
    <t>05-01-2021</t>
  </si>
  <si>
    <t>LN354</t>
  </si>
  <si>
    <t>Amit Bhat</t>
  </si>
  <si>
    <t>15-03-2016</t>
  </si>
  <si>
    <t>LN355</t>
  </si>
  <si>
    <t>Preeti Bose</t>
  </si>
  <si>
    <t>30-05-2016</t>
  </si>
  <si>
    <t>LN356</t>
  </si>
  <si>
    <t>Pallavi Mitra</t>
  </si>
  <si>
    <t>21-06-2020</t>
  </si>
  <si>
    <t>LN357</t>
  </si>
  <si>
    <t>Lata Joshi</t>
  </si>
  <si>
    <t>LN358</t>
  </si>
  <si>
    <t>Usha Bhat</t>
  </si>
  <si>
    <t>LN359</t>
  </si>
  <si>
    <t>Rekha Shah</t>
  </si>
  <si>
    <t>06-04-2021</t>
  </si>
  <si>
    <t>LN360</t>
  </si>
  <si>
    <t>Divya Roy</t>
  </si>
  <si>
    <t>LN361</t>
  </si>
  <si>
    <t>Mamta Pillai</t>
  </si>
  <si>
    <t>LN362</t>
  </si>
  <si>
    <t>Nisha Iyer</t>
  </si>
  <si>
    <t>02-12-2019</t>
  </si>
  <si>
    <t>LN363</t>
  </si>
  <si>
    <t>Nisha Rao</t>
  </si>
  <si>
    <t>01-03-2017</t>
  </si>
  <si>
    <t>LN364</t>
  </si>
  <si>
    <t>Ajay Iyer</t>
  </si>
  <si>
    <t>29-03-2015</t>
  </si>
  <si>
    <t>LN365</t>
  </si>
  <si>
    <t>Amit Bose</t>
  </si>
  <si>
    <t>24-09-2022</t>
  </si>
  <si>
    <t>LN366</t>
  </si>
  <si>
    <t>Anil Mukherjee</t>
  </si>
  <si>
    <t>28-03-2019</t>
  </si>
  <si>
    <t>LN367</t>
  </si>
  <si>
    <t>07-01-2019</t>
  </si>
  <si>
    <t>LN368</t>
  </si>
  <si>
    <t>Meena Dutta</t>
  </si>
  <si>
    <t>15-02-2023</t>
  </si>
  <si>
    <t>LN369</t>
  </si>
  <si>
    <t>Rajesh Menon</t>
  </si>
  <si>
    <t>05-07-2016</t>
  </si>
  <si>
    <t>LN370</t>
  </si>
  <si>
    <t>Pooja Yadav</t>
  </si>
  <si>
    <t>23-10-2017</t>
  </si>
  <si>
    <t>LN371</t>
  </si>
  <si>
    <t>Divya Mitra</t>
  </si>
  <si>
    <t>11-06-2015</t>
  </si>
  <si>
    <t>LN372</t>
  </si>
  <si>
    <t>Vinod Pandey</t>
  </si>
  <si>
    <t>10-06-2020</t>
  </si>
  <si>
    <t>LN373</t>
  </si>
  <si>
    <t>Preeti Mukherjee</t>
  </si>
  <si>
    <t>04-12-2022</t>
  </si>
  <si>
    <t>LN374</t>
  </si>
  <si>
    <t>Amit Gupta</t>
  </si>
  <si>
    <t>28-11-2019</t>
  </si>
  <si>
    <t>LN375</t>
  </si>
  <si>
    <t>08-04-2021</t>
  </si>
  <si>
    <t>LN376</t>
  </si>
  <si>
    <t>Rajesh Kumar</t>
  </si>
  <si>
    <t>22-04-2018</t>
  </si>
  <si>
    <t>LN377</t>
  </si>
  <si>
    <t>Rahul Rao</t>
  </si>
  <si>
    <t>01-02-2021</t>
  </si>
  <si>
    <t>LN378</t>
  </si>
  <si>
    <t>Usha Mehta</t>
  </si>
  <si>
    <t>26-10-2022</t>
  </si>
  <si>
    <t>LN379</t>
  </si>
  <si>
    <t>Deepak Mishra</t>
  </si>
  <si>
    <t>30-06-2020</t>
  </si>
  <si>
    <t>LN380</t>
  </si>
  <si>
    <t>Ritu Mehta</t>
  </si>
  <si>
    <t>16-02-2017</t>
  </si>
  <si>
    <t>LN381</t>
  </si>
  <si>
    <t>10-05-2021</t>
  </si>
  <si>
    <t>LN382</t>
  </si>
  <si>
    <t>Rekha Rao</t>
  </si>
  <si>
    <t>03-02-2017</t>
  </si>
  <si>
    <t>LN383</t>
  </si>
  <si>
    <t>Vikram Iyer</t>
  </si>
  <si>
    <t>04-02-2021</t>
  </si>
  <si>
    <t>LN384</t>
  </si>
  <si>
    <t>Amit Ghosh</t>
  </si>
  <si>
    <t>25-11-2018</t>
  </si>
  <si>
    <t>LN385</t>
  </si>
  <si>
    <t>18-08-2018</t>
  </si>
  <si>
    <t>LN386</t>
  </si>
  <si>
    <t>Lata Das</t>
  </si>
  <si>
    <t>19-03-2023</t>
  </si>
  <si>
    <t>LN387</t>
  </si>
  <si>
    <t>02-04-2020</t>
  </si>
  <si>
    <t>LN388</t>
  </si>
  <si>
    <t>Priya Sen</t>
  </si>
  <si>
    <t>01-02-2018</t>
  </si>
  <si>
    <t>LN389</t>
  </si>
  <si>
    <t>Amit Das</t>
  </si>
  <si>
    <t>18-09-2021</t>
  </si>
  <si>
    <t>LN390</t>
  </si>
  <si>
    <t>21-03-2021</t>
  </si>
  <si>
    <t>LN391</t>
  </si>
  <si>
    <t>Amit Yadav</t>
  </si>
  <si>
    <t>18-10-2016</t>
  </si>
  <si>
    <t>LN392</t>
  </si>
  <si>
    <t>Suresh Das</t>
  </si>
  <si>
    <t>10-10-2015</t>
  </si>
  <si>
    <t>LN393</t>
  </si>
  <si>
    <t>Pooja Iyer</t>
  </si>
  <si>
    <t>15-12-2020</t>
  </si>
  <si>
    <t>LN394</t>
  </si>
  <si>
    <t>Rohit Pandey</t>
  </si>
  <si>
    <t>LN395</t>
  </si>
  <si>
    <t>15-01-2020</t>
  </si>
  <si>
    <t>LN396</t>
  </si>
  <si>
    <t>26-04-2018</t>
  </si>
  <si>
    <t>LN397</t>
  </si>
  <si>
    <t>14-12-2017</t>
  </si>
  <si>
    <t>LN398</t>
  </si>
  <si>
    <t>Mamta Yadav</t>
  </si>
  <si>
    <t>27-01-2021</t>
  </si>
  <si>
    <t>LN399</t>
  </si>
  <si>
    <t>Rohit Sen</t>
  </si>
  <si>
    <t>12-02-2019</t>
  </si>
  <si>
    <t>LN400</t>
  </si>
  <si>
    <t>Meena Joshi</t>
  </si>
  <si>
    <t>03-02-2020</t>
  </si>
  <si>
    <t>LN401</t>
  </si>
  <si>
    <t>Anjali Pandey</t>
  </si>
  <si>
    <t>03-01-2015</t>
  </si>
  <si>
    <t>LN402</t>
  </si>
  <si>
    <t>Amit Menon</t>
  </si>
  <si>
    <t>26-02-2022</t>
  </si>
  <si>
    <t>LN403</t>
  </si>
  <si>
    <t>Sanjay Pandey</t>
  </si>
  <si>
    <t>03-09-2020</t>
  </si>
  <si>
    <t>LN404</t>
  </si>
  <si>
    <t>Usha Bose</t>
  </si>
  <si>
    <t>02-04-2019</t>
  </si>
  <si>
    <t>LN405</t>
  </si>
  <si>
    <t>Kavya Gupta</t>
  </si>
  <si>
    <t>29-01-2017</t>
  </si>
  <si>
    <t>LN406</t>
  </si>
  <si>
    <t>18-03-2015</t>
  </si>
  <si>
    <t>LN407</t>
  </si>
  <si>
    <t>Kiran Patel</t>
  </si>
  <si>
    <t>13-12-2021</t>
  </si>
  <si>
    <t>LN408</t>
  </si>
  <si>
    <t>Sanjay Bhat</t>
  </si>
  <si>
    <t>31-01-2019</t>
  </si>
  <si>
    <t>LN409</t>
  </si>
  <si>
    <t>Mamta Roy</t>
  </si>
  <si>
    <t>15-12-2021</t>
  </si>
  <si>
    <t>LN410</t>
  </si>
  <si>
    <t>Rohit Roy</t>
  </si>
  <si>
    <t>05-09-2017</t>
  </si>
  <si>
    <t>LN411</t>
  </si>
  <si>
    <t>Preeti Roy</t>
  </si>
  <si>
    <t>LN412</t>
  </si>
  <si>
    <t>Priya Nair</t>
  </si>
  <si>
    <t>01-02-2023</t>
  </si>
  <si>
    <t>LN413</t>
  </si>
  <si>
    <t>17-09-2015</t>
  </si>
  <si>
    <t>LN414</t>
  </si>
  <si>
    <t>Ramesh Gupta</t>
  </si>
  <si>
    <t>20-05-2022</t>
  </si>
  <si>
    <t>LN415</t>
  </si>
  <si>
    <t>Shweta Chatterjee</t>
  </si>
  <si>
    <t>16-01-2021</t>
  </si>
  <si>
    <t>LN416</t>
  </si>
  <si>
    <t>07-05-2019</t>
  </si>
  <si>
    <t>LN417</t>
  </si>
  <si>
    <t>Rekha Dutta</t>
  </si>
  <si>
    <t>LN418</t>
  </si>
  <si>
    <t>Dinesh Patel</t>
  </si>
  <si>
    <t>LN419</t>
  </si>
  <si>
    <t>30-08-2022</t>
  </si>
  <si>
    <t>LN420</t>
  </si>
  <si>
    <t>Rajesh Banerjee</t>
  </si>
  <si>
    <t>30-07-2020</t>
  </si>
  <si>
    <t>LN421</t>
  </si>
  <si>
    <t>Suresh Reddy</t>
  </si>
  <si>
    <t>08-03-2021</t>
  </si>
  <si>
    <t>LN422</t>
  </si>
  <si>
    <t>23-09-2016</t>
  </si>
  <si>
    <t>LN423</t>
  </si>
  <si>
    <t>Hemant Chatterjee</t>
  </si>
  <si>
    <t>LN424</t>
  </si>
  <si>
    <t>Manoj Yadav</t>
  </si>
  <si>
    <t>05-03-2018</t>
  </si>
  <si>
    <t>LN425</t>
  </si>
  <si>
    <t>14-08-2018</t>
  </si>
  <si>
    <t>LN426</t>
  </si>
  <si>
    <t>06-08-2019</t>
  </si>
  <si>
    <t>LN427</t>
  </si>
  <si>
    <t>10-03-2022</t>
  </si>
  <si>
    <t>LN428</t>
  </si>
  <si>
    <t>12-08-2018</t>
  </si>
  <si>
    <t>LN429</t>
  </si>
  <si>
    <t>Ritu Bhat</t>
  </si>
  <si>
    <t>LN430</t>
  </si>
  <si>
    <t>LN431</t>
  </si>
  <si>
    <t>Vikram Rao</t>
  </si>
  <si>
    <t>LN432</t>
  </si>
  <si>
    <t>Neha Das</t>
  </si>
  <si>
    <t>22-05-2022</t>
  </si>
  <si>
    <t>LN433</t>
  </si>
  <si>
    <t>Rajesh Pandey</t>
  </si>
  <si>
    <t>01-10-2015</t>
  </si>
  <si>
    <t>LN434</t>
  </si>
  <si>
    <t>Vikas Mukherjee</t>
  </si>
  <si>
    <t>29-06-2015</t>
  </si>
  <si>
    <t>LN435</t>
  </si>
  <si>
    <t>15-06-2016</t>
  </si>
  <si>
    <t>LN436</t>
  </si>
  <si>
    <t>Amit Iyer</t>
  </si>
  <si>
    <t>01-01-2017</t>
  </si>
  <si>
    <t>LN437</t>
  </si>
  <si>
    <t>Ritu Kumar</t>
  </si>
  <si>
    <t>09-05-2015</t>
  </si>
  <si>
    <t>LN438</t>
  </si>
  <si>
    <t>07-04-2017</t>
  </si>
  <si>
    <t>LN439</t>
  </si>
  <si>
    <t>Lata Roy</t>
  </si>
  <si>
    <t>14-03-2016</t>
  </si>
  <si>
    <t>LN440</t>
  </si>
  <si>
    <t>Sunita Mehta</t>
  </si>
  <si>
    <t>11-06-2020</t>
  </si>
  <si>
    <t>LN441</t>
  </si>
  <si>
    <t>Manoj Pillai</t>
  </si>
  <si>
    <t>23-02-2017</t>
  </si>
  <si>
    <t>LN442</t>
  </si>
  <si>
    <t>Mamta Banerjee</t>
  </si>
  <si>
    <t>09-02-2016</t>
  </si>
  <si>
    <t>LN443</t>
  </si>
  <si>
    <t>Manoj Shah</t>
  </si>
  <si>
    <t>11-05-2015</t>
  </si>
  <si>
    <t>LN444</t>
  </si>
  <si>
    <t>Subhayan Kapoor</t>
  </si>
  <si>
    <t>27-05-2021</t>
  </si>
  <si>
    <t>LN445</t>
  </si>
  <si>
    <t>13-03-2022</t>
  </si>
  <si>
    <t>LN446</t>
  </si>
  <si>
    <t>11-05-2019</t>
  </si>
  <si>
    <t>LN447</t>
  </si>
  <si>
    <t>18-05-2022</t>
  </si>
  <si>
    <t>LN448</t>
  </si>
  <si>
    <t>Mukesh Sen</t>
  </si>
  <si>
    <t>29-06-2020</t>
  </si>
  <si>
    <t>LN449</t>
  </si>
  <si>
    <t>Kiran Banerjee</t>
  </si>
  <si>
    <t>23-11-2020</t>
  </si>
  <si>
    <t>LN450</t>
  </si>
  <si>
    <t>Pallavi Chatterjee</t>
  </si>
  <si>
    <t>30-12-2021</t>
  </si>
  <si>
    <t>LN451</t>
  </si>
  <si>
    <t>Dinesh Mishra</t>
  </si>
  <si>
    <t>LN452</t>
  </si>
  <si>
    <t>14-08-2021</t>
  </si>
  <si>
    <t>LN453</t>
  </si>
  <si>
    <t>14-11-2017</t>
  </si>
  <si>
    <t>LN454</t>
  </si>
  <si>
    <t>21-07-2015</t>
  </si>
  <si>
    <t>LN455</t>
  </si>
  <si>
    <t>Kiran Joshi</t>
  </si>
  <si>
    <t>09-02-2019</t>
  </si>
  <si>
    <t>LN456</t>
  </si>
  <si>
    <t>Sunil Nair</t>
  </si>
  <si>
    <t>23-06-2017</t>
  </si>
  <si>
    <t>LN457</t>
  </si>
  <si>
    <t>17-10-2021</t>
  </si>
  <si>
    <t>LN458</t>
  </si>
  <si>
    <t>Hemant Nair</t>
  </si>
  <si>
    <t>19-01-2023</t>
  </si>
  <si>
    <t>LN459</t>
  </si>
  <si>
    <t>Ajay Ghosh</t>
  </si>
  <si>
    <t>18-10-2015</t>
  </si>
  <si>
    <t>LN460</t>
  </si>
  <si>
    <t>Mukesh Mehta</t>
  </si>
  <si>
    <t>23-02-2015</t>
  </si>
  <si>
    <t>LN461</t>
  </si>
  <si>
    <t>Lata Banerjee</t>
  </si>
  <si>
    <t>04-05-2017</t>
  </si>
  <si>
    <t>LN462</t>
  </si>
  <si>
    <t>Rajesh Rao</t>
  </si>
  <si>
    <t>09-05-2022</t>
  </si>
  <si>
    <t>LN463</t>
  </si>
  <si>
    <t>Sanjay Rao</t>
  </si>
  <si>
    <t>05-07-2020</t>
  </si>
  <si>
    <t>LN464</t>
  </si>
  <si>
    <t>Nisha Patel</t>
  </si>
  <si>
    <t>LN465</t>
  </si>
  <si>
    <t>Kavya Mehta</t>
  </si>
  <si>
    <t>01-04-2020</t>
  </si>
  <si>
    <t>LN466</t>
  </si>
  <si>
    <t>02-03-2022</t>
  </si>
  <si>
    <t>LN467</t>
  </si>
  <si>
    <t>06-09-2015</t>
  </si>
  <si>
    <t>LN468</t>
  </si>
  <si>
    <t>Arjun Verma</t>
  </si>
  <si>
    <t>LN469</t>
  </si>
  <si>
    <t>Deepak Ghosh</t>
  </si>
  <si>
    <t>04-04-2021</t>
  </si>
  <si>
    <t>LN470</t>
  </si>
  <si>
    <t>Pallavi Rao</t>
  </si>
  <si>
    <t>31-08-2019</t>
  </si>
  <si>
    <t>LN471</t>
  </si>
  <si>
    <t>Sunil Sen</t>
  </si>
  <si>
    <t>20-02-2019</t>
  </si>
  <si>
    <t>LN472</t>
  </si>
  <si>
    <t>Hemant Yadav</t>
  </si>
  <si>
    <t>11-12-2022</t>
  </si>
  <si>
    <t>LN473</t>
  </si>
  <si>
    <t>Geeta Patel</t>
  </si>
  <si>
    <t>27-08-2015</t>
  </si>
  <si>
    <t>LN474</t>
  </si>
  <si>
    <t>01-12-2021</t>
  </si>
  <si>
    <t>LN475</t>
  </si>
  <si>
    <t>Nisha Nair</t>
  </si>
  <si>
    <t>24-12-2017</t>
  </si>
  <si>
    <t>LN476</t>
  </si>
  <si>
    <t>Arjun Joshi</t>
  </si>
  <si>
    <t>06-12-2020</t>
  </si>
  <si>
    <t>LN477</t>
  </si>
  <si>
    <t>Subhayan Banerjee</t>
  </si>
  <si>
    <t>16-06-2015</t>
  </si>
  <si>
    <t>LN478</t>
  </si>
  <si>
    <t>16-10-2015</t>
  </si>
  <si>
    <t>LN479</t>
  </si>
  <si>
    <t>29-05-2018</t>
  </si>
  <si>
    <t>LN480</t>
  </si>
  <si>
    <t>16-11-2015</t>
  </si>
  <si>
    <t>LN481</t>
  </si>
  <si>
    <t>Geeta Banerjee</t>
  </si>
  <si>
    <t>03-06-2017</t>
  </si>
  <si>
    <t>LN482</t>
  </si>
  <si>
    <t>28-10-2020</t>
  </si>
  <si>
    <t>LN483</t>
  </si>
  <si>
    <t>02-02-2016</t>
  </si>
  <si>
    <t>LN484</t>
  </si>
  <si>
    <t>Subhayan Pandey</t>
  </si>
  <si>
    <t>19-02-2016</t>
  </si>
  <si>
    <t>LN485</t>
  </si>
  <si>
    <t>Geeta Iyer</t>
  </si>
  <si>
    <t>18-02-2023</t>
  </si>
  <si>
    <t>LN486</t>
  </si>
  <si>
    <t>04-08-2017</t>
  </si>
  <si>
    <t>LN487</t>
  </si>
  <si>
    <t>Anil Kumar</t>
  </si>
  <si>
    <t>17-12-2020</t>
  </si>
  <si>
    <t>LN488</t>
  </si>
  <si>
    <t>28-04-2019</t>
  </si>
  <si>
    <t>LN489</t>
  </si>
  <si>
    <t>Pallavi Patel</t>
  </si>
  <si>
    <t>15-02-2017</t>
  </si>
  <si>
    <t>LN490</t>
  </si>
  <si>
    <t>02-03-2017</t>
  </si>
  <si>
    <t>LN491</t>
  </si>
  <si>
    <t>25-11-2020</t>
  </si>
  <si>
    <t>LN492</t>
  </si>
  <si>
    <t>Preeti Chatterjee</t>
  </si>
  <si>
    <t>14-05-2022</t>
  </si>
  <si>
    <t>LN493</t>
  </si>
  <si>
    <t>Rahul Singh</t>
  </si>
  <si>
    <t>LN494</t>
  </si>
  <si>
    <t>Suresh Roy</t>
  </si>
  <si>
    <t>23-05-2021</t>
  </si>
  <si>
    <t>LN495</t>
  </si>
  <si>
    <t>LN496</t>
  </si>
  <si>
    <t>Vikram Das</t>
  </si>
  <si>
    <t>02-01-2017</t>
  </si>
  <si>
    <t>LN497</t>
  </si>
  <si>
    <t>Rohit Shah</t>
  </si>
  <si>
    <t>LN498</t>
  </si>
  <si>
    <t>05-04-2021</t>
  </si>
  <si>
    <t>LN499</t>
  </si>
  <si>
    <t>28-08-2019</t>
  </si>
  <si>
    <t>LN500</t>
  </si>
  <si>
    <t>Vikas Das</t>
  </si>
  <si>
    <t>08-03-2016</t>
  </si>
  <si>
    <t>LN501</t>
  </si>
  <si>
    <t>Hemant Bose</t>
  </si>
  <si>
    <t>LN502</t>
  </si>
  <si>
    <t>Neha Menon</t>
  </si>
  <si>
    <t>19-06-2021</t>
  </si>
  <si>
    <t>LN503</t>
  </si>
  <si>
    <t>Neha Joshi</t>
  </si>
  <si>
    <t>06-01-2019</t>
  </si>
  <si>
    <t>LN504</t>
  </si>
  <si>
    <t>25-07-2022</t>
  </si>
  <si>
    <t>LN505</t>
  </si>
  <si>
    <t>22-02-2020</t>
  </si>
  <si>
    <t>LN506</t>
  </si>
  <si>
    <t>Vikas Sharma</t>
  </si>
  <si>
    <t>17-11-2022</t>
  </si>
  <si>
    <t>LN507</t>
  </si>
  <si>
    <t>Vikas Ghosh</t>
  </si>
  <si>
    <t>17-06-2022</t>
  </si>
  <si>
    <t>LN508</t>
  </si>
  <si>
    <t>16-10-2019</t>
  </si>
  <si>
    <t>LN509</t>
  </si>
  <si>
    <t>Deepak Chatterjee</t>
  </si>
  <si>
    <t>02-03-2016</t>
  </si>
  <si>
    <t>LN510</t>
  </si>
  <si>
    <t>Deepak Rao</t>
  </si>
  <si>
    <t>LN511</t>
  </si>
  <si>
    <t>Vikram Kumar</t>
  </si>
  <si>
    <t>08-01-2017</t>
  </si>
  <si>
    <t>LN512</t>
  </si>
  <si>
    <t>02-03-2021</t>
  </si>
  <si>
    <t>LN513</t>
  </si>
  <si>
    <t>Mukesh Gupta</t>
  </si>
  <si>
    <t>03-07-2019</t>
  </si>
  <si>
    <t>LN514</t>
  </si>
  <si>
    <t>Meena Mitra</t>
  </si>
  <si>
    <t>29-08-2020</t>
  </si>
  <si>
    <t>LN515</t>
  </si>
  <si>
    <t>Rekha Mishra</t>
  </si>
  <si>
    <t>14-10-2018</t>
  </si>
  <si>
    <t>LN516</t>
  </si>
  <si>
    <t>Mamta Iyer</t>
  </si>
  <si>
    <t>17-05-2022</t>
  </si>
  <si>
    <t>LN517</t>
  </si>
  <si>
    <t>Geeta Sharma</t>
  </si>
  <si>
    <t>09-10-2016</t>
  </si>
  <si>
    <t>LN518</t>
  </si>
  <si>
    <t>Nisha Joshi</t>
  </si>
  <si>
    <t>LN519</t>
  </si>
  <si>
    <t>23-09-2021</t>
  </si>
  <si>
    <t>LN520</t>
  </si>
  <si>
    <t>Rajesh Gupta</t>
  </si>
  <si>
    <t>LN521</t>
  </si>
  <si>
    <t>Nisha Menon</t>
  </si>
  <si>
    <t>14-12-2018</t>
  </si>
  <si>
    <t>LN522</t>
  </si>
  <si>
    <t>14-07-2018</t>
  </si>
  <si>
    <t>LN523</t>
  </si>
  <si>
    <t>Sunil Mukherjee</t>
  </si>
  <si>
    <t>03-03-2021</t>
  </si>
  <si>
    <t>LN524</t>
  </si>
  <si>
    <t>Kavya Reddy</t>
  </si>
  <si>
    <t>LN525</t>
  </si>
  <si>
    <t>03-03-2019</t>
  </si>
  <si>
    <t>LN526</t>
  </si>
  <si>
    <t>Nisha Chatterjee</t>
  </si>
  <si>
    <t>LN527</t>
  </si>
  <si>
    <t>06-02-2022</t>
  </si>
  <si>
    <t>LN528</t>
  </si>
  <si>
    <t>Manoj Dutta</t>
  </si>
  <si>
    <t>LN529</t>
  </si>
  <si>
    <t>Suresh Gupta</t>
  </si>
  <si>
    <t>21-02-2023</t>
  </si>
  <si>
    <t>LN530</t>
  </si>
  <si>
    <t>17-08-2018</t>
  </si>
  <si>
    <t>LN531</t>
  </si>
  <si>
    <t>28-10-2021</t>
  </si>
  <si>
    <t>LN532</t>
  </si>
  <si>
    <t>Preeti Menon</t>
  </si>
  <si>
    <t>12-09-2017</t>
  </si>
  <si>
    <t>LN533</t>
  </si>
  <si>
    <t>Geeta Mishra</t>
  </si>
  <si>
    <t>25-04-2021</t>
  </si>
  <si>
    <t>LN534</t>
  </si>
  <si>
    <t>12-02-2021</t>
  </si>
  <si>
    <t>LN535</t>
  </si>
  <si>
    <t>Sanjay Banerjee</t>
  </si>
  <si>
    <t>26-05-2017</t>
  </si>
  <si>
    <t>LN536</t>
  </si>
  <si>
    <t>Vinod Rao</t>
  </si>
  <si>
    <t>17-03-2019</t>
  </si>
  <si>
    <t>LN537</t>
  </si>
  <si>
    <t>Shweta Shah</t>
  </si>
  <si>
    <t>LN538</t>
  </si>
  <si>
    <t>06-11-2017</t>
  </si>
  <si>
    <t>LN539</t>
  </si>
  <si>
    <t>Vikram Yadav</t>
  </si>
  <si>
    <t>14-01-2019</t>
  </si>
  <si>
    <t>LN540</t>
  </si>
  <si>
    <t>28-01-2020</t>
  </si>
  <si>
    <t>LN541</t>
  </si>
  <si>
    <t>07-01-2020</t>
  </si>
  <si>
    <t>LN542</t>
  </si>
  <si>
    <t>Ritu Yadav</t>
  </si>
  <si>
    <t>LN543</t>
  </si>
  <si>
    <t>Sunita Mitra</t>
  </si>
  <si>
    <t>LN544</t>
  </si>
  <si>
    <t>22-02-2023</t>
  </si>
  <si>
    <t>LN545</t>
  </si>
  <si>
    <t>22-05-2015</t>
  </si>
  <si>
    <t>LN546</t>
  </si>
  <si>
    <t>Amit Sen</t>
  </si>
  <si>
    <t>LN547</t>
  </si>
  <si>
    <t>Manoj Pandey</t>
  </si>
  <si>
    <t>06-09-2021</t>
  </si>
  <si>
    <t>LN548</t>
  </si>
  <si>
    <t>08-03-2015</t>
  </si>
  <si>
    <t>LN549</t>
  </si>
  <si>
    <t>Arjun Iyer</t>
  </si>
  <si>
    <t>21-10-2020</t>
  </si>
  <si>
    <t>LN550</t>
  </si>
  <si>
    <t>LN551</t>
  </si>
  <si>
    <t>21-05-2018</t>
  </si>
  <si>
    <t>LN552</t>
  </si>
  <si>
    <t>Manoj Kumar</t>
  </si>
  <si>
    <t>27-01-2015</t>
  </si>
  <si>
    <t>LN553</t>
  </si>
  <si>
    <t>15-05-2018</t>
  </si>
  <si>
    <t>LN554</t>
  </si>
  <si>
    <t>27-06-2017</t>
  </si>
  <si>
    <t>LN555</t>
  </si>
  <si>
    <t>Pallavi Nair</t>
  </si>
  <si>
    <t>29-05-2017</t>
  </si>
  <si>
    <t>LN556</t>
  </si>
  <si>
    <t>13-07-2018</t>
  </si>
  <si>
    <t>LN557</t>
  </si>
  <si>
    <t>30-03-2015</t>
  </si>
  <si>
    <t>LN558</t>
  </si>
  <si>
    <t>26-09-2022</t>
  </si>
  <si>
    <t>LN559</t>
  </si>
  <si>
    <t>Meena Mehta</t>
  </si>
  <si>
    <t>LN560</t>
  </si>
  <si>
    <t>Rekha Banerjee</t>
  </si>
  <si>
    <t>17-03-2021</t>
  </si>
  <si>
    <t>LN561</t>
  </si>
  <si>
    <t>Dinesh Joshi</t>
  </si>
  <si>
    <t>25-09-2020</t>
  </si>
  <si>
    <t>LN562</t>
  </si>
  <si>
    <t>Vinod Dutta</t>
  </si>
  <si>
    <t>28-03-2021</t>
  </si>
  <si>
    <t>LN563</t>
  </si>
  <si>
    <t>Mukesh Sharma</t>
  </si>
  <si>
    <t>26-05-2021</t>
  </si>
  <si>
    <t>LN564</t>
  </si>
  <si>
    <t>LN565</t>
  </si>
  <si>
    <t>Ritu Rao</t>
  </si>
  <si>
    <t>25-09-2016</t>
  </si>
  <si>
    <t>LN566</t>
  </si>
  <si>
    <t>Ritu Patel</t>
  </si>
  <si>
    <t>22-01-2016</t>
  </si>
  <si>
    <t>LN567</t>
  </si>
  <si>
    <t>Vinod Bhat</t>
  </si>
  <si>
    <t>04-06-2015</t>
  </si>
  <si>
    <t>LN568</t>
  </si>
  <si>
    <t>Shweta Dutta</t>
  </si>
  <si>
    <t>29-02-2020</t>
  </si>
  <si>
    <t>LN569</t>
  </si>
  <si>
    <t>LN570</t>
  </si>
  <si>
    <t>01-10-2016</t>
  </si>
  <si>
    <t>LN571</t>
  </si>
  <si>
    <t>Rekha Sharma</t>
  </si>
  <si>
    <t>20-07-2016</t>
  </si>
  <si>
    <t>LN572</t>
  </si>
  <si>
    <t>Kavya Kapoor</t>
  </si>
  <si>
    <t>21-12-2017</t>
  </si>
  <si>
    <t>LN573</t>
  </si>
  <si>
    <t>Ramesh Yadav</t>
  </si>
  <si>
    <t>LN574</t>
  </si>
  <si>
    <t>Dinesh Chatterjee</t>
  </si>
  <si>
    <t>12-07-2021</t>
  </si>
  <si>
    <t>LN575</t>
  </si>
  <si>
    <t>Neha Sen</t>
  </si>
  <si>
    <t>LN576</t>
  </si>
  <si>
    <t>12-08-2017</t>
  </si>
  <si>
    <t>LN577</t>
  </si>
  <si>
    <t>15-11-2017</t>
  </si>
  <si>
    <t>LN578</t>
  </si>
  <si>
    <t>Pooja Menon</t>
  </si>
  <si>
    <t>LN579</t>
  </si>
  <si>
    <t>12-01-2016</t>
  </si>
  <si>
    <t>LN580</t>
  </si>
  <si>
    <t>25-05-2021</t>
  </si>
  <si>
    <t>LN581</t>
  </si>
  <si>
    <t>Amit Chatterjee</t>
  </si>
  <si>
    <t>26-06-2019</t>
  </si>
  <si>
    <t>LN582</t>
  </si>
  <si>
    <t>19-05-2021</t>
  </si>
  <si>
    <t>LN583</t>
  </si>
  <si>
    <t>09-06-2017</t>
  </si>
  <si>
    <t>LN584</t>
  </si>
  <si>
    <t>13-11-2015</t>
  </si>
  <si>
    <t>LN585</t>
  </si>
  <si>
    <t>Mukesh Mitra</t>
  </si>
  <si>
    <t>11-02-2023</t>
  </si>
  <si>
    <t>LN586</t>
  </si>
  <si>
    <t>Mukesh Reddy</t>
  </si>
  <si>
    <t>LN587</t>
  </si>
  <si>
    <t>30-05-2020</t>
  </si>
  <si>
    <t>LN588</t>
  </si>
  <si>
    <t>09-12-2016</t>
  </si>
  <si>
    <t>LN589</t>
  </si>
  <si>
    <t>Rohit Chatterjee</t>
  </si>
  <si>
    <t>22-06-2020</t>
  </si>
  <si>
    <t>LN590</t>
  </si>
  <si>
    <t>Suresh Iyer</t>
  </si>
  <si>
    <t>25-09-2022</t>
  </si>
  <si>
    <t>LN591</t>
  </si>
  <si>
    <t>Geeta Kapoor</t>
  </si>
  <si>
    <t>18-11-2022</t>
  </si>
  <si>
    <t>LN592</t>
  </si>
  <si>
    <t>Manoj Reddy</t>
  </si>
  <si>
    <t>18-06-2021</t>
  </si>
  <si>
    <t>LN593</t>
  </si>
  <si>
    <t>Pallavi Iyer</t>
  </si>
  <si>
    <t>26-01-2016</t>
  </si>
  <si>
    <t>LN594</t>
  </si>
  <si>
    <t>Kiran Mishra</t>
  </si>
  <si>
    <t>04-09-2021</t>
  </si>
  <si>
    <t>LN595</t>
  </si>
  <si>
    <t>15-03-2022</t>
  </si>
  <si>
    <t>LN596</t>
  </si>
  <si>
    <t>Usha Verma</t>
  </si>
  <si>
    <t>LN597</t>
  </si>
  <si>
    <t>03-06-2015</t>
  </si>
  <si>
    <t>LN598</t>
  </si>
  <si>
    <t>Pooja Bhat</t>
  </si>
  <si>
    <t>13-03-2023</t>
  </si>
  <si>
    <t>LN599</t>
  </si>
  <si>
    <t>Sneha Rao</t>
  </si>
  <si>
    <t>LN600</t>
  </si>
  <si>
    <t>LN601</t>
  </si>
  <si>
    <t>Shweta Rao</t>
  </si>
  <si>
    <t>LN602</t>
  </si>
  <si>
    <t>LN603</t>
  </si>
  <si>
    <t>01-10-2018</t>
  </si>
  <si>
    <t>LN604</t>
  </si>
  <si>
    <t>26-11-2018</t>
  </si>
  <si>
    <t>LN605</t>
  </si>
  <si>
    <t>Dinesh Bhat</t>
  </si>
  <si>
    <t>LN606</t>
  </si>
  <si>
    <t>Suresh Mishra</t>
  </si>
  <si>
    <t>03-09-2019</t>
  </si>
  <si>
    <t>LN607</t>
  </si>
  <si>
    <t>Divya Iyer</t>
  </si>
  <si>
    <t>08-05-2016</t>
  </si>
  <si>
    <t>LN608</t>
  </si>
  <si>
    <t>Lata Mehta</t>
  </si>
  <si>
    <t>17-07-2017</t>
  </si>
  <si>
    <t>LN609</t>
  </si>
  <si>
    <t>27-04-2022</t>
  </si>
  <si>
    <t>LN610</t>
  </si>
  <si>
    <t>Divya Bose</t>
  </si>
  <si>
    <t>03-10-2021</t>
  </si>
  <si>
    <t>LN611</t>
  </si>
  <si>
    <t>16-02-2015</t>
  </si>
  <si>
    <t>LN612</t>
  </si>
  <si>
    <t>09-02-2022</t>
  </si>
  <si>
    <t>LN613</t>
  </si>
  <si>
    <t>02-02-2022</t>
  </si>
  <si>
    <t>LN614</t>
  </si>
  <si>
    <t>Kiran Pandey</t>
  </si>
  <si>
    <t>16-04-2019</t>
  </si>
  <si>
    <t>LN615</t>
  </si>
  <si>
    <t>Usha Das</t>
  </si>
  <si>
    <t>10-08-2015</t>
  </si>
  <si>
    <t>LN616</t>
  </si>
  <si>
    <t>02-06-2018</t>
  </si>
  <si>
    <t>LN617</t>
  </si>
  <si>
    <t>Ritu Ghosh</t>
  </si>
  <si>
    <t>17-11-2020</t>
  </si>
  <si>
    <t>LN618</t>
  </si>
  <si>
    <t>Pallavi Banerjee</t>
  </si>
  <si>
    <t>18-06-2015</t>
  </si>
  <si>
    <t>LN619</t>
  </si>
  <si>
    <t>31-07-2018</t>
  </si>
  <si>
    <t>LN620</t>
  </si>
  <si>
    <t>20-01-2021</t>
  </si>
  <si>
    <t>LN621</t>
  </si>
  <si>
    <t>Priya Singh</t>
  </si>
  <si>
    <t>02-05-2021</t>
  </si>
  <si>
    <t>LN622</t>
  </si>
  <si>
    <t>Shweta Pandey</t>
  </si>
  <si>
    <t>LN623</t>
  </si>
  <si>
    <t>Anil Bhat</t>
  </si>
  <si>
    <t>31-08-2018</t>
  </si>
  <si>
    <t>LN624</t>
  </si>
  <si>
    <t>19-08-2020</t>
  </si>
  <si>
    <t>LN625</t>
  </si>
  <si>
    <t>Neha Patel</t>
  </si>
  <si>
    <t>29-10-2022</t>
  </si>
  <si>
    <t>LN626</t>
  </si>
  <si>
    <t>LN627</t>
  </si>
  <si>
    <t>Rajesh Mitra</t>
  </si>
  <si>
    <t>19-09-2016</t>
  </si>
  <si>
    <t>LN628</t>
  </si>
  <si>
    <t>26-07-2015</t>
  </si>
  <si>
    <t>LN629</t>
  </si>
  <si>
    <t>22-07-2022</t>
  </si>
  <si>
    <t>LN630</t>
  </si>
  <si>
    <t>16-03-2023</t>
  </si>
  <si>
    <t>LN631</t>
  </si>
  <si>
    <t>29-05-2019</t>
  </si>
  <si>
    <t>LN632</t>
  </si>
  <si>
    <t>Vikas Banerjee</t>
  </si>
  <si>
    <t>31-12-2019</t>
  </si>
  <si>
    <t>LN633</t>
  </si>
  <si>
    <t>Vinod Chatterjee</t>
  </si>
  <si>
    <t>03-09-2021</t>
  </si>
  <si>
    <t>LN634</t>
  </si>
  <si>
    <t>14-06-2021</t>
  </si>
  <si>
    <t>LN635</t>
  </si>
  <si>
    <t>LN636</t>
  </si>
  <si>
    <t>04-01-2016</t>
  </si>
  <si>
    <t>LN637</t>
  </si>
  <si>
    <t>Ritu Chatterjee</t>
  </si>
  <si>
    <t>28-06-2017</t>
  </si>
  <si>
    <t>LN638</t>
  </si>
  <si>
    <t>05-11-2019</t>
  </si>
  <si>
    <t>LN639</t>
  </si>
  <si>
    <t>LN640</t>
  </si>
  <si>
    <t>Vikas Gupta</t>
  </si>
  <si>
    <t>04-06-2019</t>
  </si>
  <si>
    <t>LN641</t>
  </si>
  <si>
    <t>Kiran Chatterjee</t>
  </si>
  <si>
    <t>29-08-2016</t>
  </si>
  <si>
    <t>LN642</t>
  </si>
  <si>
    <t>25-06-2016</t>
  </si>
  <si>
    <t>LN643</t>
  </si>
  <si>
    <t>08-10-2018</t>
  </si>
  <si>
    <t>LN644</t>
  </si>
  <si>
    <t>05-12-2015</t>
  </si>
  <si>
    <t>LN645</t>
  </si>
  <si>
    <t>Anjali Mishra</t>
  </si>
  <si>
    <t>03-05-2020</t>
  </si>
  <si>
    <t>LN646</t>
  </si>
  <si>
    <t>29-05-2021</t>
  </si>
  <si>
    <t>LN647</t>
  </si>
  <si>
    <t>Sanjay Pillai</t>
  </si>
  <si>
    <t>LN648</t>
  </si>
  <si>
    <t>LN649</t>
  </si>
  <si>
    <t>Ritu Roy</t>
  </si>
  <si>
    <t>24-06-2019</t>
  </si>
  <si>
    <t>LN650</t>
  </si>
  <si>
    <t>Rahul Joshi</t>
  </si>
  <si>
    <t>LN651</t>
  </si>
  <si>
    <t>Lata Nair</t>
  </si>
  <si>
    <t>15-12-2015</t>
  </si>
  <si>
    <t>LN652</t>
  </si>
  <si>
    <t>21-06-2019</t>
  </si>
  <si>
    <t>LN653</t>
  </si>
  <si>
    <t>Kiran Kapoor</t>
  </si>
  <si>
    <t>17-08-2020</t>
  </si>
  <si>
    <t>LN654</t>
  </si>
  <si>
    <t>Rekha Pandey</t>
  </si>
  <si>
    <t>15-11-2019</t>
  </si>
  <si>
    <t>LN655</t>
  </si>
  <si>
    <t>Arjun Kumar</t>
  </si>
  <si>
    <t>LN656</t>
  </si>
  <si>
    <t>18-06-2016</t>
  </si>
  <si>
    <t>LN657</t>
  </si>
  <si>
    <t>06-07-2016</t>
  </si>
  <si>
    <t>LN658</t>
  </si>
  <si>
    <t>23-05-2020</t>
  </si>
  <si>
    <t>LN659</t>
  </si>
  <si>
    <t>09-04-2021</t>
  </si>
  <si>
    <t>LN660</t>
  </si>
  <si>
    <t>Sunil Singh</t>
  </si>
  <si>
    <t>22-03-2017</t>
  </si>
  <si>
    <t>LN661</t>
  </si>
  <si>
    <t>LN662</t>
  </si>
  <si>
    <t>Sunita Mishra</t>
  </si>
  <si>
    <t>LN663</t>
  </si>
  <si>
    <t>Sunita Mukherjee</t>
  </si>
  <si>
    <t>25-04-2022</t>
  </si>
  <si>
    <t>LN664</t>
  </si>
  <si>
    <t>LN665</t>
  </si>
  <si>
    <t>Rajesh Pillai</t>
  </si>
  <si>
    <t>LN666</t>
  </si>
  <si>
    <t>Geeta Mukherjee</t>
  </si>
  <si>
    <t>17-04-2021</t>
  </si>
  <si>
    <t>LN667</t>
  </si>
  <si>
    <t>Divya Kumar</t>
  </si>
  <si>
    <t>28-11-2021</t>
  </si>
  <si>
    <t>LN668</t>
  </si>
  <si>
    <t>LN669</t>
  </si>
  <si>
    <t>Lata Pandey</t>
  </si>
  <si>
    <t>05-10-2017</t>
  </si>
  <si>
    <t>LN670</t>
  </si>
  <si>
    <t>Sanjay Chatterjee</t>
  </si>
  <si>
    <t>19-09-2017</t>
  </si>
  <si>
    <t>LN671</t>
  </si>
  <si>
    <t>21-10-2015</t>
  </si>
  <si>
    <t>LN672</t>
  </si>
  <si>
    <t>26-12-2017</t>
  </si>
  <si>
    <t>LN673</t>
  </si>
  <si>
    <t>Sanjay Verma</t>
  </si>
  <si>
    <t>28-10-2019</t>
  </si>
  <si>
    <t>LN674</t>
  </si>
  <si>
    <t>LN675</t>
  </si>
  <si>
    <t>LN676</t>
  </si>
  <si>
    <t>17-06-2021</t>
  </si>
  <si>
    <t>LN677</t>
  </si>
  <si>
    <t>Preeti Nair</t>
  </si>
  <si>
    <t>LN678</t>
  </si>
  <si>
    <t>05-04-2016</t>
  </si>
  <si>
    <t>LN679</t>
  </si>
  <si>
    <t>Geeta Mitra</t>
  </si>
  <si>
    <t>14-07-2022</t>
  </si>
  <si>
    <t>LN680</t>
  </si>
  <si>
    <t>22-08-2019</t>
  </si>
  <si>
    <t>LN681</t>
  </si>
  <si>
    <t>01-10-2019</t>
  </si>
  <si>
    <t>LN682</t>
  </si>
  <si>
    <t>Rahul Menon</t>
  </si>
  <si>
    <t>05-02-2019</t>
  </si>
  <si>
    <t>LN683</t>
  </si>
  <si>
    <t>Mamta Ghosh</t>
  </si>
  <si>
    <t>27-11-2018</t>
  </si>
  <si>
    <t>LN684</t>
  </si>
  <si>
    <t>19-02-2017</t>
  </si>
  <si>
    <t>LN685</t>
  </si>
  <si>
    <t>Geeta Sen</t>
  </si>
  <si>
    <t>LN686</t>
  </si>
  <si>
    <t>Nisha Yadav</t>
  </si>
  <si>
    <t>12-11-2018</t>
  </si>
  <si>
    <t>LN687</t>
  </si>
  <si>
    <t>29-08-2021</t>
  </si>
  <si>
    <t>LN688</t>
  </si>
  <si>
    <t>Kavya Yadav</t>
  </si>
  <si>
    <t>08-05-2022</t>
  </si>
  <si>
    <t>LN689</t>
  </si>
  <si>
    <t>10-04-2015</t>
  </si>
  <si>
    <t>LN690</t>
  </si>
  <si>
    <t>LN691</t>
  </si>
  <si>
    <t>24-11-2016</t>
  </si>
  <si>
    <t>LN692</t>
  </si>
  <si>
    <t>03-12-2018</t>
  </si>
  <si>
    <t>LN693</t>
  </si>
  <si>
    <t>Neha Sharma</t>
  </si>
  <si>
    <t>29-11-2021</t>
  </si>
  <si>
    <t>LN694</t>
  </si>
  <si>
    <t>17-12-2019</t>
  </si>
  <si>
    <t>LN695</t>
  </si>
  <si>
    <t>Pooja Gupta</t>
  </si>
  <si>
    <t>27-12-2021</t>
  </si>
  <si>
    <t>LN696</t>
  </si>
  <si>
    <t>Geeta Mehta</t>
  </si>
  <si>
    <t>LN697</t>
  </si>
  <si>
    <t>Rekha Kumar</t>
  </si>
  <si>
    <t>10-12-2019</t>
  </si>
  <si>
    <t>LN698</t>
  </si>
  <si>
    <t>03-07-2015</t>
  </si>
  <si>
    <t>LN699</t>
  </si>
  <si>
    <t>Divya Pillai</t>
  </si>
  <si>
    <t>14-08-2017</t>
  </si>
  <si>
    <t>LN700</t>
  </si>
  <si>
    <t>Ramesh Kapoor</t>
  </si>
  <si>
    <t>28-03-2017</t>
  </si>
  <si>
    <t>LN701</t>
  </si>
  <si>
    <t>Shweta Menon</t>
  </si>
  <si>
    <t>08-09-2022</t>
  </si>
  <si>
    <t>LN702</t>
  </si>
  <si>
    <t>12-03-2019</t>
  </si>
  <si>
    <t>LN703</t>
  </si>
  <si>
    <t>30-09-2016</t>
  </si>
  <si>
    <t>LN704</t>
  </si>
  <si>
    <t>03-03-2023</t>
  </si>
  <si>
    <t>LN705</t>
  </si>
  <si>
    <t>Geeta Ghosh</t>
  </si>
  <si>
    <t>18-12-2015</t>
  </si>
  <si>
    <t>LN706</t>
  </si>
  <si>
    <t>LN707</t>
  </si>
  <si>
    <t>12-08-2015</t>
  </si>
  <si>
    <t>LN708</t>
  </si>
  <si>
    <t>Sneha Singh</t>
  </si>
  <si>
    <t>LN709</t>
  </si>
  <si>
    <t>18-12-2021</t>
  </si>
  <si>
    <t>LN710</t>
  </si>
  <si>
    <t>27-08-2016</t>
  </si>
  <si>
    <t>LN711</t>
  </si>
  <si>
    <t>Mukesh Nair</t>
  </si>
  <si>
    <t>24-03-2018</t>
  </si>
  <si>
    <t>LN712</t>
  </si>
  <si>
    <t>Vikram Roy</t>
  </si>
  <si>
    <t>26-02-2015</t>
  </si>
  <si>
    <t>LN713</t>
  </si>
  <si>
    <t>Vinod Mitra</t>
  </si>
  <si>
    <t>07-11-2018</t>
  </si>
  <si>
    <t>LN714</t>
  </si>
  <si>
    <t>12-10-2022</t>
  </si>
  <si>
    <t>LN715</t>
  </si>
  <si>
    <t>31-03-2016</t>
  </si>
  <si>
    <t>LN716</t>
  </si>
  <si>
    <t>Ramesh Mukherjee</t>
  </si>
  <si>
    <t>03-06-2018</t>
  </si>
  <si>
    <t>LN717</t>
  </si>
  <si>
    <t>Sunita Pandey</t>
  </si>
  <si>
    <t>18-01-2020</t>
  </si>
  <si>
    <t>LN718</t>
  </si>
  <si>
    <t>Usha Dutta</t>
  </si>
  <si>
    <t>13-04-2020</t>
  </si>
  <si>
    <t>LN719</t>
  </si>
  <si>
    <t>Ramesh Patel</t>
  </si>
  <si>
    <t>04-04-2015</t>
  </si>
  <si>
    <t>LN720</t>
  </si>
  <si>
    <t>21-09-2018</t>
  </si>
  <si>
    <t>LN721</t>
  </si>
  <si>
    <t>06-05-2017</t>
  </si>
  <si>
    <t>LN722</t>
  </si>
  <si>
    <t>12-01-2021</t>
  </si>
  <si>
    <t>LN723</t>
  </si>
  <si>
    <t>17-05-2017</t>
  </si>
  <si>
    <t>LN724</t>
  </si>
  <si>
    <t>Sneha Chatterjee</t>
  </si>
  <si>
    <t>14-04-2017</t>
  </si>
  <si>
    <t>LN725</t>
  </si>
  <si>
    <t>16-02-2021</t>
  </si>
  <si>
    <t>LN726</t>
  </si>
  <si>
    <t>LN727</t>
  </si>
  <si>
    <t>Rekha Patel</t>
  </si>
  <si>
    <t>25-11-2017</t>
  </si>
  <si>
    <t>LN728</t>
  </si>
  <si>
    <t>Pooja Sharma</t>
  </si>
  <si>
    <t>25-02-2021</t>
  </si>
  <si>
    <t>LN729</t>
  </si>
  <si>
    <t>01-06-2020</t>
  </si>
  <si>
    <t>LN730</t>
  </si>
  <si>
    <t>26-12-2021</t>
  </si>
  <si>
    <t>LN731</t>
  </si>
  <si>
    <t>09-03-2023</t>
  </si>
  <si>
    <t>LN732</t>
  </si>
  <si>
    <t>01-08-2016</t>
  </si>
  <si>
    <t>LN733</t>
  </si>
  <si>
    <t>Usha Mishra</t>
  </si>
  <si>
    <t>18-10-2022</t>
  </si>
  <si>
    <t>LN734</t>
  </si>
  <si>
    <t>02-11-2022</t>
  </si>
  <si>
    <t>LN735</t>
  </si>
  <si>
    <t>30-06-2022</t>
  </si>
  <si>
    <t>LN736</t>
  </si>
  <si>
    <t>17-03-2015</t>
  </si>
  <si>
    <t>LN737</t>
  </si>
  <si>
    <t>Suresh Pillai</t>
  </si>
  <si>
    <t>23-03-2019</t>
  </si>
  <si>
    <t>LN738</t>
  </si>
  <si>
    <t>Rekha Chatterjee</t>
  </si>
  <si>
    <t>15-07-2021</t>
  </si>
  <si>
    <t>LN739</t>
  </si>
  <si>
    <t>Anjali Dutta</t>
  </si>
  <si>
    <t>LN740</t>
  </si>
  <si>
    <t>Dinesh Yadav</t>
  </si>
  <si>
    <t>LN741</t>
  </si>
  <si>
    <t>28-06-2015</t>
  </si>
  <si>
    <t>LN742</t>
  </si>
  <si>
    <t>Priya Banerjee</t>
  </si>
  <si>
    <t>12-11-2017</t>
  </si>
  <si>
    <t>LN743</t>
  </si>
  <si>
    <t>Ramesh Verma</t>
  </si>
  <si>
    <t>28-11-2016</t>
  </si>
  <si>
    <t>LN744</t>
  </si>
  <si>
    <t>04-09-2015</t>
  </si>
  <si>
    <t>LN745</t>
  </si>
  <si>
    <t>LN746</t>
  </si>
  <si>
    <t>02-04-2017</t>
  </si>
  <si>
    <t>LN747</t>
  </si>
  <si>
    <t>Ramesh Shah</t>
  </si>
  <si>
    <t>23-10-2022</t>
  </si>
  <si>
    <t>LN748</t>
  </si>
  <si>
    <t>Lata Sharma</t>
  </si>
  <si>
    <t>LN749</t>
  </si>
  <si>
    <t>LN750</t>
  </si>
  <si>
    <t>Kavya Patel</t>
  </si>
  <si>
    <t>06-08-2015</t>
  </si>
  <si>
    <t>LN751</t>
  </si>
  <si>
    <t>19-03-2020</t>
  </si>
  <si>
    <t>LN752</t>
  </si>
  <si>
    <t>05-05-2022</t>
  </si>
  <si>
    <t>LN753</t>
  </si>
  <si>
    <t>LN754</t>
  </si>
  <si>
    <t>Rahul Roy</t>
  </si>
  <si>
    <t>30-09-2015</t>
  </si>
  <si>
    <t>LN755</t>
  </si>
  <si>
    <t>Anil Das</t>
  </si>
  <si>
    <t>LN756</t>
  </si>
  <si>
    <t>28-05-2022</t>
  </si>
  <si>
    <t>LN757</t>
  </si>
  <si>
    <t>LN758</t>
  </si>
  <si>
    <t>Sneha Dutta</t>
  </si>
  <si>
    <t>08-06-2022</t>
  </si>
  <si>
    <t>LN759</t>
  </si>
  <si>
    <t>27-05-2022</t>
  </si>
  <si>
    <t>LN760</t>
  </si>
  <si>
    <t>Sunil Verma</t>
  </si>
  <si>
    <t>LN761</t>
  </si>
  <si>
    <t>Nisha Mehta</t>
  </si>
  <si>
    <t>17-03-2016</t>
  </si>
  <si>
    <t>LN762</t>
  </si>
  <si>
    <t>20-03-2015</t>
  </si>
  <si>
    <t>LN763</t>
  </si>
  <si>
    <t>13-04-2018</t>
  </si>
  <si>
    <t>LN764</t>
  </si>
  <si>
    <t>Manoj Bhat</t>
  </si>
  <si>
    <t>13-04-2022</t>
  </si>
  <si>
    <t>LN765</t>
  </si>
  <si>
    <t>Suresh Singh</t>
  </si>
  <si>
    <t>03-05-2019</t>
  </si>
  <si>
    <t>LN766</t>
  </si>
  <si>
    <t>Divya Rao</t>
  </si>
  <si>
    <t>LN767</t>
  </si>
  <si>
    <t>Arjun Patel</t>
  </si>
  <si>
    <t>09-04-2019</t>
  </si>
  <si>
    <t>LN768</t>
  </si>
  <si>
    <t>Amit Singh</t>
  </si>
  <si>
    <t>13-09-2020</t>
  </si>
  <si>
    <t>LN769</t>
  </si>
  <si>
    <t>Subhayan Nair</t>
  </si>
  <si>
    <t>16-12-2022</t>
  </si>
  <si>
    <t>LN770</t>
  </si>
  <si>
    <t>12-02-2016</t>
  </si>
  <si>
    <t>LN771</t>
  </si>
  <si>
    <t>Ritu Mitra</t>
  </si>
  <si>
    <t>16-07-2018</t>
  </si>
  <si>
    <t>LN772</t>
  </si>
  <si>
    <t>08-06-2020</t>
  </si>
  <si>
    <t>LN773</t>
  </si>
  <si>
    <t>LN774</t>
  </si>
  <si>
    <t>Rekha Kapoor</t>
  </si>
  <si>
    <t>LN775</t>
  </si>
  <si>
    <t>27-12-2015</t>
  </si>
  <si>
    <t>LN776</t>
  </si>
  <si>
    <t>Sneha Iyer</t>
  </si>
  <si>
    <t>02-02-2017</t>
  </si>
  <si>
    <t>LN777</t>
  </si>
  <si>
    <t>LN778</t>
  </si>
  <si>
    <t>12-08-2020</t>
  </si>
  <si>
    <t>LN779</t>
  </si>
  <si>
    <t>Sunil Patel</t>
  </si>
  <si>
    <t>19-02-2020</t>
  </si>
  <si>
    <t>LN780</t>
  </si>
  <si>
    <t>Neha Kapoor</t>
  </si>
  <si>
    <t>LN781</t>
  </si>
  <si>
    <t>28-12-2022</t>
  </si>
  <si>
    <t>LN782</t>
  </si>
  <si>
    <t>LN783</t>
  </si>
  <si>
    <t>Hemant Joshi</t>
  </si>
  <si>
    <t>12-06-2015</t>
  </si>
  <si>
    <t>LN784</t>
  </si>
  <si>
    <t>Rajesh Chatterjee</t>
  </si>
  <si>
    <t>LN785</t>
  </si>
  <si>
    <t>08-12-2020</t>
  </si>
  <si>
    <t>LN786</t>
  </si>
  <si>
    <t>Pallavi Bhat</t>
  </si>
  <si>
    <t>LN787</t>
  </si>
  <si>
    <t>Vinod Reddy</t>
  </si>
  <si>
    <t>28-09-2018</t>
  </si>
  <si>
    <t>LN788</t>
  </si>
  <si>
    <t>Anjali Iyer</t>
  </si>
  <si>
    <t>LN789</t>
  </si>
  <si>
    <t>31-05-2019</t>
  </si>
  <si>
    <t>LN790</t>
  </si>
  <si>
    <t>Vikram Mehta</t>
  </si>
  <si>
    <t>05-10-2016</t>
  </si>
  <si>
    <t>LN791</t>
  </si>
  <si>
    <t>Mamta Singh</t>
  </si>
  <si>
    <t>LN792</t>
  </si>
  <si>
    <t>21-11-2018</t>
  </si>
  <si>
    <t>LN793</t>
  </si>
  <si>
    <t>03-09-2022</t>
  </si>
  <si>
    <t>LN794</t>
  </si>
  <si>
    <t>12-12-2018</t>
  </si>
  <si>
    <t>LN795</t>
  </si>
  <si>
    <t>26-12-2018</t>
  </si>
  <si>
    <t>LN796</t>
  </si>
  <si>
    <t>LN797</t>
  </si>
  <si>
    <t>23-05-2018</t>
  </si>
  <si>
    <t>LN798</t>
  </si>
  <si>
    <t>25-08-2017</t>
  </si>
  <si>
    <t>LN799</t>
  </si>
  <si>
    <t>Ajay Patel</t>
  </si>
  <si>
    <t>15-08-2020</t>
  </si>
  <si>
    <t>LN800</t>
  </si>
  <si>
    <t>Rohit Bhat</t>
  </si>
  <si>
    <t>03-02-2018</t>
  </si>
  <si>
    <t>LN801</t>
  </si>
  <si>
    <t>Mukesh Ghosh</t>
  </si>
  <si>
    <t>11-09-2015</t>
  </si>
  <si>
    <t>LN802</t>
  </si>
  <si>
    <t>Deepak Reddy</t>
  </si>
  <si>
    <t>07-01-2022</t>
  </si>
  <si>
    <t>LN803</t>
  </si>
  <si>
    <t>Neha Pillai</t>
  </si>
  <si>
    <t>LN804</t>
  </si>
  <si>
    <t>Nisha Reddy</t>
  </si>
  <si>
    <t>05-05-2019</t>
  </si>
  <si>
    <t>LN805</t>
  </si>
  <si>
    <t>Anil Dutta</t>
  </si>
  <si>
    <t>01-05-2015</t>
  </si>
  <si>
    <t>LN806</t>
  </si>
  <si>
    <t>23-03-2021</t>
  </si>
  <si>
    <t>LN807</t>
  </si>
  <si>
    <t>Rekha Ghosh</t>
  </si>
  <si>
    <t>21-02-2018</t>
  </si>
  <si>
    <t>LN808</t>
  </si>
  <si>
    <t>Anjali Mehta</t>
  </si>
  <si>
    <t>12-07-2017</t>
  </si>
  <si>
    <t>LN809</t>
  </si>
  <si>
    <t>13-09-2016</t>
  </si>
  <si>
    <t>LN810</t>
  </si>
  <si>
    <t>Sunita Nair</t>
  </si>
  <si>
    <t>31-10-2018</t>
  </si>
  <si>
    <t>LN811</t>
  </si>
  <si>
    <t>Suresh Mukherjee</t>
  </si>
  <si>
    <t>LN812</t>
  </si>
  <si>
    <t>Pallavi Gupta</t>
  </si>
  <si>
    <t>LN813</t>
  </si>
  <si>
    <t>16-07-2016</t>
  </si>
  <si>
    <t>LN814</t>
  </si>
  <si>
    <t>Vikram Gupta</t>
  </si>
  <si>
    <t>26-12-2015</t>
  </si>
  <si>
    <t>LN815</t>
  </si>
  <si>
    <t>LN816</t>
  </si>
  <si>
    <t>Ramesh Roy</t>
  </si>
  <si>
    <t>15-04-2019</t>
  </si>
  <si>
    <t>LN817</t>
  </si>
  <si>
    <t>Pooja Shah</t>
  </si>
  <si>
    <t>02-11-2020</t>
  </si>
  <si>
    <t>LN818</t>
  </si>
  <si>
    <t>09-08-2022</t>
  </si>
  <si>
    <t>LN819</t>
  </si>
  <si>
    <t>LN820</t>
  </si>
  <si>
    <t>06-01-2022</t>
  </si>
  <si>
    <t>LN821</t>
  </si>
  <si>
    <t>Rohit Reddy</t>
  </si>
  <si>
    <t>12-09-2022</t>
  </si>
  <si>
    <t>LN822</t>
  </si>
  <si>
    <t>Lata Bhat</t>
  </si>
  <si>
    <t>20-07-2017</t>
  </si>
  <si>
    <t>LN823</t>
  </si>
  <si>
    <t>Ajay Bhat</t>
  </si>
  <si>
    <t>06-09-2019</t>
  </si>
  <si>
    <t>LN824</t>
  </si>
  <si>
    <t>11-09-2017</t>
  </si>
  <si>
    <t>LN825</t>
  </si>
  <si>
    <t>Mamta Joshi</t>
  </si>
  <si>
    <t>04-06-2021</t>
  </si>
  <si>
    <t>LN826</t>
  </si>
  <si>
    <t>Lata Patel</t>
  </si>
  <si>
    <t>17-09-2016</t>
  </si>
  <si>
    <t>LN827</t>
  </si>
  <si>
    <t>Preeti Kapoor</t>
  </si>
  <si>
    <t>13-10-2019</t>
  </si>
  <si>
    <t>LN828</t>
  </si>
  <si>
    <t>Deepak Singh</t>
  </si>
  <si>
    <t>03-07-2018</t>
  </si>
  <si>
    <t>LN829</t>
  </si>
  <si>
    <t>LN830</t>
  </si>
  <si>
    <t>10-09-2018</t>
  </si>
  <si>
    <t>LN831</t>
  </si>
  <si>
    <t>14-01-2020</t>
  </si>
  <si>
    <t>LN832</t>
  </si>
  <si>
    <t>29-01-2021</t>
  </si>
  <si>
    <t>LN833</t>
  </si>
  <si>
    <t>23-06-2016</t>
  </si>
  <si>
    <t>LN834</t>
  </si>
  <si>
    <t>Nisha Roy</t>
  </si>
  <si>
    <t>26-04-2017</t>
  </si>
  <si>
    <t>LN835</t>
  </si>
  <si>
    <t>26-04-2022</t>
  </si>
  <si>
    <t>LN836</t>
  </si>
  <si>
    <t>21-07-2016</t>
  </si>
  <si>
    <t>LN837</t>
  </si>
  <si>
    <t>Vikas Yadav</t>
  </si>
  <si>
    <t>07-07-2021</t>
  </si>
  <si>
    <t>LN838</t>
  </si>
  <si>
    <t>26-01-2021</t>
  </si>
  <si>
    <t>LN839</t>
  </si>
  <si>
    <t>Mamta Menon</t>
  </si>
  <si>
    <t>02-09-2022</t>
  </si>
  <si>
    <t>LN840</t>
  </si>
  <si>
    <t>Manoj Mitra</t>
  </si>
  <si>
    <t>08-04-2017</t>
  </si>
  <si>
    <t>LN841</t>
  </si>
  <si>
    <t>19-07-2016</t>
  </si>
  <si>
    <t>LN842</t>
  </si>
  <si>
    <t>Sanjay Menon</t>
  </si>
  <si>
    <t>19-06-2018</t>
  </si>
  <si>
    <t>LN843</t>
  </si>
  <si>
    <t>Anil Nair</t>
  </si>
  <si>
    <t>21-09-2022</t>
  </si>
  <si>
    <t>LN844</t>
  </si>
  <si>
    <t>Subhayan Kumar</t>
  </si>
  <si>
    <t>28-11-2022</t>
  </si>
  <si>
    <t>LN845</t>
  </si>
  <si>
    <t>Suresh Pandey</t>
  </si>
  <si>
    <t>15-11-2020</t>
  </si>
  <si>
    <t>LN846</t>
  </si>
  <si>
    <t>Vinod Gupta</t>
  </si>
  <si>
    <t>LN847</t>
  </si>
  <si>
    <t>Suresh Ghosh</t>
  </si>
  <si>
    <t>LN848</t>
  </si>
  <si>
    <t>17-08-2016</t>
  </si>
  <si>
    <t>LN849</t>
  </si>
  <si>
    <t>Hemant Verma</t>
  </si>
  <si>
    <t>11-05-2022</t>
  </si>
  <si>
    <t>LN850</t>
  </si>
  <si>
    <t>Usha Reddy</t>
  </si>
  <si>
    <t>LN851</t>
  </si>
  <si>
    <t>Rajesh Mehta</t>
  </si>
  <si>
    <t>LN852</t>
  </si>
  <si>
    <t>Meena Nair</t>
  </si>
  <si>
    <t>24-07-2018</t>
  </si>
  <si>
    <t>LN853</t>
  </si>
  <si>
    <t>Sanjay Ghosh</t>
  </si>
  <si>
    <t>05-10-2015</t>
  </si>
  <si>
    <t>LN854</t>
  </si>
  <si>
    <t>Ritu Sen</t>
  </si>
  <si>
    <t>01-04-2021</t>
  </si>
  <si>
    <t>LN855</t>
  </si>
  <si>
    <t>Preeti Yadav</t>
  </si>
  <si>
    <t>23-12-2020</t>
  </si>
  <si>
    <t>LN856</t>
  </si>
  <si>
    <t>Vikram Pillai</t>
  </si>
  <si>
    <t>25-01-2023</t>
  </si>
  <si>
    <t>LN857</t>
  </si>
  <si>
    <t>29-04-2016</t>
  </si>
  <si>
    <t>LN858</t>
  </si>
  <si>
    <t>Meena Sen</t>
  </si>
  <si>
    <t>24-01-2017</t>
  </si>
  <si>
    <t>LN859</t>
  </si>
  <si>
    <t>LN860</t>
  </si>
  <si>
    <t>19-08-2016</t>
  </si>
  <si>
    <t>LN861</t>
  </si>
  <si>
    <t>Neha Mukherjee</t>
  </si>
  <si>
    <t>LN862</t>
  </si>
  <si>
    <t>LN863</t>
  </si>
  <si>
    <t>Mamta Mishra</t>
  </si>
  <si>
    <t>29-07-2018</t>
  </si>
  <si>
    <t>LN864</t>
  </si>
  <si>
    <t>LN865</t>
  </si>
  <si>
    <t>12-08-2019</t>
  </si>
  <si>
    <t>LN866</t>
  </si>
  <si>
    <t>Shweta Patel</t>
  </si>
  <si>
    <t>27-05-2018</t>
  </si>
  <si>
    <t>LN867</t>
  </si>
  <si>
    <t>Lata Reddy</t>
  </si>
  <si>
    <t>LN868</t>
  </si>
  <si>
    <t>Rohit Joshi</t>
  </si>
  <si>
    <t>LN869</t>
  </si>
  <si>
    <t>Sunil Iyer</t>
  </si>
  <si>
    <t>26-01-2018</t>
  </si>
  <si>
    <t>LN870</t>
  </si>
  <si>
    <t>Hemant Mukherjee</t>
  </si>
  <si>
    <t>14-09-2016</t>
  </si>
  <si>
    <t>LN871</t>
  </si>
  <si>
    <t>Sanjay Sharma</t>
  </si>
  <si>
    <t>LN872</t>
  </si>
  <si>
    <t>13-03-2016</t>
  </si>
  <si>
    <t>LN873</t>
  </si>
  <si>
    <t>Mamta Sharma</t>
  </si>
  <si>
    <t>22-06-2016</t>
  </si>
  <si>
    <t>LN874</t>
  </si>
  <si>
    <t>Subhayan Verma</t>
  </si>
  <si>
    <t>26-01-2017</t>
  </si>
  <si>
    <t>LN875</t>
  </si>
  <si>
    <t>LN876</t>
  </si>
  <si>
    <t>Pooja Sen</t>
  </si>
  <si>
    <t>11-11-2021</t>
  </si>
  <si>
    <t>LN877</t>
  </si>
  <si>
    <t>Sunita Joshi</t>
  </si>
  <si>
    <t>02-12-2021</t>
  </si>
  <si>
    <t>LN878</t>
  </si>
  <si>
    <t>29-12-2017</t>
  </si>
  <si>
    <t>LN879</t>
  </si>
  <si>
    <t>Subhayan Iyer</t>
  </si>
  <si>
    <t>LN880</t>
  </si>
  <si>
    <t>Ajay Kumar</t>
  </si>
  <si>
    <t>11-05-2021</t>
  </si>
  <si>
    <t>LN881</t>
  </si>
  <si>
    <t>Pooja Bose</t>
  </si>
  <si>
    <t>LN882</t>
  </si>
  <si>
    <t>03-08-2017</t>
  </si>
  <si>
    <t>LN883</t>
  </si>
  <si>
    <t>LN884</t>
  </si>
  <si>
    <t>Mukesh Dutta</t>
  </si>
  <si>
    <t>09-08-2017</t>
  </si>
  <si>
    <t>LN885</t>
  </si>
  <si>
    <t>Lata Gupta</t>
  </si>
  <si>
    <t>LN886</t>
  </si>
  <si>
    <t>16-09-2022</t>
  </si>
  <si>
    <t>LN887</t>
  </si>
  <si>
    <t>Priya Reddy</t>
  </si>
  <si>
    <t>17-04-2015</t>
  </si>
  <si>
    <t>LN888</t>
  </si>
  <si>
    <t>Amit Mishra</t>
  </si>
  <si>
    <t>11-01-2019</t>
  </si>
  <si>
    <t>LN889</t>
  </si>
  <si>
    <t>Sneha Bhat</t>
  </si>
  <si>
    <t>22-11-2015</t>
  </si>
  <si>
    <t>LN890</t>
  </si>
  <si>
    <t>Ritu Pandey</t>
  </si>
  <si>
    <t>19-09-2022</t>
  </si>
  <si>
    <t>LN891</t>
  </si>
  <si>
    <t>Ajay Pandey</t>
  </si>
  <si>
    <t>06-05-2020</t>
  </si>
  <si>
    <t>LN892</t>
  </si>
  <si>
    <t>03-07-2016</t>
  </si>
  <si>
    <t>LN893</t>
  </si>
  <si>
    <t>Rekha Joshi</t>
  </si>
  <si>
    <t>LN894</t>
  </si>
  <si>
    <t>12-10-2021</t>
  </si>
  <si>
    <t>LN895</t>
  </si>
  <si>
    <t>Amit Mehta</t>
  </si>
  <si>
    <t>04-04-2020</t>
  </si>
  <si>
    <t>LN896</t>
  </si>
  <si>
    <t>26-12-2022</t>
  </si>
  <si>
    <t>LN897</t>
  </si>
  <si>
    <t>Vikas Mishra</t>
  </si>
  <si>
    <t>14-04-2022</t>
  </si>
  <si>
    <t>LN898</t>
  </si>
  <si>
    <t>LN899</t>
  </si>
  <si>
    <t>LN900</t>
  </si>
  <si>
    <t>LN901</t>
  </si>
  <si>
    <t>LN902</t>
  </si>
  <si>
    <t>Vinod Kapoor</t>
  </si>
  <si>
    <t>24-04-2020</t>
  </si>
  <si>
    <t>LN903</t>
  </si>
  <si>
    <t>17-07-2016</t>
  </si>
  <si>
    <t>LN904</t>
  </si>
  <si>
    <t>01-11-2016</t>
  </si>
  <si>
    <t>LN905</t>
  </si>
  <si>
    <t>LN906</t>
  </si>
  <si>
    <t>Anil Sen</t>
  </si>
  <si>
    <t>15-07-2017</t>
  </si>
  <si>
    <t>LN907</t>
  </si>
  <si>
    <t>Meena Gupta</t>
  </si>
  <si>
    <t>13-05-2015</t>
  </si>
  <si>
    <t>LN908</t>
  </si>
  <si>
    <t>01-08-2019</t>
  </si>
  <si>
    <t>LN909</t>
  </si>
  <si>
    <t>Rohit Kapoor</t>
  </si>
  <si>
    <t>LN910</t>
  </si>
  <si>
    <t>Shweta Verma</t>
  </si>
  <si>
    <t>10-01-2018</t>
  </si>
  <si>
    <t>LN911</t>
  </si>
  <si>
    <t>LN912</t>
  </si>
  <si>
    <t>30-06-2017</t>
  </si>
  <si>
    <t>LN913</t>
  </si>
  <si>
    <t>Anjali Singh</t>
  </si>
  <si>
    <t>12-07-2022</t>
  </si>
  <si>
    <t>LN914</t>
  </si>
  <si>
    <t>10-04-2017</t>
  </si>
  <si>
    <t>LN915</t>
  </si>
  <si>
    <t>17-04-2017</t>
  </si>
  <si>
    <t>LN916</t>
  </si>
  <si>
    <t>Suresh Sen</t>
  </si>
  <si>
    <t>28-09-2015</t>
  </si>
  <si>
    <t>LN917</t>
  </si>
  <si>
    <t>Sneha Kumar</t>
  </si>
  <si>
    <t>LN918</t>
  </si>
  <si>
    <t>05-12-2019</t>
  </si>
  <si>
    <t>LN919</t>
  </si>
  <si>
    <t>Preeti Sen</t>
  </si>
  <si>
    <t>LN920</t>
  </si>
  <si>
    <t>Sunil Mishra</t>
  </si>
  <si>
    <t>LN921</t>
  </si>
  <si>
    <t>LN922</t>
  </si>
  <si>
    <t>23-08-2018</t>
  </si>
  <si>
    <t>LN923</t>
  </si>
  <si>
    <t>Ritu Singh</t>
  </si>
  <si>
    <t>18-02-2020</t>
  </si>
  <si>
    <t>LN924</t>
  </si>
  <si>
    <t>07-10-2017</t>
  </si>
  <si>
    <t>LN925</t>
  </si>
  <si>
    <t>18-10-2019</t>
  </si>
  <si>
    <t>LN926</t>
  </si>
  <si>
    <t>Sanjay Roy</t>
  </si>
  <si>
    <t>17-07-2019</t>
  </si>
  <si>
    <t>LN927</t>
  </si>
  <si>
    <t>21-06-2015</t>
  </si>
  <si>
    <t>LN928</t>
  </si>
  <si>
    <t>Rahul Nair</t>
  </si>
  <si>
    <t>26-10-2021</t>
  </si>
  <si>
    <t>LN929</t>
  </si>
  <si>
    <t>Shweta Gupta</t>
  </si>
  <si>
    <t>08-04-2019</t>
  </si>
  <si>
    <t>LN930</t>
  </si>
  <si>
    <t>28-01-2023</t>
  </si>
  <si>
    <t>LN931</t>
  </si>
  <si>
    <t>05-07-2018</t>
  </si>
  <si>
    <t>LN932</t>
  </si>
  <si>
    <t>03-06-2019</t>
  </si>
  <si>
    <t>LN933</t>
  </si>
  <si>
    <t>09-11-2021</t>
  </si>
  <si>
    <t>LN934</t>
  </si>
  <si>
    <t>31-05-2021</t>
  </si>
  <si>
    <t>LN935</t>
  </si>
  <si>
    <t>LN936</t>
  </si>
  <si>
    <t>LN937</t>
  </si>
  <si>
    <t>21-11-2020</t>
  </si>
  <si>
    <t>LN938</t>
  </si>
  <si>
    <t>Priya Mishra</t>
  </si>
  <si>
    <t>12-03-2022</t>
  </si>
  <si>
    <t>LN939</t>
  </si>
  <si>
    <t>24-11-2022</t>
  </si>
  <si>
    <t>LN940</t>
  </si>
  <si>
    <t>07-06-2015</t>
  </si>
  <si>
    <t>LN941</t>
  </si>
  <si>
    <t>LN942</t>
  </si>
  <si>
    <t>Shweta Singh</t>
  </si>
  <si>
    <t>23-03-2016</t>
  </si>
  <si>
    <t>LN943</t>
  </si>
  <si>
    <t>Rahul Mishra</t>
  </si>
  <si>
    <t>24-01-2020</t>
  </si>
  <si>
    <t>LN944</t>
  </si>
  <si>
    <t>Anjali Roy</t>
  </si>
  <si>
    <t>15-02-2020</t>
  </si>
  <si>
    <t>LN945</t>
  </si>
  <si>
    <t>Anil Banerjee</t>
  </si>
  <si>
    <t>23-06-2015</t>
  </si>
  <si>
    <t>LN946</t>
  </si>
  <si>
    <t>Vikram Kapoor</t>
  </si>
  <si>
    <t>03-10-2017</t>
  </si>
  <si>
    <t>LN947</t>
  </si>
  <si>
    <t>Arjun Sharma</t>
  </si>
  <si>
    <t>25-10-2020</t>
  </si>
  <si>
    <t>LN948</t>
  </si>
  <si>
    <t>LN949</t>
  </si>
  <si>
    <t>09-06-2019</t>
  </si>
  <si>
    <t>LN950</t>
  </si>
  <si>
    <t>Hemant Kapoor</t>
  </si>
  <si>
    <t>10-06-2015</t>
  </si>
  <si>
    <t>LN951</t>
  </si>
  <si>
    <t>Vikas Kumar</t>
  </si>
  <si>
    <t>03-04-2021</t>
  </si>
  <si>
    <t>LN952</t>
  </si>
  <si>
    <t>06-05-2019</t>
  </si>
  <si>
    <t>LN953</t>
  </si>
  <si>
    <t>Geeta Bose</t>
  </si>
  <si>
    <t>15-10-2020</t>
  </si>
  <si>
    <t>LN954</t>
  </si>
  <si>
    <t>Rekha Sen</t>
  </si>
  <si>
    <t>LN955</t>
  </si>
  <si>
    <t>LN956</t>
  </si>
  <si>
    <t>LN957</t>
  </si>
  <si>
    <t>07-04-2018</t>
  </si>
  <si>
    <t>LN958</t>
  </si>
  <si>
    <t>06-12-2019</t>
  </si>
  <si>
    <t>LN959</t>
  </si>
  <si>
    <t>19-06-2019</t>
  </si>
  <si>
    <t>LN960</t>
  </si>
  <si>
    <t>Usha Joshi</t>
  </si>
  <si>
    <t>01-06-2018</t>
  </si>
  <si>
    <t>LN961</t>
  </si>
  <si>
    <t>17-03-2018</t>
  </si>
  <si>
    <t>LN962</t>
  </si>
  <si>
    <t>Mamta Bhat</t>
  </si>
  <si>
    <t>04-03-2020</t>
  </si>
  <si>
    <t>LN963</t>
  </si>
  <si>
    <t>Suresh Mehta</t>
  </si>
  <si>
    <t>12-11-2016</t>
  </si>
  <si>
    <t>LN964</t>
  </si>
  <si>
    <t>Vikram Pandey</t>
  </si>
  <si>
    <t>27-09-2019</t>
  </si>
  <si>
    <t>LN965</t>
  </si>
  <si>
    <t>20-04-2018</t>
  </si>
  <si>
    <t>LN966</t>
  </si>
  <si>
    <t>LN967</t>
  </si>
  <si>
    <t>Vinod Singh</t>
  </si>
  <si>
    <t>LN968</t>
  </si>
  <si>
    <t>27-09-2022</t>
  </si>
  <si>
    <t>LN969</t>
  </si>
  <si>
    <t>LN970</t>
  </si>
  <si>
    <t>Mukesh Bose</t>
  </si>
  <si>
    <t>05-08-2016</t>
  </si>
  <si>
    <t>LN971</t>
  </si>
  <si>
    <t>13-03-2020</t>
  </si>
  <si>
    <t>LN972</t>
  </si>
  <si>
    <t>31-03-2022</t>
  </si>
  <si>
    <t>LN973</t>
  </si>
  <si>
    <t>Hemant Gupta</t>
  </si>
  <si>
    <t>25-01-2020</t>
  </si>
  <si>
    <t>LN974</t>
  </si>
  <si>
    <t>Ajay Kapoor</t>
  </si>
  <si>
    <t>06-01-2016</t>
  </si>
  <si>
    <t>LN975</t>
  </si>
  <si>
    <t>Ramesh Mitra</t>
  </si>
  <si>
    <t>07-02-2023</t>
  </si>
  <si>
    <t>LN976</t>
  </si>
  <si>
    <t>Ramesh Joshi</t>
  </si>
  <si>
    <t>LN977</t>
  </si>
  <si>
    <t>08-04-2016</t>
  </si>
  <si>
    <t>LN978</t>
  </si>
  <si>
    <t>06-01-2017</t>
  </si>
  <si>
    <t>LN979</t>
  </si>
  <si>
    <t>25-07-2021</t>
  </si>
  <si>
    <t>LN980</t>
  </si>
  <si>
    <t>22-10-2022</t>
  </si>
  <si>
    <t>LN981</t>
  </si>
  <si>
    <t>LN982</t>
  </si>
  <si>
    <t>Geeta Bhat</t>
  </si>
  <si>
    <t>08-07-2016</t>
  </si>
  <si>
    <t>LN983</t>
  </si>
  <si>
    <t>Anjali Kapoor</t>
  </si>
  <si>
    <t>30-05-2019</t>
  </si>
  <si>
    <t>LN984</t>
  </si>
  <si>
    <t>21-08-2019</t>
  </si>
  <si>
    <t>LN985</t>
  </si>
  <si>
    <t>Hemant Sharma</t>
  </si>
  <si>
    <t>LN986</t>
  </si>
  <si>
    <t>Anil Pillai</t>
  </si>
  <si>
    <t>21-01-2020</t>
  </si>
  <si>
    <t>LN987</t>
  </si>
  <si>
    <t>Vikas Singh</t>
  </si>
  <si>
    <t>13-04-2015</t>
  </si>
  <si>
    <t>LN988</t>
  </si>
  <si>
    <t>Mamta Bose</t>
  </si>
  <si>
    <t>LN989</t>
  </si>
  <si>
    <t>Suresh Kumar</t>
  </si>
  <si>
    <t>02-02-2020</t>
  </si>
  <si>
    <t>LN990</t>
  </si>
  <si>
    <t>Arjun Dutta</t>
  </si>
  <si>
    <t>LN991</t>
  </si>
  <si>
    <t>Vikas Roy</t>
  </si>
  <si>
    <t>LN992</t>
  </si>
  <si>
    <t>LN993</t>
  </si>
  <si>
    <t>06-02-2020</t>
  </si>
  <si>
    <t>LN994</t>
  </si>
  <si>
    <t>Rekha Nair</t>
  </si>
  <si>
    <t>LN995</t>
  </si>
  <si>
    <t>LN996</t>
  </si>
  <si>
    <t>Vikas Joshi</t>
  </si>
  <si>
    <t>20-08-2018</t>
  </si>
  <si>
    <t>LN997</t>
  </si>
  <si>
    <t>04-10-2022</t>
  </si>
  <si>
    <t>LN998</t>
  </si>
  <si>
    <t>Divya Das</t>
  </si>
  <si>
    <t>LN999</t>
  </si>
  <si>
    <t>24-12-2022</t>
  </si>
  <si>
    <t>LN1000</t>
  </si>
  <si>
    <t>Pallavi Pillai</t>
  </si>
  <si>
    <t>02-11-2016</t>
  </si>
  <si>
    <t>BORROWER 
NAME</t>
  </si>
  <si>
    <t>TENURE
(MONTHS)</t>
  </si>
  <si>
    <t>Loan Type</t>
  </si>
  <si>
    <t>Loan Amount</t>
  </si>
  <si>
    <t>LOAN  ID</t>
  </si>
  <si>
    <t>Loan Status</t>
  </si>
  <si>
    <t>Technique</t>
  </si>
  <si>
    <t>Common Problem</t>
  </si>
  <si>
    <t>Excel Functions</t>
  </si>
  <si>
    <t>Remove Duplicates</t>
  </si>
  <si>
    <t>Duplicate Loan_ID creates wrong loan analysis</t>
  </si>
  <si>
    <t>COUNTIF, Remove Duplicates</t>
  </si>
  <si>
    <t>Trim Extra Spaces</t>
  </si>
  <si>
    <t>Customer names contain extra spaces</t>
  </si>
  <si>
    <t>TRIM, CLEAN</t>
  </si>
  <si>
    <t>Standardize Loan Type</t>
  </si>
  <si>
    <t>Same loan category written differently</t>
  </si>
  <si>
    <t>UPPER, LOWER, PROPER</t>
  </si>
  <si>
    <t>Fix Currency Format</t>
  </si>
  <si>
    <t>Loan amount stored with ₹ and commas as text</t>
  </si>
  <si>
    <t>SUBSTITUTE, VALUE</t>
  </si>
  <si>
    <t>Convert Interest Rate</t>
  </si>
  <si>
    <t>Interest rates stored as text or mixed formats</t>
  </si>
  <si>
    <t>VALUE, SUBSTITUTE</t>
  </si>
  <si>
    <t>Standardize Date Format</t>
  </si>
  <si>
    <t>EMI start dates have inconsistent formats</t>
  </si>
  <si>
    <t>DATEVALUE, TEXT</t>
  </si>
  <si>
    <t>Handle Missing Values</t>
  </si>
  <si>
    <t>Blank loan type/status breaks PivotTables</t>
  </si>
  <si>
    <t>IF, ISBLANK, IFERROR</t>
  </si>
  <si>
    <t>Validate Loan Tenure</t>
  </si>
  <si>
    <t>Negative or unrealistic tenure months</t>
  </si>
  <si>
    <t>Data Validation, IF</t>
  </si>
  <si>
    <t>Standardize Loan Status</t>
  </si>
  <si>
    <t>ACTIVE/active/Closed creates multiple categories</t>
  </si>
  <si>
    <t>PROPER, SUBSTITUTE</t>
  </si>
  <si>
    <t>Remove Non-Numeric Characters</t>
  </si>
  <si>
    <t>Currency symbols break SUM/AVERAGE</t>
  </si>
  <si>
    <t>SUBSTITUTE, VALUE, TRIM</t>
  </si>
  <si>
    <t>Create Loan Categories</t>
  </si>
  <si>
    <t>Raw loan amounts difficult to analyze</t>
  </si>
  <si>
    <t>IF,IFS</t>
  </si>
  <si>
    <t>Split Combined Columns</t>
  </si>
  <si>
    <t>Full address/name stored in one cell</t>
  </si>
  <si>
    <t>LEFT, RIGHT, MID, TEXTSPLIT</t>
  </si>
  <si>
    <t>Combine &amp; Reconcile Columns</t>
  </si>
  <si>
    <t>Create full customer information</t>
  </si>
  <si>
    <t>CONCATENATE, TEXTJOIN, &amp;</t>
  </si>
  <si>
    <t>Validate EMI Inputs</t>
  </si>
  <si>
    <t>Incorrect rate or amount gives wrong EMI</t>
  </si>
  <si>
    <t>IFERROR, Data Validation</t>
  </si>
  <si>
    <t>Format Percentage Columns</t>
  </si>
  <si>
    <t>Interest rate not recognized as %</t>
  </si>
  <si>
    <t>Format Cells, VALUE</t>
  </si>
  <si>
    <t>Convert Dataset into Excel Table</t>
  </si>
  <si>
    <t>Static range breaks dynamic charts</t>
  </si>
  <si>
    <t>Ctrl + T</t>
  </si>
  <si>
    <t>Highlight Data Errors</t>
  </si>
  <si>
    <t>Missing/invalid values hard to detect</t>
  </si>
  <si>
    <t>Conditional Formatting</t>
  </si>
  <si>
    <t>Standardize Text Case</t>
  </si>
  <si>
    <t>Inconsistent customer names in reports</t>
  </si>
  <si>
    <t>PROPER, UPPER</t>
  </si>
  <si>
    <t>Prepare Data for Dashboard</t>
  </si>
  <si>
    <t>Unclean data affects slicers/charts</t>
  </si>
  <si>
    <t>PivotTable Tools, Filters</t>
  </si>
  <si>
    <t>Cibil Score</t>
  </si>
  <si>
    <t>Amortization Table</t>
  </si>
  <si>
    <t>Installment 
No.</t>
  </si>
  <si>
    <t>Payment 
Date</t>
  </si>
  <si>
    <t>Opening 
Balance</t>
  </si>
  <si>
    <t>Closing 
Balance</t>
  </si>
  <si>
    <t>Cumulative 
Interest</t>
  </si>
  <si>
    <t>Annual Interest Rate(%)</t>
  </si>
  <si>
    <t>Tenure</t>
  </si>
  <si>
    <t>Sanctioned Date</t>
  </si>
  <si>
    <t xml:space="preserve">Borrower Name </t>
  </si>
  <si>
    <t xml:space="preserve">Age </t>
  </si>
  <si>
    <t xml:space="preserve">City </t>
  </si>
  <si>
    <t>Total Payble</t>
  </si>
  <si>
    <t>Total Interest to pay</t>
  </si>
  <si>
    <t>Borrower Details</t>
  </si>
  <si>
    <t>First Payment Date</t>
  </si>
  <si>
    <t>Last Payment date</t>
  </si>
  <si>
    <t>Interest (Monthly)</t>
  </si>
  <si>
    <t>Principal (Monthly)</t>
  </si>
  <si>
    <t>Clean  The Sheet</t>
  </si>
  <si>
    <t>New Borrower</t>
  </si>
  <si>
    <t>Borrower Name --</t>
  </si>
  <si>
    <t>Age --</t>
  </si>
  <si>
    <t>City --</t>
  </si>
  <si>
    <t>Cibil Score --</t>
  </si>
  <si>
    <t>Loan Type --</t>
  </si>
  <si>
    <t>Loan Amount --</t>
  </si>
  <si>
    <t>Annual Interest Rate(%) --</t>
  </si>
  <si>
    <t>Sanctioned Date --</t>
  </si>
  <si>
    <t>Debtanu De</t>
  </si>
  <si>
    <t>Student Loan</t>
  </si>
  <si>
    <t>Tenure(In Months) --</t>
  </si>
  <si>
    <t>Row Labels</t>
  </si>
  <si>
    <t>Grand Total</t>
  </si>
  <si>
    <t>Column Labels</t>
  </si>
  <si>
    <t>Sum of EMI</t>
  </si>
  <si>
    <t>(All)</t>
  </si>
  <si>
    <t>Sum of Closing 
Balance</t>
  </si>
  <si>
    <t>Sum of Principal (Monthly)</t>
  </si>
  <si>
    <t>(blank)</t>
  </si>
  <si>
    <t>Sum of LOAN 
AMOUNT</t>
  </si>
  <si>
    <t>Count of Loan ID</t>
  </si>
  <si>
    <t>Sum of CIBIL 
SCORE</t>
  </si>
  <si>
    <t>Sum of Opening 
Balance</t>
  </si>
  <si>
    <t>Sum of Cumulative 
Interest</t>
  </si>
  <si>
    <t>Sum of Interest (Monthly)</t>
  </si>
  <si>
    <t>EMI &amp; Amortization Schedule</t>
  </si>
  <si>
    <t>Total Loans</t>
  </si>
  <si>
    <t>Portfolio Value</t>
  </si>
  <si>
    <t>Avg. Loan Size</t>
  </si>
  <si>
    <t>Avg. Interest Rate</t>
  </si>
  <si>
    <t>Avg. CIBIL Score</t>
  </si>
  <si>
    <t>MAGADA BANK</t>
  </si>
  <si>
    <t>Column1</t>
  </si>
  <si>
    <t xml:space="preserve">  WORKBOOK SHEETS — WHAT EACH SHEET DOES</t>
  </si>
  <si>
    <t>Content</t>
  </si>
  <si>
    <t>Cover page listing the EMI &amp; Amortization schedule overview.</t>
  </si>
  <si>
    <t>Instructions</t>
  </si>
  <si>
    <t>This guide — explains every sheet, field, and how to use the dashboard.</t>
  </si>
  <si>
    <t>Dashboard</t>
  </si>
  <si>
    <t>KPI cards (Total Loans, Portfolio Value, Avg. Loan Size, Avg. Interest Rate, Avg. CIBIL) + 9 charts for executive-level portfolio reporting.</t>
  </si>
  <si>
    <t>Raw Data</t>
  </si>
  <si>
    <t>Original uncleaned loan dataset with 1,000 records. Do NOT modify.</t>
  </si>
  <si>
    <t>Clean Data</t>
  </si>
  <si>
    <t>Fully standardised 1,000-loan dataset — ready for analysis. This is the master data source.</t>
  </si>
  <si>
    <t>Cleaning Tasks</t>
  </si>
  <si>
    <t>20-step cleaning checklist with techniques, common problems and Excel functions used.</t>
  </si>
  <si>
    <t>PIVOT 1</t>
  </si>
  <si>
    <t>Sum of EMI by Loan Type × Status matrix. Also shows loan count by type.</t>
  </si>
  <si>
    <t>pivot 2</t>
  </si>
  <si>
    <t>Loan Amount by Type, Status count, City-wise portfolio, CIBIL by type, Amount by interest rate band.</t>
  </si>
  <si>
    <t>pivot 3</t>
  </si>
  <si>
    <t>Amortization pivots — Closing Balance, Opening vs Closing, Principal &amp; Interest by month.</t>
  </si>
  <si>
    <t>EMI &amp; Amortization</t>
  </si>
  <si>
    <t>Enter a Loan ID to auto-populate borrower details, compute EMI, and view the full month-by-month repayment schedule.</t>
  </si>
  <si>
    <t>New Customer</t>
  </si>
  <si>
    <t>Template for entering a new borrower's details and instantly estimating their EMI before onboarding.</t>
  </si>
  <si>
    <t xml:space="preserve">  HOW TO USE THE EMI &amp; AMORTIZATION SHEET</t>
  </si>
  <si>
    <t>Step 1</t>
  </si>
  <si>
    <t>Open the 'EMI &amp; Amortization' sheet.</t>
  </si>
  <si>
    <t>Step 2</t>
  </si>
  <si>
    <t>Enter a valid Loan ID (e.g. LN26) in the LOAN ID input cell.</t>
  </si>
  <si>
    <t>Step 3</t>
  </si>
  <si>
    <t>Borrower details (Name, Age, City, CIBIL, Loan Type, Rate, Amount, Tenure) auto-populate via VLOOKUP from Clean Data.</t>
  </si>
  <si>
    <t>Step 4</t>
  </si>
  <si>
    <t>EMI, Total Payable &amp; Total Interest compute instantly using the PMT formula.</t>
  </si>
  <si>
    <t>Step 5</t>
  </si>
  <si>
    <t>Scroll down to view the full month-by-month Amortization Table (Opening Balance → EMI → Interest → Principal → Closing Balance).</t>
  </si>
  <si>
    <t>Step 6</t>
  </si>
  <si>
    <t>pivot 3 charts will also refresh to reflect the newly selected loan.</t>
  </si>
  <si>
    <t xml:space="preserve">  HOW TO USE THE DASHBOARD</t>
  </si>
  <si>
    <t>KPI Cards</t>
  </si>
  <si>
    <t>5 cards at the top show live totals — auto-update whenever Clean Data changes.</t>
  </si>
  <si>
    <t>Charts (9 total)</t>
  </si>
  <si>
    <t>Pie, Doughnut, Column, Horizontal Bar and Line charts — all in blue theme. Hover over any chart element to see exact values.</t>
  </si>
  <si>
    <t>Slicers</t>
  </si>
  <si>
    <t>Use the slicer buttons to filter charts by Loan Type or Status. Hold Ctrl to select multiple values. Click ✖ to clear.</t>
  </si>
  <si>
    <t>Refresh Charts</t>
  </si>
  <si>
    <t>Go to Data tab → 'Refresh All' to update all charts and pivot tables at once after any data change.</t>
  </si>
  <si>
    <t xml:space="preserve">  KEY NOTES &amp; IMPORTANT REMINDERS</t>
  </si>
  <si>
    <t>Currency</t>
  </si>
  <si>
    <t>All amounts are in Indian Rupees (₹). Values stored as plain numbers — no ₹ symbol in data columns.</t>
  </si>
  <si>
    <t>Interest Rates</t>
  </si>
  <si>
    <t>Stored as decimals in Clean Data (e.g. 0.09 = 9%). Dashboard displays as percentage automatically.</t>
  </si>
  <si>
    <t>Loan Status Values</t>
  </si>
  <si>
    <t>Four valid values: active, closed, defaulted, pending — all lowercase in Clean Data.</t>
  </si>
  <si>
    <t>CIBIL Score Range</t>
  </si>
  <si>
    <t>Ranges from 550 (poor) to 899 (excellent). Portfolio average = 725. Higher score = lower risk.</t>
  </si>
  <si>
    <t>EMI Formula Used</t>
  </si>
  <si>
    <t>Do NOT Edit</t>
  </si>
  <si>
    <t>Raw Data, Pivot headers, and column headers in Clean Data must not be changed — they will break formulas and pivot tables.</t>
  </si>
  <si>
    <t>Adding New Records</t>
  </si>
  <si>
    <t>Add rows to Clean Data from row 1001 onwards. Maintain the same column order. Then click Data → Refresh All.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</si>
</sst>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8" formatCode="&quot;₹&quot;\ #,##0.00;[Red]&quot;₹&quot;\ \-#,##0.00"/>
    <numFmt numFmtId="164" formatCode="[$-14009]dd/mm/yyyy;@"/>
    <numFmt numFmtId="165" formatCode="_ [$₹-4009]\ * #,##0.00_ ;_ [$₹-4009]\ * \-#,##0.00_ ;_ [$₹-4009]\ * &quot;-&quot;??_ ;_ @_ "/>
  </numFmts>
  <fonts count="26" x14ac:knownFonts="1">
    <font>
      <sz val="11"/>
      <color theme="1"/>
      <name val="Rockwell"/>
      <family val="2"/>
      <scheme val="minor"/>
    </font>
    <font>
      <sz val="11"/>
      <color theme="1"/>
      <name val="Rockwell"/>
      <family val="2"/>
      <scheme val="minor"/>
    </font>
    <font>
      <sz val="9"/>
      <name val="Arial"/>
      <family val="2"/>
    </font>
    <font>
      <b/>
      <sz val="12"/>
      <color theme="1"/>
      <name val="Franklin Gothic Medium Cond"/>
      <family val="2"/>
    </font>
    <font>
      <sz val="20"/>
      <color theme="0"/>
      <name val="Algerian"/>
      <family val="5"/>
    </font>
    <font>
      <b/>
      <sz val="12"/>
      <color theme="1"/>
      <name val="Aptos"/>
      <family val="2"/>
    </font>
    <font>
      <sz val="11"/>
      <color theme="1"/>
      <name val="Eras Demi ITC"/>
      <family val="2"/>
    </font>
    <font>
      <sz val="12"/>
      <color theme="1"/>
      <name val="Eras Demi ITC"/>
      <family val="2"/>
    </font>
    <font>
      <sz val="11"/>
      <color theme="1"/>
      <name val="Bahnschrift Light SemiCondensed"/>
      <family val="2"/>
    </font>
    <font>
      <b/>
      <sz val="22"/>
      <color theme="4" tint="-0.499984740745262"/>
      <name val="Algerian"/>
      <family val="5"/>
    </font>
    <font>
      <b/>
      <sz val="16"/>
      <color theme="4" tint="-0.499984740745262"/>
      <name val="Arial Rounded MT Bold"/>
      <family val="2"/>
    </font>
    <font>
      <u/>
      <sz val="11"/>
      <color theme="10"/>
      <name val="Rockwell"/>
      <family val="2"/>
      <scheme val="minor"/>
    </font>
    <font>
      <sz val="20"/>
      <color theme="1"/>
      <name val="Algerian"/>
      <family val="5"/>
    </font>
    <font>
      <sz val="22"/>
      <color theme="0"/>
      <name val="Algerian"/>
      <family val="5"/>
    </font>
    <font>
      <sz val="22"/>
      <color theme="4" tint="-0.499984740745262"/>
      <name val="Calibri"/>
      <family val="2"/>
    </font>
    <font>
      <sz val="22"/>
      <color theme="1"/>
      <name val="Calibri"/>
      <family val="2"/>
    </font>
    <font>
      <b/>
      <sz val="18"/>
      <color theme="4" tint="-0.499984740745262"/>
      <name val="Arial Rounded MT Bold"/>
      <family val="2"/>
    </font>
    <font>
      <b/>
      <sz val="18"/>
      <color theme="1"/>
      <name val="Arial Rounded MT Bold"/>
      <family val="2"/>
    </font>
    <font>
      <sz val="12"/>
      <color theme="0"/>
      <name val="Algerian"/>
      <family val="5"/>
    </font>
    <font>
      <sz val="22"/>
      <color theme="1"/>
      <name val="Rockwell"/>
      <family val="2"/>
      <scheme val="minor"/>
    </font>
    <font>
      <b/>
      <sz val="11"/>
      <color theme="0"/>
      <name val="Rockwell"/>
      <family val="1"/>
      <scheme val="minor"/>
    </font>
    <font>
      <b/>
      <sz val="16"/>
      <color theme="1"/>
      <name val="Rockwell"/>
      <family val="1"/>
      <scheme val="minor"/>
    </font>
    <font>
      <b/>
      <sz val="11"/>
      <color theme="0" tint="-4.9989318521683403E-2"/>
      <name val="Rockwell"/>
      <family val="1"/>
      <scheme val="minor"/>
    </font>
    <font>
      <b/>
      <sz val="11"/>
      <color rgb="FFFFFFFF"/>
      <name val="Calibri"/>
      <family val="2"/>
    </font>
    <font>
      <b/>
      <sz val="11"/>
      <color rgb="FF1B3A5C"/>
      <name val="Calibri"/>
      <family val="2"/>
    </font>
    <font>
      <sz val="11"/>
      <color rgb="FF333333"/>
      <name val="Calibri"/>
      <family val="2"/>
    </font>
  </fonts>
  <fills count="19">
    <fill>
      <patternFill patternType="none"/>
    </fill>
    <fill>
      <patternFill patternType="gray125"/>
    </fill>
    <fill>
      <patternFill patternType="solid">
        <fgColor theme="9" tint="0.39997558519241921"/>
        <bgColor indexed="64"/>
      </patternFill>
    </fill>
    <fill>
      <patternFill patternType="solid">
        <fgColor rgb="FFE8F5E9"/>
        <bgColor rgb="FFE8F5E9"/>
      </patternFill>
    </fill>
    <fill>
      <patternFill patternType="solid">
        <fgColor theme="0"/>
        <bgColor indexed="64"/>
      </patternFill>
    </fill>
    <fill>
      <patternFill patternType="solid">
        <fgColor theme="4" tint="-0.499984740745262"/>
        <bgColor indexed="64"/>
      </patternFill>
    </fill>
    <fill>
      <patternFill patternType="solid">
        <fgColor theme="4" tint="0.79998168889431442"/>
        <bgColor indexed="64"/>
      </patternFill>
    </fill>
    <fill>
      <patternFill patternType="solid">
        <fgColor theme="0" tint="-4.9989318521683403E-2"/>
        <bgColor indexed="64"/>
      </patternFill>
    </fill>
    <fill>
      <patternFill patternType="solid">
        <fgColor theme="6" tint="0.79998168889431442"/>
        <bgColor indexed="64"/>
      </patternFill>
    </fill>
    <fill>
      <patternFill patternType="solid">
        <fgColor theme="9" tint="0.59999389629810485"/>
        <bgColor indexed="64"/>
      </patternFill>
    </fill>
    <fill>
      <patternFill patternType="solid">
        <fgColor theme="3" tint="0.79998168889431442"/>
        <bgColor indexed="64"/>
      </patternFill>
    </fill>
    <fill>
      <patternFill patternType="solid">
        <fgColor theme="8" tint="-0.249977111117893"/>
        <bgColor indexed="64"/>
      </patternFill>
    </fill>
    <fill>
      <patternFill patternType="solid">
        <fgColor theme="8" tint="0.59999389629810485"/>
        <bgColor indexed="64"/>
      </patternFill>
    </fill>
    <fill>
      <patternFill patternType="solid">
        <fgColor theme="8" tint="0.39997558519241921"/>
        <bgColor indexed="64"/>
      </patternFill>
    </fill>
    <fill>
      <patternFill patternType="solid">
        <fgColor theme="4" tint="-0.249977111117893"/>
        <bgColor indexed="64"/>
      </patternFill>
    </fill>
    <fill>
      <patternFill patternType="solid">
        <fgColor theme="7" tint="0.79998168889431442"/>
        <bgColor indexed="64"/>
      </patternFill>
    </fill>
    <fill>
      <patternFill patternType="solid">
        <fgColor rgb="FF1B3A5C"/>
      </patternFill>
    </fill>
    <fill>
      <patternFill patternType="solid">
        <fgColor rgb="FFD6E4F0"/>
      </patternFill>
    </fill>
    <fill>
      <patternFill patternType="solid">
        <fgColor rgb="FFEAF4E8"/>
      </patternFill>
    </fill>
  </fills>
  <borders count="23">
    <border>
      <left/>
      <right/>
      <top/>
      <bottom/>
      <diagonal/>
    </border>
    <border>
      <left style="double">
        <color indexed="64"/>
      </left>
      <right style="double">
        <color indexed="64"/>
      </right>
      <top style="double">
        <color indexed="64"/>
      </top>
      <bottom style="double">
        <color indexed="64"/>
      </bottom>
      <diagonal/>
    </border>
    <border>
      <left style="thin">
        <color auto="1"/>
      </left>
      <right style="thin">
        <color auto="1"/>
      </right>
      <top style="thin">
        <color auto="1"/>
      </top>
      <bottom style="thin">
        <color auto="1"/>
      </bottom>
      <diagonal/>
    </border>
    <border>
      <left/>
      <right/>
      <top style="thin">
        <color indexed="64"/>
      </top>
      <bottom/>
      <diagonal/>
    </border>
    <border>
      <left/>
      <right/>
      <top/>
      <bottom style="thin">
        <color indexed="64"/>
      </bottom>
      <diagonal/>
    </border>
    <border>
      <left/>
      <right/>
      <top style="thin">
        <color auto="1"/>
      </top>
      <bottom style="thin">
        <color auto="1"/>
      </bottom>
      <diagonal/>
    </border>
    <border>
      <left style="thick">
        <color auto="1"/>
      </left>
      <right/>
      <top style="thick">
        <color auto="1"/>
      </top>
      <bottom/>
      <diagonal/>
    </border>
    <border>
      <left/>
      <right/>
      <top style="thick">
        <color auto="1"/>
      </top>
      <bottom/>
      <diagonal/>
    </border>
    <border>
      <left/>
      <right style="thick">
        <color auto="1"/>
      </right>
      <top style="thick">
        <color auto="1"/>
      </top>
      <bottom/>
      <diagonal/>
    </border>
    <border>
      <left style="thick">
        <color auto="1"/>
      </left>
      <right/>
      <top/>
      <bottom/>
      <diagonal/>
    </border>
    <border>
      <left/>
      <right style="thick">
        <color auto="1"/>
      </right>
      <top/>
      <bottom/>
      <diagonal/>
    </border>
    <border>
      <left style="thick">
        <color auto="1"/>
      </left>
      <right/>
      <top/>
      <bottom style="thick">
        <color auto="1"/>
      </bottom>
      <diagonal/>
    </border>
    <border>
      <left/>
      <right/>
      <top/>
      <bottom style="thick">
        <color auto="1"/>
      </bottom>
      <diagonal/>
    </border>
    <border>
      <left/>
      <right style="thick">
        <color auto="1"/>
      </right>
      <top/>
      <bottom style="thick">
        <color auto="1"/>
      </bottom>
      <diagonal/>
    </border>
    <border>
      <left/>
      <right style="thin">
        <color auto="1"/>
      </right>
      <top style="thin">
        <color auto="1"/>
      </top>
      <bottom style="thin">
        <color auto="1"/>
      </bottom>
      <diagonal/>
    </border>
    <border>
      <left style="thin">
        <color auto="1"/>
      </left>
      <right/>
      <top style="thin">
        <color auto="1"/>
      </top>
      <bottom style="thin">
        <color auto="1"/>
      </bottom>
      <diagonal/>
    </border>
    <border>
      <left/>
      <right style="thin">
        <color auto="1"/>
      </right>
      <top/>
      <bottom style="thin">
        <color auto="1"/>
      </bottom>
      <diagonal/>
    </border>
    <border>
      <left style="thin">
        <color auto="1"/>
      </left>
      <right style="thin">
        <color auto="1"/>
      </right>
      <top/>
      <bottom style="thin">
        <color auto="1"/>
      </bottom>
      <diagonal/>
    </border>
    <border>
      <left style="thin">
        <color auto="1"/>
      </left>
      <right/>
      <top/>
      <bottom style="thin">
        <color auto="1"/>
      </bottom>
      <diagonal/>
    </border>
    <border>
      <left/>
      <right style="thin">
        <color auto="1"/>
      </right>
      <top style="thin">
        <color auto="1"/>
      </top>
      <bottom/>
      <diagonal/>
    </border>
    <border>
      <left style="thin">
        <color auto="1"/>
      </left>
      <right style="thin">
        <color auto="1"/>
      </right>
      <top style="thin">
        <color auto="1"/>
      </top>
      <bottom/>
      <diagonal/>
    </border>
    <border>
      <left style="thin">
        <color auto="1"/>
      </left>
      <right/>
      <top style="thin">
        <color auto="1"/>
      </top>
      <bottom/>
      <diagonal/>
    </border>
    <border>
      <left style="thin">
        <color rgb="FFCCCCCC"/>
      </left>
      <right style="thin">
        <color rgb="FFCCCCCC"/>
      </right>
      <top style="thin">
        <color rgb="FFCCCCCC"/>
      </top>
      <bottom style="thin">
        <color rgb="FFCCCCCC"/>
      </bottom>
      <diagonal/>
    </border>
  </borders>
  <cellStyleXfs count="3">
    <xf numFmtId="0" fontId="0" fillId="0" borderId="0"/>
    <xf numFmtId="9" fontId="1" fillId="0" borderId="0" applyFont="0" applyFill="0" applyBorder="0" applyAlignment="0" applyProtection="0"/>
    <xf numFmtId="0" fontId="11" fillId="0" borderId="0" applyNumberFormat="0" applyFill="0" applyBorder="0" applyAlignment="0" applyProtection="0"/>
  </cellStyleXfs>
  <cellXfs count="82">
    <xf numFmtId="0" fontId="0" fillId="0" borderId="0" xfId="0"/>
    <xf numFmtId="0" fontId="0" fillId="0" borderId="0" xfId="0" applyAlignment="1">
      <alignment horizontal="center" vertical="center"/>
    </xf>
    <xf numFmtId="0" fontId="0" fillId="2" borderId="1" xfId="0" applyFill="1" applyBorder="1" applyAlignment="1">
      <alignment horizontal="center" vertical="center" wrapText="1"/>
    </xf>
    <xf numFmtId="10" fontId="2" fillId="3" borderId="2" xfId="0" applyNumberFormat="1" applyFont="1" applyFill="1" applyBorder="1" applyAlignment="1">
      <alignment horizontal="center" vertical="center"/>
    </xf>
    <xf numFmtId="0" fontId="2" fillId="3" borderId="2" xfId="0" applyFont="1" applyFill="1" applyBorder="1" applyAlignment="1">
      <alignment horizontal="center" vertical="center"/>
    </xf>
    <xf numFmtId="0" fontId="2" fillId="0" borderId="2" xfId="0" applyFont="1" applyBorder="1" applyAlignment="1">
      <alignment horizontal="center" vertical="center"/>
    </xf>
    <xf numFmtId="9" fontId="0" fillId="0" borderId="0" xfId="1" applyFont="1" applyBorder="1" applyAlignment="1">
      <alignment horizontal="center" vertical="center"/>
    </xf>
    <xf numFmtId="10" fontId="0" fillId="0" borderId="0" xfId="0" applyNumberFormat="1" applyAlignment="1">
      <alignment horizontal="center" vertical="center"/>
    </xf>
    <xf numFmtId="8" fontId="0" fillId="0" borderId="0" xfId="0" applyNumberFormat="1" applyAlignment="1">
      <alignment horizontal="center" vertical="center"/>
    </xf>
    <xf numFmtId="0" fontId="0" fillId="0" borderId="0" xfId="0" applyAlignment="1">
      <alignment vertical="center"/>
    </xf>
    <xf numFmtId="0" fontId="0" fillId="0" borderId="3" xfId="0" applyBorder="1" applyAlignment="1">
      <alignment horizontal="center" vertical="center"/>
    </xf>
    <xf numFmtId="0" fontId="3" fillId="4" borderId="0" xfId="0" applyFont="1" applyFill="1" applyAlignment="1">
      <alignment horizontal="center" vertical="center"/>
    </xf>
    <xf numFmtId="164" fontId="0" fillId="0" borderId="0" xfId="0" applyNumberFormat="1" applyAlignment="1">
      <alignment horizontal="center" vertical="center"/>
    </xf>
    <xf numFmtId="0" fontId="6" fillId="0" borderId="0" xfId="0" applyFont="1" applyAlignment="1">
      <alignment horizontal="center" vertical="center"/>
    </xf>
    <xf numFmtId="0" fontId="8" fillId="0" borderId="0" xfId="0" applyFont="1" applyAlignment="1">
      <alignment horizontal="center" vertical="center"/>
    </xf>
    <xf numFmtId="0" fontId="8" fillId="6" borderId="4" xfId="0" applyFont="1" applyFill="1" applyBorder="1" applyAlignment="1">
      <alignment horizontal="center" vertical="center"/>
    </xf>
    <xf numFmtId="0" fontId="8" fillId="6" borderId="5" xfId="0" applyFont="1" applyFill="1" applyBorder="1" applyAlignment="1">
      <alignment horizontal="center" vertical="center"/>
    </xf>
    <xf numFmtId="8" fontId="8" fillId="6" borderId="4" xfId="0" applyNumberFormat="1" applyFont="1" applyFill="1" applyBorder="1" applyAlignment="1">
      <alignment horizontal="center" vertical="center"/>
    </xf>
    <xf numFmtId="8" fontId="8" fillId="6" borderId="5" xfId="0" applyNumberFormat="1" applyFont="1" applyFill="1" applyBorder="1" applyAlignment="1">
      <alignment horizontal="center" vertical="center"/>
    </xf>
    <xf numFmtId="164" fontId="8" fillId="6" borderId="5" xfId="0" applyNumberFormat="1" applyFont="1" applyFill="1" applyBorder="1" applyAlignment="1">
      <alignment horizontal="center" vertical="center"/>
    </xf>
    <xf numFmtId="0" fontId="8" fillId="7" borderId="5" xfId="0" applyFont="1" applyFill="1" applyBorder="1" applyAlignment="1">
      <alignment horizontal="center" vertical="center"/>
    </xf>
    <xf numFmtId="9" fontId="8" fillId="7" borderId="5" xfId="1" applyFont="1" applyFill="1" applyBorder="1" applyAlignment="1">
      <alignment horizontal="center" vertical="center"/>
    </xf>
    <xf numFmtId="8" fontId="8" fillId="7" borderId="5" xfId="0" applyNumberFormat="1" applyFont="1" applyFill="1" applyBorder="1" applyAlignment="1">
      <alignment horizontal="center" vertical="center"/>
    </xf>
    <xf numFmtId="164" fontId="8" fillId="7" borderId="5" xfId="0" applyNumberFormat="1" applyFont="1" applyFill="1" applyBorder="1" applyAlignment="1">
      <alignment horizontal="center" vertical="center"/>
    </xf>
    <xf numFmtId="0" fontId="8" fillId="7" borderId="3" xfId="0" applyFont="1" applyFill="1" applyBorder="1" applyAlignment="1">
      <alignment horizontal="center" vertical="center"/>
    </xf>
    <xf numFmtId="0" fontId="5" fillId="8" borderId="1" xfId="0" applyFont="1" applyFill="1" applyBorder="1" applyAlignment="1">
      <alignment horizontal="center" vertical="center" wrapText="1"/>
    </xf>
    <xf numFmtId="0" fontId="5" fillId="8" borderId="1" xfId="0" applyFont="1" applyFill="1" applyBorder="1" applyAlignment="1">
      <alignment horizontal="center" vertical="center"/>
    </xf>
    <xf numFmtId="0" fontId="16" fillId="6" borderId="0" xfId="0" applyFont="1" applyFill="1" applyAlignment="1">
      <alignment horizontal="center" vertical="center"/>
    </xf>
    <xf numFmtId="0" fontId="14" fillId="6" borderId="0" xfId="0" applyFont="1" applyFill="1" applyAlignment="1">
      <alignment horizontal="center" vertical="center"/>
    </xf>
    <xf numFmtId="10" fontId="14" fillId="6" borderId="0" xfId="0" applyNumberFormat="1" applyFont="1" applyFill="1" applyAlignment="1">
      <alignment horizontal="center" vertical="center"/>
    </xf>
    <xf numFmtId="14" fontId="14" fillId="6" borderId="0" xfId="0" applyNumberFormat="1" applyFont="1" applyFill="1" applyAlignment="1">
      <alignment horizontal="center" vertical="center"/>
    </xf>
    <xf numFmtId="0" fontId="17" fillId="6" borderId="0" xfId="0" applyFont="1" applyFill="1" applyAlignment="1">
      <alignment horizontal="center" vertical="center"/>
    </xf>
    <xf numFmtId="0" fontId="15" fillId="6" borderId="0" xfId="0" applyFont="1" applyFill="1" applyAlignment="1">
      <alignment horizontal="center" vertical="center"/>
    </xf>
    <xf numFmtId="0" fontId="0" fillId="6" borderId="0" xfId="0" applyFill="1" applyAlignment="1">
      <alignment horizontal="center" vertical="center"/>
    </xf>
    <xf numFmtId="0" fontId="18" fillId="5" borderId="0" xfId="0" applyFont="1" applyFill="1" applyAlignment="1">
      <alignment horizontal="center" vertical="center" wrapText="1"/>
    </xf>
    <xf numFmtId="10" fontId="2" fillId="0" borderId="2" xfId="0" applyNumberFormat="1" applyFont="1" applyBorder="1" applyAlignment="1">
      <alignment horizontal="center" vertical="center"/>
    </xf>
    <xf numFmtId="0" fontId="0" fillId="10" borderId="2" xfId="0" applyFill="1" applyBorder="1" applyAlignment="1">
      <alignment horizontal="center"/>
    </xf>
    <xf numFmtId="0" fontId="0" fillId="0" borderId="0" xfId="0" pivotButton="1"/>
    <xf numFmtId="0" fontId="0" fillId="0" borderId="0" xfId="0" applyAlignment="1">
      <alignment horizontal="left"/>
    </xf>
    <xf numFmtId="0" fontId="0" fillId="10" borderId="14" xfId="0" applyFill="1" applyBorder="1" applyAlignment="1">
      <alignment horizontal="center"/>
    </xf>
    <xf numFmtId="0" fontId="0" fillId="10" borderId="15" xfId="0" applyFill="1" applyBorder="1" applyAlignment="1">
      <alignment horizontal="center"/>
    </xf>
    <xf numFmtId="0" fontId="22" fillId="14" borderId="16" xfId="0" applyFont="1" applyFill="1" applyBorder="1" applyAlignment="1">
      <alignment horizontal="center"/>
    </xf>
    <xf numFmtId="0" fontId="22" fillId="14" borderId="17" xfId="0" applyFont="1" applyFill="1" applyBorder="1" applyAlignment="1">
      <alignment horizontal="center"/>
    </xf>
    <xf numFmtId="0" fontId="22" fillId="14" borderId="18" xfId="0" applyFont="1" applyFill="1" applyBorder="1" applyAlignment="1">
      <alignment horizontal="center"/>
    </xf>
    <xf numFmtId="0" fontId="0" fillId="10" borderId="19" xfId="0" applyFill="1" applyBorder="1" applyAlignment="1">
      <alignment horizontal="center"/>
    </xf>
    <xf numFmtId="0" fontId="0" fillId="10" borderId="20" xfId="0" applyFill="1" applyBorder="1" applyAlignment="1">
      <alignment horizontal="center"/>
    </xf>
    <xf numFmtId="0" fontId="0" fillId="10" borderId="21" xfId="0" applyFill="1" applyBorder="1" applyAlignment="1">
      <alignment horizontal="center"/>
    </xf>
    <xf numFmtId="0" fontId="0" fillId="0" borderId="0" xfId="0" applyNumberFormat="1"/>
    <xf numFmtId="0" fontId="0" fillId="15" borderId="0" xfId="0" applyFill="1"/>
    <xf numFmtId="0" fontId="24" fillId="17" borderId="22" xfId="0" applyFont="1" applyFill="1" applyBorder="1" applyAlignment="1">
      <alignment horizontal="center" vertical="center" wrapText="1"/>
    </xf>
    <xf numFmtId="0" fontId="25" fillId="18" borderId="22" xfId="0" applyFont="1" applyFill="1" applyBorder="1" applyAlignment="1">
      <alignment horizontal="center" vertical="center" wrapText="1"/>
    </xf>
    <xf numFmtId="0" fontId="0" fillId="12" borderId="2" xfId="0" applyFill="1" applyBorder="1" applyAlignment="1">
      <alignment horizontal="center" vertical="center"/>
    </xf>
    <xf numFmtId="165" fontId="0" fillId="12" borderId="2" xfId="0" applyNumberFormat="1" applyFill="1" applyBorder="1" applyAlignment="1">
      <alignment horizontal="center" vertical="center"/>
    </xf>
    <xf numFmtId="9" fontId="0" fillId="12" borderId="2" xfId="0" applyNumberFormat="1" applyFill="1" applyBorder="1" applyAlignment="1">
      <alignment horizontal="center" vertical="center"/>
    </xf>
    <xf numFmtId="0" fontId="21" fillId="13" borderId="2" xfId="0" applyFont="1" applyFill="1" applyBorder="1" applyAlignment="1">
      <alignment horizontal="center" vertical="center"/>
    </xf>
    <xf numFmtId="0" fontId="0" fillId="0" borderId="4" xfId="0" applyBorder="1" applyAlignment="1">
      <alignment horizontal="center"/>
    </xf>
    <xf numFmtId="0" fontId="20" fillId="11" borderId="2" xfId="0" applyFont="1" applyFill="1" applyBorder="1" applyAlignment="1">
      <alignment horizontal="center"/>
    </xf>
    <xf numFmtId="0" fontId="0" fillId="5" borderId="2" xfId="0" applyFill="1" applyBorder="1" applyAlignment="1">
      <alignment horizontal="center"/>
    </xf>
    <xf numFmtId="0" fontId="19" fillId="6" borderId="2" xfId="0" applyFont="1" applyFill="1" applyBorder="1" applyAlignment="1">
      <alignment horizontal="center"/>
    </xf>
    <xf numFmtId="0" fontId="23" fillId="16" borderId="22" xfId="0" applyFont="1" applyFill="1" applyBorder="1" applyAlignment="1">
      <alignment horizontal="center" vertical="center"/>
    </xf>
    <xf numFmtId="0" fontId="0" fillId="0" borderId="0" xfId="0" applyAlignment="1">
      <alignment horizontal="center" vertical="center"/>
    </xf>
    <xf numFmtId="0" fontId="12" fillId="9" borderId="6" xfId="2" applyFont="1" applyFill="1" applyBorder="1" applyAlignment="1">
      <alignment horizontal="center" vertical="center" wrapText="1"/>
    </xf>
    <xf numFmtId="0" fontId="12" fillId="9" borderId="7" xfId="2" applyFont="1" applyFill="1" applyBorder="1" applyAlignment="1">
      <alignment horizontal="center" vertical="center" wrapText="1"/>
    </xf>
    <xf numFmtId="0" fontId="12" fillId="9" borderId="8" xfId="2" applyFont="1" applyFill="1" applyBorder="1" applyAlignment="1">
      <alignment horizontal="center" vertical="center" wrapText="1"/>
    </xf>
    <xf numFmtId="0" fontId="12" fillId="9" borderId="9" xfId="2" applyFont="1" applyFill="1" applyBorder="1" applyAlignment="1">
      <alignment horizontal="center" vertical="center" wrapText="1"/>
    </xf>
    <xf numFmtId="0" fontId="12" fillId="9" borderId="0" xfId="2" applyFont="1" applyFill="1" applyBorder="1" applyAlignment="1">
      <alignment horizontal="center" vertical="center" wrapText="1"/>
    </xf>
    <xf numFmtId="0" fontId="12" fillId="9" borderId="10" xfId="2" applyFont="1" applyFill="1" applyBorder="1" applyAlignment="1">
      <alignment horizontal="center" vertical="center" wrapText="1"/>
    </xf>
    <xf numFmtId="0" fontId="12" fillId="9" borderId="11" xfId="2" applyFont="1" applyFill="1" applyBorder="1" applyAlignment="1">
      <alignment horizontal="center" vertical="center" wrapText="1"/>
    </xf>
    <xf numFmtId="0" fontId="12" fillId="9" borderId="12" xfId="2" applyFont="1" applyFill="1" applyBorder="1" applyAlignment="1">
      <alignment horizontal="center" vertical="center" wrapText="1"/>
    </xf>
    <xf numFmtId="0" fontId="12" fillId="9" borderId="13" xfId="2" applyFont="1" applyFill="1" applyBorder="1" applyAlignment="1">
      <alignment horizontal="center" vertical="center" wrapText="1"/>
    </xf>
    <xf numFmtId="0" fontId="4" fillId="5" borderId="1" xfId="0" applyFont="1" applyFill="1" applyBorder="1" applyAlignment="1">
      <alignment horizontal="center" vertical="center"/>
    </xf>
    <xf numFmtId="0" fontId="9" fillId="6" borderId="0" xfId="0" applyFont="1" applyFill="1" applyAlignment="1">
      <alignment horizontal="center" vertical="center"/>
    </xf>
    <xf numFmtId="0" fontId="7" fillId="6" borderId="4" xfId="0" applyFont="1" applyFill="1" applyBorder="1" applyAlignment="1">
      <alignment horizontal="left" vertical="center"/>
    </xf>
    <xf numFmtId="0" fontId="7" fillId="7" borderId="5" xfId="0" applyFont="1" applyFill="1" applyBorder="1" applyAlignment="1">
      <alignment horizontal="left" vertical="center"/>
    </xf>
    <xf numFmtId="0" fontId="7" fillId="6" borderId="5" xfId="0" applyFont="1" applyFill="1" applyBorder="1" applyAlignment="1">
      <alignment horizontal="left" vertical="center"/>
    </xf>
    <xf numFmtId="0" fontId="10" fillId="6" borderId="0" xfId="0" applyFont="1" applyFill="1" applyAlignment="1">
      <alignment horizontal="center" vertical="center"/>
    </xf>
    <xf numFmtId="0" fontId="6" fillId="6" borderId="4" xfId="0" applyFont="1" applyFill="1" applyBorder="1" applyAlignment="1">
      <alignment horizontal="center" vertical="center"/>
    </xf>
    <xf numFmtId="0" fontId="6" fillId="7" borderId="5" xfId="0" applyFont="1" applyFill="1" applyBorder="1" applyAlignment="1">
      <alignment horizontal="center" vertical="center"/>
    </xf>
    <xf numFmtId="0" fontId="6" fillId="6" borderId="5" xfId="0" applyFont="1" applyFill="1" applyBorder="1" applyAlignment="1">
      <alignment horizontal="center" vertical="center"/>
    </xf>
    <xf numFmtId="0" fontId="6" fillId="7" borderId="3" xfId="0" applyFont="1" applyFill="1" applyBorder="1" applyAlignment="1">
      <alignment horizontal="center" vertical="center"/>
    </xf>
    <xf numFmtId="0" fontId="6" fillId="0" borderId="0" xfId="0" applyFont="1" applyAlignment="1">
      <alignment horizontal="center" vertical="center"/>
    </xf>
    <xf numFmtId="0" fontId="13" fillId="5" borderId="0" xfId="0" applyFont="1" applyFill="1" applyAlignment="1">
      <alignment horizontal="center" vertical="center"/>
    </xf>
  </cellXfs>
  <cellStyles count="3">
    <cellStyle name="Hyperlink" xfId="2" builtinId="8"/>
    <cellStyle name="Normal" xfId="0" builtinId="0"/>
    <cellStyle name="Percent" xfId="1" builtinId="5"/>
  </cellStyles>
  <dxfs count="15">
    <dxf>
      <fill>
        <patternFill>
          <bgColor theme="8" tint="0.79998168889431442"/>
        </patternFill>
      </fill>
    </dxf>
    <dxf>
      <fill>
        <patternFill>
          <bgColor theme="4" tint="0.59996337778862885"/>
        </patternFill>
      </fill>
    </dxf>
    <dxf>
      <fill>
        <gradientFill degree="270">
          <stop position="0">
            <color theme="0"/>
          </stop>
          <stop position="1">
            <color theme="4"/>
          </stop>
        </gradientFill>
      </fill>
    </dxf>
    <dxf>
      <fill>
        <patternFill patternType="solid">
          <fgColor indexed="64"/>
          <bgColor theme="3" tint="0.79998168889431442"/>
        </patternFill>
      </fill>
      <alignment horizontal="center" vertical="bottom" textRotation="0" wrapText="0" indent="0" justifyLastLine="0" shrinkToFit="0" readingOrder="0"/>
      <border diagonalUp="0" diagonalDown="0" outline="0">
        <left style="thin">
          <color auto="1"/>
        </left>
        <right/>
        <top style="thin">
          <color auto="1"/>
        </top>
        <bottom/>
      </border>
    </dxf>
    <dxf>
      <fill>
        <patternFill patternType="solid">
          <fgColor indexed="64"/>
          <bgColor theme="3" tint="0.79998168889431442"/>
        </patternFill>
      </fill>
      <alignment horizontal="center" vertical="bottom" textRotation="0" wrapText="0" indent="0" justifyLastLine="0" shrinkToFit="0" readingOrder="0"/>
      <border diagonalUp="0" diagonalDown="0">
        <left style="thin">
          <color auto="1"/>
        </left>
        <right/>
        <top style="thin">
          <color auto="1"/>
        </top>
        <bottom style="thin">
          <color auto="1"/>
        </bottom>
        <vertical/>
        <horizontal/>
      </border>
    </dxf>
    <dxf>
      <fill>
        <patternFill patternType="solid">
          <fgColor indexed="64"/>
          <bgColor theme="3" tint="0.79998168889431442"/>
        </patternFill>
      </fill>
      <alignment horizontal="center" vertical="bottom" textRotation="0" wrapText="0" indent="0" justifyLastLine="0" shrinkToFit="0" readingOrder="0"/>
      <border diagonalUp="0" diagonalDown="0" outline="0">
        <left style="thin">
          <color auto="1"/>
        </left>
        <right style="thin">
          <color auto="1"/>
        </right>
        <top style="thin">
          <color auto="1"/>
        </top>
        <bottom/>
      </border>
    </dxf>
    <dxf>
      <fill>
        <patternFill patternType="solid">
          <fgColor indexed="64"/>
          <bgColor theme="3" tint="0.79998168889431442"/>
        </patternFill>
      </fill>
      <alignment horizontal="center" vertical="bottom" textRotation="0" wrapText="0" indent="0" justifyLastLine="0" shrinkToFit="0" readingOrder="0"/>
      <border diagonalUp="0" diagonalDown="0">
        <left style="thin">
          <color auto="1"/>
        </left>
        <right style="thin">
          <color auto="1"/>
        </right>
        <top style="thin">
          <color auto="1"/>
        </top>
        <bottom style="thin">
          <color auto="1"/>
        </bottom>
        <vertical/>
        <horizontal/>
      </border>
    </dxf>
    <dxf>
      <fill>
        <patternFill patternType="solid">
          <fgColor indexed="64"/>
          <bgColor theme="3" tint="0.79998168889431442"/>
        </patternFill>
      </fill>
      <alignment horizontal="center" vertical="bottom" textRotation="0" wrapText="0" indent="0" justifyLastLine="0" shrinkToFit="0" readingOrder="0"/>
      <border diagonalUp="0" diagonalDown="0" outline="0">
        <left style="thin">
          <color auto="1"/>
        </left>
        <right style="thin">
          <color auto="1"/>
        </right>
        <top style="thin">
          <color auto="1"/>
        </top>
        <bottom/>
      </border>
    </dxf>
    <dxf>
      <fill>
        <patternFill patternType="solid">
          <fgColor indexed="64"/>
          <bgColor theme="3" tint="0.79998168889431442"/>
        </patternFill>
      </fill>
      <alignment horizontal="center" vertical="bottom" textRotation="0" wrapText="0" indent="0" justifyLastLine="0" shrinkToFit="0" readingOrder="0"/>
      <border diagonalUp="0" diagonalDown="0">
        <left style="thin">
          <color auto="1"/>
        </left>
        <right style="thin">
          <color auto="1"/>
        </right>
        <top style="thin">
          <color auto="1"/>
        </top>
        <bottom style="thin">
          <color auto="1"/>
        </bottom>
        <vertical/>
        <horizontal/>
      </border>
    </dxf>
    <dxf>
      <fill>
        <patternFill patternType="solid">
          <fgColor indexed="64"/>
          <bgColor theme="3" tint="0.79998168889431442"/>
        </patternFill>
      </fill>
      <alignment horizontal="center" vertical="bottom" textRotation="0" wrapText="0" indent="0" justifyLastLine="0" shrinkToFit="0" readingOrder="0"/>
      <border diagonalUp="0" diagonalDown="0" outline="0">
        <left/>
        <right style="thin">
          <color auto="1"/>
        </right>
        <top style="thin">
          <color auto="1"/>
        </top>
        <bottom/>
      </border>
    </dxf>
    <dxf>
      <fill>
        <patternFill patternType="solid">
          <fgColor indexed="64"/>
          <bgColor theme="3" tint="0.79998168889431442"/>
        </patternFill>
      </fill>
      <alignment horizontal="center" vertical="bottom" textRotation="0" wrapText="0" indent="0" justifyLastLine="0" shrinkToFit="0" readingOrder="0"/>
      <border diagonalUp="0" diagonalDown="0">
        <left/>
        <right style="thin">
          <color auto="1"/>
        </right>
        <top style="thin">
          <color auto="1"/>
        </top>
        <bottom style="thin">
          <color auto="1"/>
        </bottom>
        <vertical/>
        <horizontal/>
      </border>
    </dxf>
    <dxf>
      <border outline="0">
        <top style="thin">
          <color auto="1"/>
        </top>
      </border>
    </dxf>
    <dxf>
      <border outline="0">
        <left style="thin">
          <color auto="1"/>
        </left>
        <right style="thin">
          <color auto="1"/>
        </right>
        <top style="thin">
          <color auto="1"/>
        </top>
        <bottom style="thin">
          <color auto="1"/>
        </bottom>
      </border>
    </dxf>
    <dxf>
      <border outline="0">
        <bottom style="thin">
          <color auto="1"/>
        </bottom>
      </border>
    </dxf>
    <dxf>
      <font>
        <b/>
        <i val="0"/>
        <strike val="0"/>
        <condense val="0"/>
        <extend val="0"/>
        <outline val="0"/>
        <shadow val="0"/>
        <u val="none"/>
        <vertAlign val="baseline"/>
        <sz val="11"/>
        <color theme="0" tint="-4.9989318521683403E-2"/>
        <name val="Rockwell"/>
        <family val="1"/>
        <scheme val="minor"/>
      </font>
      <fill>
        <patternFill patternType="solid">
          <fgColor indexed="64"/>
          <bgColor theme="4" tint="-0.249977111117893"/>
        </patternFill>
      </fill>
      <alignment horizontal="center" vertical="bottom" textRotation="0" wrapText="0" indent="0" justifyLastLine="0" shrinkToFit="0" readingOrder="0"/>
      <border diagonalUp="0" diagonalDown="0" outline="0">
        <left style="thin">
          <color auto="1"/>
        </left>
        <right style="thin">
          <color auto="1"/>
        </right>
        <top/>
        <bottom/>
      </border>
    </dxf>
  </dxfs>
  <tableStyles count="0" defaultTableStyle="TableStyleMedium2" defaultPivotStyle="PivotStyleLight16"/>
  <colors>
    <mruColors>
      <color rgb="FFD40404"/>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externalLink" Target="externalLinks/externalLink1.xml"/><Relationship Id="rId18" Type="http://schemas.microsoft.com/office/2007/relationships/slicerCache" Target="slicerCaches/slicerCache3.xml"/><Relationship Id="rId26" Type="http://schemas.openxmlformats.org/officeDocument/2006/relationships/calcChain" Target="calcChain.xml"/><Relationship Id="rId3" Type="http://schemas.openxmlformats.org/officeDocument/2006/relationships/worksheet" Target="worksheets/sheet3.xml"/><Relationship Id="rId21" Type="http://schemas.microsoft.com/office/2007/relationships/slicerCache" Target="slicerCaches/slicerCache6.xml"/><Relationship Id="rId7" Type="http://schemas.openxmlformats.org/officeDocument/2006/relationships/worksheet" Target="worksheets/sheet7.xml"/><Relationship Id="rId12" Type="http://schemas.openxmlformats.org/officeDocument/2006/relationships/worksheet" Target="worksheets/sheet12.xml"/><Relationship Id="rId17" Type="http://schemas.microsoft.com/office/2007/relationships/slicerCache" Target="slicerCaches/slicerCache2.xml"/><Relationship Id="rId25" Type="http://schemas.openxmlformats.org/officeDocument/2006/relationships/sheetMetadata" Target="metadata.xml"/><Relationship Id="rId2" Type="http://schemas.openxmlformats.org/officeDocument/2006/relationships/worksheet" Target="worksheets/sheet2.xml"/><Relationship Id="rId16" Type="http://schemas.microsoft.com/office/2007/relationships/slicerCache" Target="slicerCaches/slicerCache1.xml"/><Relationship Id="rId20" Type="http://schemas.microsoft.com/office/2007/relationships/slicerCache" Target="slicerCaches/slicerCache5.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pivotCacheDefinition" Target="pivotCache/pivotCacheDefinition2.xml"/><Relationship Id="rId23" Type="http://schemas.openxmlformats.org/officeDocument/2006/relationships/styles" Target="styles.xml"/><Relationship Id="rId10" Type="http://schemas.openxmlformats.org/officeDocument/2006/relationships/worksheet" Target="worksheets/sheet10.xml"/><Relationship Id="rId19" Type="http://schemas.microsoft.com/office/2007/relationships/slicerCache" Target="slicerCaches/slicerCache4.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pivotCacheDefinition" Target="pivotCache/pivotCacheDefinition1.xml"/><Relationship Id="rId22" Type="http://schemas.openxmlformats.org/officeDocument/2006/relationships/theme" Target="theme/theme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2.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3.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4.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5.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6.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7.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8.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19.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_rels/chart20.xml.rels><?xml version="1.0" encoding="UTF-8" standalone="yes"?>
<Relationships xmlns="http://schemas.openxmlformats.org/package/2006/relationships"><Relationship Id="rId2" Type="http://schemas.microsoft.com/office/2011/relationships/chartColorStyle" Target="colors20.xml"/><Relationship Id="rId1" Type="http://schemas.microsoft.com/office/2011/relationships/chartStyle" Target="style20.xml"/></Relationships>
</file>

<file path=xl/charts/_rels/chart21.xml.rels><?xml version="1.0" encoding="UTF-8" standalone="yes"?>
<Relationships xmlns="http://schemas.openxmlformats.org/package/2006/relationships"><Relationship Id="rId2" Type="http://schemas.microsoft.com/office/2011/relationships/chartColorStyle" Target="colors21.xml"/><Relationship Id="rId1" Type="http://schemas.microsoft.com/office/2011/relationships/chartStyle" Target="style21.xml"/></Relationships>
</file>

<file path=xl/charts/_rels/chart22.xml.rels><?xml version="1.0" encoding="UTF-8" standalone="yes"?>
<Relationships xmlns="http://schemas.openxmlformats.org/package/2006/relationships"><Relationship Id="rId2" Type="http://schemas.microsoft.com/office/2011/relationships/chartColorStyle" Target="colors22.xml"/><Relationship Id="rId1" Type="http://schemas.microsoft.com/office/2011/relationships/chartStyle" Target="style22.xml"/></Relationships>
</file>

<file path=xl/charts/_rels/chart23.xml.rels><?xml version="1.0" encoding="UTF-8" standalone="yes"?>
<Relationships xmlns="http://schemas.openxmlformats.org/package/2006/relationships"><Relationship Id="rId2" Type="http://schemas.microsoft.com/office/2011/relationships/chartColorStyle" Target="colors23.xml"/><Relationship Id="rId1" Type="http://schemas.microsoft.com/office/2011/relationships/chartStyle" Target="style23.xml"/></Relationships>
</file>

<file path=xl/charts/_rels/chart24.xml.rels><?xml version="1.0" encoding="UTF-8" standalone="yes"?>
<Relationships xmlns="http://schemas.openxmlformats.org/package/2006/relationships"><Relationship Id="rId2" Type="http://schemas.microsoft.com/office/2011/relationships/chartColorStyle" Target="colors24.xml"/><Relationship Id="rId1" Type="http://schemas.microsoft.com/office/2011/relationships/chartStyle" Target="style24.xml"/></Relationships>
</file>

<file path=xl/charts/_rels/chart25.xml.rels><?xml version="1.0" encoding="UTF-8" standalone="yes"?>
<Relationships xmlns="http://schemas.openxmlformats.org/package/2006/relationships"><Relationship Id="rId2" Type="http://schemas.microsoft.com/office/2011/relationships/chartColorStyle" Target="colors25.xml"/><Relationship Id="rId1" Type="http://schemas.microsoft.com/office/2011/relationships/chartStyle" Target="style25.xml"/></Relationships>
</file>

<file path=xl/charts/_rels/chart26.xml.rels><?xml version="1.0" encoding="UTF-8" standalone="yes"?>
<Relationships xmlns="http://schemas.openxmlformats.org/package/2006/relationships"><Relationship Id="rId2" Type="http://schemas.microsoft.com/office/2011/relationships/chartColorStyle" Target="colors26.xml"/><Relationship Id="rId1" Type="http://schemas.microsoft.com/office/2011/relationships/chartStyle" Target="style26.xml"/></Relationships>
</file>

<file path=xl/charts/_rels/chart27.xml.rels><?xml version="1.0" encoding="UTF-8" standalone="yes"?>
<Relationships xmlns="http://schemas.openxmlformats.org/package/2006/relationships"><Relationship Id="rId2" Type="http://schemas.microsoft.com/office/2011/relationships/chartColorStyle" Target="colors27.xml"/><Relationship Id="rId1" Type="http://schemas.microsoft.com/office/2011/relationships/chartStyle" Target="style27.xml"/></Relationships>
</file>

<file path=xl/charts/_rels/chart28.xml.rels><?xml version="1.0" encoding="UTF-8" standalone="yes"?>
<Relationships xmlns="http://schemas.openxmlformats.org/package/2006/relationships"><Relationship Id="rId2" Type="http://schemas.microsoft.com/office/2011/relationships/chartColorStyle" Target="colors28.xml"/><Relationship Id="rId1" Type="http://schemas.microsoft.com/office/2011/relationships/chartStyle" Target="style28.xml"/></Relationships>
</file>

<file path=xl/charts/_rels/chart29.xml.rels><?xml version="1.0" encoding="UTF-8" standalone="yes"?>
<Relationships xmlns="http://schemas.openxmlformats.org/package/2006/relationships"><Relationship Id="rId2" Type="http://schemas.microsoft.com/office/2011/relationships/chartColorStyle" Target="colors29.xml"/><Relationship Id="rId1" Type="http://schemas.microsoft.com/office/2011/relationships/chartStyle" Target="style29.xml"/></Relationships>
</file>

<file path=xl/charts/_rels/chartEx1.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none" strike="noStrike" kern="1200" cap="all" spc="150" baseline="0">
                <a:solidFill>
                  <a:schemeClr val="tx1">
                    <a:lumMod val="50000"/>
                    <a:lumOff val="50000"/>
                  </a:schemeClr>
                </a:solidFill>
                <a:latin typeface="+mn-lt"/>
                <a:ea typeface="+mn-ea"/>
                <a:cs typeface="+mn-cs"/>
              </a:defRPr>
            </a:pPr>
            <a:r>
              <a:rPr lang="en-IN"/>
              <a:t>Loans by Interest</a:t>
            </a:r>
          </a:p>
          <a:p>
            <a:pPr>
              <a:defRPr/>
            </a:pPr>
            <a:endParaRPr lang="en-IN"/>
          </a:p>
        </c:rich>
      </c:tx>
      <c:layout>
        <c:manualLayout>
          <c:xMode val="edge"/>
          <c:yMode val="edge"/>
          <c:x val="0.31117919194412025"/>
          <c:y val="2.1445606287326315E-2"/>
        </c:manualLayout>
      </c:layout>
      <c:overlay val="1"/>
      <c:spPr>
        <a:noFill/>
        <a:ln>
          <a:noFill/>
        </a:ln>
        <a:effectLst/>
      </c:spPr>
      <c:txPr>
        <a:bodyPr rot="0" spcFirstLastPara="1" vertOverflow="ellipsis" vert="horz" wrap="square" anchor="ctr" anchorCtr="1"/>
        <a:lstStyle/>
        <a:p>
          <a:pPr>
            <a:defRPr sz="1800" b="1" i="0" u="none" strike="noStrike" kern="1200" cap="all" spc="150" baseline="0">
              <a:solidFill>
                <a:schemeClr val="tx1">
                  <a:lumMod val="50000"/>
                  <a:lumOff val="50000"/>
                </a:schemeClr>
              </a:solidFill>
              <a:latin typeface="+mn-lt"/>
              <a:ea typeface="+mn-ea"/>
              <a:cs typeface="+mn-cs"/>
            </a:defRPr>
          </a:pPr>
          <a:endParaRPr lang="en-US"/>
        </a:p>
      </c:txPr>
    </c:title>
    <c:autoTitleDeleted val="0"/>
    <c:plotArea>
      <c:layout>
        <c:manualLayout>
          <c:layoutTarget val="inner"/>
          <c:xMode val="edge"/>
          <c:yMode val="edge"/>
          <c:x val="0.11406663740247235"/>
          <c:y val="0.15687647564197746"/>
          <c:w val="0.87868744019888867"/>
          <c:h val="0.68073869524604225"/>
        </c:manualLayout>
      </c:layout>
      <c:barChart>
        <c:barDir val="col"/>
        <c:grouping val="clustered"/>
        <c:varyColors val="1"/>
        <c:ser>
          <c:idx val="0"/>
          <c:order val="0"/>
          <c:tx>
            <c:strRef>
              <c:f>[1]ChartData!$V$1</c:f>
              <c:strCache>
                <c:ptCount val="1"/>
                <c:pt idx="0">
                  <c:v>Count</c:v>
                </c:pt>
              </c:strCache>
            </c:strRef>
          </c:tx>
          <c:spPr>
            <a:ln>
              <a:solidFill>
                <a:schemeClr val="accent1">
                  <a:lumMod val="60000"/>
                  <a:lumOff val="40000"/>
                </a:schemeClr>
              </a:solidFill>
            </a:ln>
          </c:spPr>
          <c:invertIfNegative val="1"/>
          <c:dPt>
            <c:idx val="0"/>
            <c:invertIfNegative val="1"/>
            <c:bubble3D val="0"/>
            <c:spPr>
              <a:pattFill prst="narHorz">
                <a:fgClr>
                  <a:schemeClr val="accent1"/>
                </a:fgClr>
                <a:bgClr>
                  <a:schemeClr val="accent1">
                    <a:lumMod val="20000"/>
                    <a:lumOff val="80000"/>
                  </a:schemeClr>
                </a:bgClr>
              </a:pattFill>
              <a:ln>
                <a:solidFill>
                  <a:schemeClr val="accent1">
                    <a:lumMod val="60000"/>
                    <a:lumOff val="40000"/>
                  </a:schemeClr>
                </a:solidFill>
              </a:ln>
              <a:effectLst>
                <a:innerShdw blurRad="114300">
                  <a:schemeClr val="accent1"/>
                </a:innerShdw>
              </a:effectLst>
            </c:spPr>
            <c:extLst>
              <c:ext xmlns:c16="http://schemas.microsoft.com/office/drawing/2014/chart" uri="{C3380CC4-5D6E-409C-BE32-E72D297353CC}">
                <c16:uniqueId val="{00000001-F6A2-4614-8F85-7FBA1164CE53}"/>
              </c:ext>
            </c:extLst>
          </c:dPt>
          <c:dPt>
            <c:idx val="1"/>
            <c:invertIfNegative val="1"/>
            <c:bubble3D val="0"/>
            <c:spPr>
              <a:pattFill prst="narHorz">
                <a:fgClr>
                  <a:schemeClr val="accent2"/>
                </a:fgClr>
                <a:bgClr>
                  <a:schemeClr val="accent2">
                    <a:lumMod val="20000"/>
                    <a:lumOff val="80000"/>
                  </a:schemeClr>
                </a:bgClr>
              </a:pattFill>
              <a:ln>
                <a:solidFill>
                  <a:schemeClr val="accent1">
                    <a:lumMod val="60000"/>
                    <a:lumOff val="40000"/>
                  </a:schemeClr>
                </a:solidFill>
              </a:ln>
              <a:effectLst>
                <a:innerShdw blurRad="114300">
                  <a:schemeClr val="accent2"/>
                </a:innerShdw>
              </a:effectLst>
            </c:spPr>
            <c:extLst>
              <c:ext xmlns:c16="http://schemas.microsoft.com/office/drawing/2014/chart" uri="{C3380CC4-5D6E-409C-BE32-E72D297353CC}">
                <c16:uniqueId val="{00000003-F6A2-4614-8F85-7FBA1164CE53}"/>
              </c:ext>
            </c:extLst>
          </c:dPt>
          <c:dPt>
            <c:idx val="2"/>
            <c:invertIfNegative val="1"/>
            <c:bubble3D val="0"/>
            <c:spPr>
              <a:pattFill prst="narHorz">
                <a:fgClr>
                  <a:schemeClr val="accent3"/>
                </a:fgClr>
                <a:bgClr>
                  <a:schemeClr val="accent3">
                    <a:lumMod val="20000"/>
                    <a:lumOff val="80000"/>
                  </a:schemeClr>
                </a:bgClr>
              </a:pattFill>
              <a:ln>
                <a:solidFill>
                  <a:schemeClr val="accent1">
                    <a:lumMod val="60000"/>
                    <a:lumOff val="40000"/>
                  </a:schemeClr>
                </a:solidFill>
              </a:ln>
              <a:effectLst>
                <a:innerShdw blurRad="114300">
                  <a:schemeClr val="accent3"/>
                </a:innerShdw>
              </a:effectLst>
            </c:spPr>
            <c:extLst>
              <c:ext xmlns:c16="http://schemas.microsoft.com/office/drawing/2014/chart" uri="{C3380CC4-5D6E-409C-BE32-E72D297353CC}">
                <c16:uniqueId val="{00000005-F6A2-4614-8F85-7FBA1164CE53}"/>
              </c:ext>
            </c:extLst>
          </c:dPt>
          <c:dPt>
            <c:idx val="3"/>
            <c:invertIfNegative val="1"/>
            <c:bubble3D val="0"/>
            <c:spPr>
              <a:pattFill prst="narHorz">
                <a:fgClr>
                  <a:schemeClr val="accent4"/>
                </a:fgClr>
                <a:bgClr>
                  <a:schemeClr val="accent4">
                    <a:lumMod val="20000"/>
                    <a:lumOff val="80000"/>
                  </a:schemeClr>
                </a:bgClr>
              </a:pattFill>
              <a:ln>
                <a:solidFill>
                  <a:schemeClr val="accent1">
                    <a:lumMod val="60000"/>
                    <a:lumOff val="40000"/>
                  </a:schemeClr>
                </a:solidFill>
              </a:ln>
              <a:effectLst>
                <a:innerShdw blurRad="114300">
                  <a:schemeClr val="accent4"/>
                </a:innerShdw>
              </a:effectLst>
            </c:spPr>
            <c:extLst>
              <c:ext xmlns:c16="http://schemas.microsoft.com/office/drawing/2014/chart" uri="{C3380CC4-5D6E-409C-BE32-E72D297353CC}">
                <c16:uniqueId val="{00000007-F6A2-4614-8F85-7FBA1164CE53}"/>
              </c:ext>
            </c:extLst>
          </c:dPt>
          <c:dPt>
            <c:idx val="4"/>
            <c:invertIfNegative val="1"/>
            <c:bubble3D val="0"/>
            <c:spPr>
              <a:pattFill prst="narHorz">
                <a:fgClr>
                  <a:schemeClr val="accent5"/>
                </a:fgClr>
                <a:bgClr>
                  <a:schemeClr val="accent5">
                    <a:lumMod val="20000"/>
                    <a:lumOff val="80000"/>
                  </a:schemeClr>
                </a:bgClr>
              </a:pattFill>
              <a:ln>
                <a:solidFill>
                  <a:schemeClr val="accent1">
                    <a:lumMod val="60000"/>
                    <a:lumOff val="40000"/>
                  </a:schemeClr>
                </a:solidFill>
              </a:ln>
              <a:effectLst>
                <a:innerShdw blurRad="114300">
                  <a:schemeClr val="accent5"/>
                </a:innerShdw>
              </a:effectLst>
            </c:spPr>
            <c:extLst>
              <c:ext xmlns:c16="http://schemas.microsoft.com/office/drawing/2014/chart" uri="{C3380CC4-5D6E-409C-BE32-E72D297353CC}">
                <c16:uniqueId val="{00000009-F6A2-4614-8F85-7FBA1164CE53}"/>
              </c:ext>
            </c:extLst>
          </c:dPt>
          <c:dPt>
            <c:idx val="5"/>
            <c:invertIfNegative val="1"/>
            <c:bubble3D val="0"/>
            <c:spPr>
              <a:pattFill prst="narHorz">
                <a:fgClr>
                  <a:schemeClr val="accent6"/>
                </a:fgClr>
                <a:bgClr>
                  <a:schemeClr val="accent6">
                    <a:lumMod val="20000"/>
                    <a:lumOff val="80000"/>
                  </a:schemeClr>
                </a:bgClr>
              </a:pattFill>
              <a:ln>
                <a:solidFill>
                  <a:schemeClr val="accent1">
                    <a:lumMod val="60000"/>
                    <a:lumOff val="40000"/>
                  </a:schemeClr>
                </a:solidFill>
              </a:ln>
              <a:effectLst>
                <a:innerShdw blurRad="114300">
                  <a:schemeClr val="accent6"/>
                </a:innerShdw>
              </a:effectLst>
            </c:spPr>
            <c:extLst>
              <c:ext xmlns:c16="http://schemas.microsoft.com/office/drawing/2014/chart" uri="{C3380CC4-5D6E-409C-BE32-E72D297353CC}">
                <c16:uniqueId val="{0000000B-F6A2-4614-8F85-7FBA1164CE53}"/>
              </c:ext>
            </c:extLst>
          </c:dPt>
          <c:dPt>
            <c:idx val="6"/>
            <c:invertIfNegative val="1"/>
            <c:bubble3D val="0"/>
            <c:spPr>
              <a:pattFill prst="narHorz">
                <a:fgClr>
                  <a:schemeClr val="accent1">
                    <a:lumMod val="60000"/>
                  </a:schemeClr>
                </a:fgClr>
                <a:bgClr>
                  <a:schemeClr val="accent1">
                    <a:lumMod val="60000"/>
                    <a:lumMod val="20000"/>
                    <a:lumOff val="80000"/>
                  </a:schemeClr>
                </a:bgClr>
              </a:pattFill>
              <a:ln>
                <a:solidFill>
                  <a:schemeClr val="accent1">
                    <a:lumMod val="60000"/>
                    <a:lumOff val="40000"/>
                  </a:schemeClr>
                </a:solidFill>
              </a:ln>
              <a:effectLst>
                <a:innerShdw blurRad="114300">
                  <a:schemeClr val="accent1">
                    <a:lumMod val="60000"/>
                  </a:schemeClr>
                </a:innerShdw>
              </a:effectLst>
            </c:spPr>
            <c:extLst>
              <c:ext xmlns:c16="http://schemas.microsoft.com/office/drawing/2014/chart" uri="{C3380CC4-5D6E-409C-BE32-E72D297353CC}">
                <c16:uniqueId val="{0000000D-F6A2-4614-8F85-7FBA1164CE53}"/>
              </c:ext>
            </c:extLst>
          </c:dPt>
          <c:dPt>
            <c:idx val="7"/>
            <c:invertIfNegative val="1"/>
            <c:bubble3D val="0"/>
            <c:spPr>
              <a:pattFill prst="narHorz">
                <a:fgClr>
                  <a:schemeClr val="accent2">
                    <a:lumMod val="60000"/>
                  </a:schemeClr>
                </a:fgClr>
                <a:bgClr>
                  <a:schemeClr val="accent2">
                    <a:lumMod val="60000"/>
                    <a:lumMod val="20000"/>
                    <a:lumOff val="80000"/>
                  </a:schemeClr>
                </a:bgClr>
              </a:pattFill>
              <a:ln>
                <a:solidFill>
                  <a:schemeClr val="accent1">
                    <a:lumMod val="60000"/>
                    <a:lumOff val="40000"/>
                  </a:schemeClr>
                </a:solidFill>
              </a:ln>
              <a:effectLst>
                <a:innerShdw blurRad="114300">
                  <a:schemeClr val="accent2">
                    <a:lumMod val="60000"/>
                  </a:schemeClr>
                </a:innerShdw>
              </a:effectLst>
            </c:spPr>
            <c:extLst>
              <c:ext xmlns:c16="http://schemas.microsoft.com/office/drawing/2014/chart" uri="{C3380CC4-5D6E-409C-BE32-E72D297353CC}">
                <c16:uniqueId val="{0000000F-F6A2-4614-8F85-7FBA1164CE53}"/>
              </c:ext>
            </c:extLst>
          </c:dPt>
          <c:dPt>
            <c:idx val="8"/>
            <c:invertIfNegative val="1"/>
            <c:bubble3D val="0"/>
            <c:spPr>
              <a:pattFill prst="narHorz">
                <a:fgClr>
                  <a:schemeClr val="accent3">
                    <a:lumMod val="60000"/>
                  </a:schemeClr>
                </a:fgClr>
                <a:bgClr>
                  <a:schemeClr val="accent3">
                    <a:lumMod val="60000"/>
                    <a:lumMod val="20000"/>
                    <a:lumOff val="80000"/>
                  </a:schemeClr>
                </a:bgClr>
              </a:pattFill>
              <a:ln>
                <a:solidFill>
                  <a:schemeClr val="accent1">
                    <a:lumMod val="60000"/>
                    <a:lumOff val="40000"/>
                  </a:schemeClr>
                </a:solidFill>
              </a:ln>
              <a:effectLst>
                <a:innerShdw blurRad="114300">
                  <a:schemeClr val="accent3">
                    <a:lumMod val="60000"/>
                  </a:schemeClr>
                </a:innerShdw>
              </a:effectLst>
            </c:spPr>
            <c:extLst>
              <c:ext xmlns:c16="http://schemas.microsoft.com/office/drawing/2014/chart" uri="{C3380CC4-5D6E-409C-BE32-E72D297353CC}">
                <c16:uniqueId val="{00000011-F6A2-4614-8F85-7FBA1164CE53}"/>
              </c:ext>
            </c:extLst>
          </c:dPt>
          <c:dPt>
            <c:idx val="9"/>
            <c:invertIfNegative val="1"/>
            <c:bubble3D val="0"/>
            <c:spPr>
              <a:pattFill prst="narHorz">
                <a:fgClr>
                  <a:schemeClr val="accent4">
                    <a:lumMod val="60000"/>
                  </a:schemeClr>
                </a:fgClr>
                <a:bgClr>
                  <a:schemeClr val="accent4">
                    <a:lumMod val="60000"/>
                    <a:lumMod val="20000"/>
                    <a:lumOff val="80000"/>
                  </a:schemeClr>
                </a:bgClr>
              </a:pattFill>
              <a:ln>
                <a:solidFill>
                  <a:schemeClr val="accent1">
                    <a:lumMod val="60000"/>
                    <a:lumOff val="40000"/>
                  </a:schemeClr>
                </a:solidFill>
              </a:ln>
              <a:effectLst>
                <a:innerShdw blurRad="114300">
                  <a:schemeClr val="accent4">
                    <a:lumMod val="60000"/>
                  </a:schemeClr>
                </a:innerShdw>
              </a:effectLst>
            </c:spPr>
            <c:extLst>
              <c:ext xmlns:c16="http://schemas.microsoft.com/office/drawing/2014/chart" uri="{C3380CC4-5D6E-409C-BE32-E72D297353CC}">
                <c16:uniqueId val="{00000013-F6A2-4614-8F85-7FBA1164CE53}"/>
              </c:ext>
            </c:extLst>
          </c:dPt>
          <c:dPt>
            <c:idx val="10"/>
            <c:invertIfNegative val="1"/>
            <c:bubble3D val="0"/>
            <c:spPr>
              <a:pattFill prst="narHorz">
                <a:fgClr>
                  <a:schemeClr val="accent5">
                    <a:lumMod val="60000"/>
                  </a:schemeClr>
                </a:fgClr>
                <a:bgClr>
                  <a:schemeClr val="accent5">
                    <a:lumMod val="60000"/>
                    <a:lumMod val="20000"/>
                    <a:lumOff val="80000"/>
                  </a:schemeClr>
                </a:bgClr>
              </a:pattFill>
              <a:ln>
                <a:solidFill>
                  <a:schemeClr val="accent1">
                    <a:lumMod val="60000"/>
                    <a:lumOff val="40000"/>
                  </a:schemeClr>
                </a:solidFill>
              </a:ln>
              <a:effectLst>
                <a:innerShdw blurRad="114300">
                  <a:schemeClr val="accent5">
                    <a:lumMod val="60000"/>
                  </a:schemeClr>
                </a:innerShdw>
              </a:effectLst>
            </c:spPr>
            <c:extLst>
              <c:ext xmlns:c16="http://schemas.microsoft.com/office/drawing/2014/chart" uri="{C3380CC4-5D6E-409C-BE32-E72D297353CC}">
                <c16:uniqueId val="{00000015-F6A2-4614-8F85-7FBA1164CE53}"/>
              </c:ext>
            </c:extLst>
          </c:dPt>
          <c:dPt>
            <c:idx val="11"/>
            <c:invertIfNegative val="1"/>
            <c:bubble3D val="0"/>
            <c:spPr>
              <a:pattFill prst="narHorz">
                <a:fgClr>
                  <a:schemeClr val="accent6">
                    <a:lumMod val="60000"/>
                  </a:schemeClr>
                </a:fgClr>
                <a:bgClr>
                  <a:schemeClr val="accent6">
                    <a:lumMod val="60000"/>
                    <a:lumMod val="20000"/>
                    <a:lumOff val="80000"/>
                  </a:schemeClr>
                </a:bgClr>
              </a:pattFill>
              <a:ln>
                <a:solidFill>
                  <a:schemeClr val="accent1">
                    <a:lumMod val="60000"/>
                    <a:lumOff val="40000"/>
                  </a:schemeClr>
                </a:solidFill>
              </a:ln>
              <a:effectLst>
                <a:innerShdw blurRad="114300">
                  <a:schemeClr val="accent6">
                    <a:lumMod val="60000"/>
                  </a:schemeClr>
                </a:innerShdw>
              </a:effectLst>
            </c:spPr>
            <c:extLst>
              <c:ext xmlns:c16="http://schemas.microsoft.com/office/drawing/2014/chart" uri="{C3380CC4-5D6E-409C-BE32-E72D297353CC}">
                <c16:uniqueId val="{00000017-F6A2-4614-8F85-7FBA1164CE53}"/>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1"/>
            <c:showLeaderLines val="0"/>
            <c:extLst>
              <c:ext xmlns:c15="http://schemas.microsoft.com/office/drawing/2012/chart" uri="{CE6537A1-D6FC-4f65-9D91-7224C49458BB}">
                <c15:showLeaderLines val="0"/>
              </c:ext>
            </c:extLst>
          </c:dLbls>
          <c:trendline>
            <c:spPr>
              <a:ln w="19050" cap="rnd">
                <a:solidFill>
                  <a:schemeClr val="accent1"/>
                </a:solidFill>
              </a:ln>
              <a:effectLst/>
            </c:spPr>
            <c:trendlineType val="linear"/>
            <c:dispRSqr val="0"/>
            <c:dispEq val="0"/>
          </c:trendline>
          <c:cat>
            <c:strRef>
              <c:f>[1]ChartData!$U$2:$U$13</c:f>
              <c:strCache>
                <c:ptCount val="12"/>
                <c:pt idx="0">
                  <c:v>7.5%</c:v>
                </c:pt>
                <c:pt idx="1">
                  <c:v>8.0%</c:v>
                </c:pt>
                <c:pt idx="2">
                  <c:v>8.5%</c:v>
                </c:pt>
                <c:pt idx="3">
                  <c:v>9.0%</c:v>
                </c:pt>
                <c:pt idx="4">
                  <c:v>9.5%</c:v>
                </c:pt>
                <c:pt idx="5">
                  <c:v>10.0%</c:v>
                </c:pt>
                <c:pt idx="6">
                  <c:v>10.5%</c:v>
                </c:pt>
                <c:pt idx="7">
                  <c:v>11.0%</c:v>
                </c:pt>
                <c:pt idx="8">
                  <c:v>11.5%</c:v>
                </c:pt>
                <c:pt idx="9">
                  <c:v>12.0%</c:v>
                </c:pt>
                <c:pt idx="10">
                  <c:v>12.5%</c:v>
                </c:pt>
                <c:pt idx="11">
                  <c:v>13.0%</c:v>
                </c:pt>
              </c:strCache>
            </c:strRef>
          </c:cat>
          <c:val>
            <c:numRef>
              <c:f>[1]ChartData!$V$2:$V$13</c:f>
              <c:numCache>
                <c:formatCode>General</c:formatCode>
                <c:ptCount val="12"/>
                <c:pt idx="0">
                  <c:v>86</c:v>
                </c:pt>
                <c:pt idx="1">
                  <c:v>85</c:v>
                </c:pt>
                <c:pt idx="2">
                  <c:v>92</c:v>
                </c:pt>
                <c:pt idx="3">
                  <c:v>81</c:v>
                </c:pt>
                <c:pt idx="4">
                  <c:v>88</c:v>
                </c:pt>
                <c:pt idx="5">
                  <c:v>87</c:v>
                </c:pt>
                <c:pt idx="6">
                  <c:v>84</c:v>
                </c:pt>
                <c:pt idx="7">
                  <c:v>78</c:v>
                </c:pt>
                <c:pt idx="8">
                  <c:v>67</c:v>
                </c:pt>
                <c:pt idx="9">
                  <c:v>86</c:v>
                </c:pt>
                <c:pt idx="10">
                  <c:v>82</c:v>
                </c:pt>
                <c:pt idx="11">
                  <c:v>84</c:v>
                </c:pt>
              </c:numCache>
            </c:numRef>
          </c:val>
          <c:extLst>
            <c:ext xmlns:c16="http://schemas.microsoft.com/office/drawing/2014/chart" uri="{C3380CC4-5D6E-409C-BE32-E72D297353CC}">
              <c16:uniqueId val="{00000019-F6A2-4614-8F85-7FBA1164CE53}"/>
            </c:ext>
          </c:extLst>
        </c:ser>
        <c:dLbls>
          <c:showLegendKey val="0"/>
          <c:showVal val="1"/>
          <c:showCatName val="0"/>
          <c:showSerName val="0"/>
          <c:showPercent val="0"/>
          <c:showBubbleSize val="1"/>
        </c:dLbls>
        <c:gapWidth val="164"/>
        <c:overlap val="-22"/>
        <c:axId val="10"/>
        <c:axId val="100"/>
      </c:barChart>
      <c:catAx>
        <c:axId val="10"/>
        <c:scaling>
          <c:orientation val="minMax"/>
        </c:scaling>
        <c:delete val="0"/>
        <c:axPos val="b"/>
        <c:numFmt formatCode="General" sourceLinked="1"/>
        <c:majorTickMark val="none"/>
        <c:minorTickMark val="none"/>
        <c:tickLblPos val="nextTo"/>
        <c:spPr>
          <a:noFill/>
          <a:ln w="19050"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0"/>
        <c:crosses val="autoZero"/>
        <c:auto val="1"/>
        <c:lblAlgn val="ctr"/>
        <c:lblOffset val="100"/>
        <c:noMultiLvlLbl val="1"/>
      </c:catAx>
      <c:valAx>
        <c:axId val="100"/>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
        <c:crosses val="autoZero"/>
        <c:crossBetween val="between"/>
      </c:valAx>
      <c:dTable>
        <c:showHorzBorder val="1"/>
        <c:showVertBorder val="1"/>
        <c:showOutline val="1"/>
        <c:showKeys val="1"/>
        <c:spPr>
          <a:noFill/>
          <a:ln w="9525">
            <a:solidFill>
              <a:schemeClr val="tx1">
                <a:lumMod val="15000"/>
                <a:lumOff val="85000"/>
              </a:schemeClr>
            </a:solidFill>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n-US"/>
          </a:p>
        </c:txPr>
      </c:dTable>
      <c:spPr>
        <a:noFill/>
        <a:ln>
          <a:noFill/>
        </a:ln>
        <a:effectLst/>
      </c:spPr>
    </c:plotArea>
    <c:plotVisOnly val="1"/>
    <c:dispBlanksAs val="gap"/>
    <c:showDLblsOverMax val="1"/>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[Subhayan_Debtanu.xlsm]PIVOT 1!PivotTable2</c:name>
    <c:fmtId val="8"/>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'PIVOT 1'!$B$3:$B$4</c:f>
              <c:strCache>
                <c:ptCount val="1"/>
                <c:pt idx="0">
                  <c:v>active</c:v>
                </c:pt>
              </c:strCache>
            </c:strRef>
          </c:tx>
          <c:spPr>
            <a:solidFill>
              <a:schemeClr val="accent1"/>
            </a:solidFill>
            <a:ln>
              <a:noFill/>
            </a:ln>
            <a:effectLst/>
          </c:spPr>
          <c:invertIfNegative val="0"/>
          <c:cat>
            <c:strRef>
              <c:f>'PIVOT 1'!$A$5:$A$12</c:f>
              <c:strCache>
                <c:ptCount val="7"/>
                <c:pt idx="0">
                  <c:v>Business loan</c:v>
                </c:pt>
                <c:pt idx="1">
                  <c:v>Car loan</c:v>
                </c:pt>
                <c:pt idx="2">
                  <c:v>Education loan</c:v>
                </c:pt>
                <c:pt idx="3">
                  <c:v>Gold loan</c:v>
                </c:pt>
                <c:pt idx="4">
                  <c:v>Home loan</c:v>
                </c:pt>
                <c:pt idx="5">
                  <c:v>Personal loan</c:v>
                </c:pt>
                <c:pt idx="6">
                  <c:v>Student loan</c:v>
                </c:pt>
              </c:strCache>
            </c:strRef>
          </c:cat>
          <c:val>
            <c:numRef>
              <c:f>'PIVOT 1'!$B$5:$B$12</c:f>
              <c:numCache>
                <c:formatCode>General</c:formatCode>
                <c:ptCount val="7"/>
                <c:pt idx="1">
                  <c:v>17758.217916258742</c:v>
                </c:pt>
                <c:pt idx="2">
                  <c:v>20651.351885270593</c:v>
                </c:pt>
                <c:pt idx="3">
                  <c:v>12102.689086911691</c:v>
                </c:pt>
                <c:pt idx="6">
                  <c:v>29204.751403117862</c:v>
                </c:pt>
              </c:numCache>
            </c:numRef>
          </c:val>
          <c:extLst>
            <c:ext xmlns:c16="http://schemas.microsoft.com/office/drawing/2014/chart" uri="{C3380CC4-5D6E-409C-BE32-E72D297353CC}">
              <c16:uniqueId val="{00000000-6132-4B63-9F17-627416D59607}"/>
            </c:ext>
          </c:extLst>
        </c:ser>
        <c:ser>
          <c:idx val="1"/>
          <c:order val="1"/>
          <c:tx>
            <c:strRef>
              <c:f>'PIVOT 1'!$C$3:$C$4</c:f>
              <c:strCache>
                <c:ptCount val="1"/>
                <c:pt idx="0">
                  <c:v>closed</c:v>
                </c:pt>
              </c:strCache>
            </c:strRef>
          </c:tx>
          <c:spPr>
            <a:solidFill>
              <a:schemeClr val="accent2"/>
            </a:solidFill>
            <a:ln>
              <a:noFill/>
            </a:ln>
            <a:effectLst/>
          </c:spPr>
          <c:invertIfNegative val="0"/>
          <c:cat>
            <c:strRef>
              <c:f>'PIVOT 1'!$A$5:$A$12</c:f>
              <c:strCache>
                <c:ptCount val="7"/>
                <c:pt idx="0">
                  <c:v>Business loan</c:v>
                </c:pt>
                <c:pt idx="1">
                  <c:v>Car loan</c:v>
                </c:pt>
                <c:pt idx="2">
                  <c:v>Education loan</c:v>
                </c:pt>
                <c:pt idx="3">
                  <c:v>Gold loan</c:v>
                </c:pt>
                <c:pt idx="4">
                  <c:v>Home loan</c:v>
                </c:pt>
                <c:pt idx="5">
                  <c:v>Personal loan</c:v>
                </c:pt>
                <c:pt idx="6">
                  <c:v>Student loan</c:v>
                </c:pt>
              </c:strCache>
            </c:strRef>
          </c:cat>
          <c:val>
            <c:numRef>
              <c:f>'PIVOT 1'!$C$5:$C$12</c:f>
              <c:numCache>
                <c:formatCode>General</c:formatCode>
                <c:ptCount val="7"/>
                <c:pt idx="0">
                  <c:v>62113.724464265986</c:v>
                </c:pt>
                <c:pt idx="1">
                  <c:v>48636.095900858425</c:v>
                </c:pt>
                <c:pt idx="2">
                  <c:v>16839.046440527647</c:v>
                </c:pt>
                <c:pt idx="3">
                  <c:v>6001.9291510050989</c:v>
                </c:pt>
                <c:pt idx="4">
                  <c:v>153560.08696069676</c:v>
                </c:pt>
                <c:pt idx="5">
                  <c:v>7046.9512548455041</c:v>
                </c:pt>
                <c:pt idx="6">
                  <c:v>6991.6508612717125</c:v>
                </c:pt>
              </c:numCache>
            </c:numRef>
          </c:val>
          <c:extLst>
            <c:ext xmlns:c16="http://schemas.microsoft.com/office/drawing/2014/chart" uri="{C3380CC4-5D6E-409C-BE32-E72D297353CC}">
              <c16:uniqueId val="{00000001-6132-4B63-9F17-627416D59607}"/>
            </c:ext>
          </c:extLst>
        </c:ser>
        <c:ser>
          <c:idx val="2"/>
          <c:order val="2"/>
          <c:tx>
            <c:strRef>
              <c:f>'PIVOT 1'!$D$3:$D$4</c:f>
              <c:strCache>
                <c:ptCount val="1"/>
                <c:pt idx="0">
                  <c:v>defaulted</c:v>
                </c:pt>
              </c:strCache>
            </c:strRef>
          </c:tx>
          <c:spPr>
            <a:solidFill>
              <a:schemeClr val="accent3"/>
            </a:solidFill>
            <a:ln>
              <a:noFill/>
            </a:ln>
            <a:effectLst/>
          </c:spPr>
          <c:invertIfNegative val="0"/>
          <c:cat>
            <c:strRef>
              <c:f>'PIVOT 1'!$A$5:$A$12</c:f>
              <c:strCache>
                <c:ptCount val="7"/>
                <c:pt idx="0">
                  <c:v>Business loan</c:v>
                </c:pt>
                <c:pt idx="1">
                  <c:v>Car loan</c:v>
                </c:pt>
                <c:pt idx="2">
                  <c:v>Education loan</c:v>
                </c:pt>
                <c:pt idx="3">
                  <c:v>Gold loan</c:v>
                </c:pt>
                <c:pt idx="4">
                  <c:v>Home loan</c:v>
                </c:pt>
                <c:pt idx="5">
                  <c:v>Personal loan</c:v>
                </c:pt>
                <c:pt idx="6">
                  <c:v>Student loan</c:v>
                </c:pt>
              </c:strCache>
            </c:strRef>
          </c:cat>
          <c:val>
            <c:numRef>
              <c:f>'PIVOT 1'!$D$5:$D$12</c:f>
              <c:numCache>
                <c:formatCode>General</c:formatCode>
                <c:ptCount val="7"/>
                <c:pt idx="0">
                  <c:v>74789.597383664324</c:v>
                </c:pt>
                <c:pt idx="1">
                  <c:v>12614.607513160639</c:v>
                </c:pt>
                <c:pt idx="4">
                  <c:v>89868.717482406617</c:v>
                </c:pt>
                <c:pt idx="5">
                  <c:v>4773.3959674777834</c:v>
                </c:pt>
              </c:numCache>
            </c:numRef>
          </c:val>
          <c:extLst>
            <c:ext xmlns:c16="http://schemas.microsoft.com/office/drawing/2014/chart" uri="{C3380CC4-5D6E-409C-BE32-E72D297353CC}">
              <c16:uniqueId val="{00000002-6132-4B63-9F17-627416D59607}"/>
            </c:ext>
          </c:extLst>
        </c:ser>
        <c:dLbls>
          <c:showLegendKey val="0"/>
          <c:showVal val="0"/>
          <c:showCatName val="0"/>
          <c:showSerName val="0"/>
          <c:showPercent val="0"/>
          <c:showBubbleSize val="0"/>
        </c:dLbls>
        <c:gapWidth val="219"/>
        <c:overlap val="-27"/>
        <c:axId val="1120552879"/>
        <c:axId val="1120547599"/>
      </c:barChart>
      <c:catAx>
        <c:axId val="112055287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20547599"/>
        <c:crosses val="autoZero"/>
        <c:auto val="1"/>
        <c:lblAlgn val="ctr"/>
        <c:lblOffset val="100"/>
        <c:noMultiLvlLbl val="0"/>
      </c:catAx>
      <c:valAx>
        <c:axId val="1120547599"/>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20552879"/>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[Subhayan_Debtanu.xlsm]PIVOT 1!PivotTable1</c:name>
    <c:fmtId val="24"/>
  </c:pivotSource>
  <c:chart>
    <c:title>
      <c:layout>
        <c:manualLayout>
          <c:xMode val="edge"/>
          <c:yMode val="edge"/>
          <c:x val="0.4730437312502494"/>
          <c:y val="8.693331927818003E-2"/>
        </c:manualLayout>
      </c:layout>
      <c:overlay val="0"/>
      <c:spPr>
        <a:noFill/>
        <a:ln>
          <a:noFill/>
        </a:ln>
        <a:effectLst/>
      </c:spPr>
      <c:txPr>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endParaRPr lang="en-US"/>
        </a:p>
      </c:txPr>
    </c:title>
    <c:autoTitleDeleted val="0"/>
    <c:pivotFmts>
      <c:pivotFmt>
        <c:idx val="0"/>
        <c:spPr>
          <a:solidFill>
            <a:schemeClr val="accent1"/>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1"/>
        <c:spPr>
          <a:solidFill>
            <a:schemeClr val="accent1"/>
          </a:solidFill>
          <a:ln>
            <a:noFill/>
          </a:ln>
          <a:effectLst>
            <a:outerShdw blurRad="254000" sx="102000" sy="102000" algn="ctr" rotWithShape="0">
              <a:prstClr val="black">
                <a:alpha val="20000"/>
              </a:prstClr>
            </a:outerShdw>
          </a:effectLst>
        </c:spPr>
      </c:pivotFmt>
      <c:pivotFmt>
        <c:idx val="2"/>
        <c:spPr>
          <a:solidFill>
            <a:schemeClr val="accent1"/>
          </a:solidFill>
          <a:ln>
            <a:noFill/>
          </a:ln>
          <a:effectLst>
            <a:outerShdw blurRad="254000" sx="102000" sy="102000" algn="ctr" rotWithShape="0">
              <a:prstClr val="black">
                <a:alpha val="20000"/>
              </a:prstClr>
            </a:outerShdw>
          </a:effectLst>
        </c:spPr>
      </c:pivotFmt>
      <c:pivotFmt>
        <c:idx val="3"/>
        <c:spPr>
          <a:solidFill>
            <a:schemeClr val="accent1"/>
          </a:solidFill>
          <a:ln>
            <a:noFill/>
          </a:ln>
          <a:effectLst>
            <a:outerShdw blurRad="254000" sx="102000" sy="102000" algn="ctr" rotWithShape="0">
              <a:prstClr val="black">
                <a:alpha val="20000"/>
              </a:prstClr>
            </a:outerShdw>
          </a:effectLst>
        </c:spPr>
      </c:pivotFmt>
      <c:pivotFmt>
        <c:idx val="4"/>
        <c:spPr>
          <a:solidFill>
            <a:schemeClr val="accent1"/>
          </a:solidFill>
          <a:ln>
            <a:noFill/>
          </a:ln>
          <a:effectLst>
            <a:outerShdw blurRad="254000" sx="102000" sy="102000" algn="ctr" rotWithShape="0">
              <a:prstClr val="black">
                <a:alpha val="20000"/>
              </a:prstClr>
            </a:outerShdw>
          </a:effectLst>
        </c:spPr>
      </c:pivotFmt>
      <c:pivotFmt>
        <c:idx val="5"/>
        <c:spPr>
          <a:solidFill>
            <a:schemeClr val="accent1"/>
          </a:solidFill>
          <a:ln>
            <a:noFill/>
          </a:ln>
          <a:effectLst>
            <a:outerShdw blurRad="254000" sx="102000" sy="102000" algn="ctr" rotWithShape="0">
              <a:prstClr val="black">
                <a:alpha val="20000"/>
              </a:prstClr>
            </a:outerShdw>
          </a:effectLst>
        </c:spPr>
      </c:pivotFmt>
      <c:pivotFmt>
        <c:idx val="6"/>
        <c:spPr>
          <a:solidFill>
            <a:schemeClr val="accent1"/>
          </a:solidFill>
          <a:ln>
            <a:noFill/>
          </a:ln>
          <a:effectLst>
            <a:outerShdw blurRad="254000" sx="102000" sy="102000" algn="ctr" rotWithShape="0">
              <a:prstClr val="black">
                <a:alpha val="20000"/>
              </a:prstClr>
            </a:outerShdw>
          </a:effectLst>
        </c:spPr>
      </c:pivotFmt>
      <c:pivotFmt>
        <c:idx val="7"/>
        <c:spPr>
          <a:solidFill>
            <a:schemeClr val="accent1"/>
          </a:solidFill>
          <a:ln>
            <a:noFill/>
          </a:ln>
          <a:effectLst>
            <a:outerShdw blurRad="254000" sx="102000" sy="102000" algn="ctr" rotWithShape="0">
              <a:prstClr val="black">
                <a:alpha val="20000"/>
              </a:prstClr>
            </a:outerShdw>
          </a:effectLst>
        </c:spPr>
      </c:pivotFmt>
      <c:pivotFmt>
        <c:idx val="8"/>
        <c:spPr>
          <a:solidFill>
            <a:schemeClr val="accent1"/>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9"/>
        <c:spPr>
          <a:solidFill>
            <a:schemeClr val="accent1"/>
          </a:solidFill>
          <a:ln>
            <a:noFill/>
          </a:ln>
          <a:effectLst>
            <a:outerShdw blurRad="254000" sx="102000" sy="102000" algn="ctr" rotWithShape="0">
              <a:prstClr val="black">
                <a:alpha val="20000"/>
              </a:prstClr>
            </a:outerShdw>
          </a:effectLst>
        </c:spPr>
      </c:pivotFmt>
      <c:pivotFmt>
        <c:idx val="10"/>
        <c:spPr>
          <a:solidFill>
            <a:schemeClr val="accent1"/>
          </a:solidFill>
          <a:ln>
            <a:noFill/>
          </a:ln>
          <a:effectLst>
            <a:outerShdw blurRad="254000" sx="102000" sy="102000" algn="ctr" rotWithShape="0">
              <a:prstClr val="black">
                <a:alpha val="20000"/>
              </a:prstClr>
            </a:outerShdw>
          </a:effectLst>
        </c:spPr>
      </c:pivotFmt>
      <c:pivotFmt>
        <c:idx val="11"/>
        <c:spPr>
          <a:solidFill>
            <a:schemeClr val="accent1"/>
          </a:solidFill>
          <a:ln>
            <a:noFill/>
          </a:ln>
          <a:effectLst>
            <a:outerShdw blurRad="254000" sx="102000" sy="102000" algn="ctr" rotWithShape="0">
              <a:prstClr val="black">
                <a:alpha val="20000"/>
              </a:prstClr>
            </a:outerShdw>
          </a:effectLst>
        </c:spPr>
      </c:pivotFmt>
      <c:pivotFmt>
        <c:idx val="12"/>
        <c:spPr>
          <a:solidFill>
            <a:schemeClr val="accent1"/>
          </a:solidFill>
          <a:ln>
            <a:noFill/>
          </a:ln>
          <a:effectLst>
            <a:outerShdw blurRad="254000" sx="102000" sy="102000" algn="ctr" rotWithShape="0">
              <a:prstClr val="black">
                <a:alpha val="20000"/>
              </a:prstClr>
            </a:outerShdw>
          </a:effectLst>
        </c:spPr>
      </c:pivotFmt>
      <c:pivotFmt>
        <c:idx val="13"/>
        <c:spPr>
          <a:solidFill>
            <a:schemeClr val="accent1"/>
          </a:solidFill>
          <a:ln>
            <a:noFill/>
          </a:ln>
          <a:effectLst>
            <a:outerShdw blurRad="254000" sx="102000" sy="102000" algn="ctr" rotWithShape="0">
              <a:prstClr val="black">
                <a:alpha val="20000"/>
              </a:prstClr>
            </a:outerShdw>
          </a:effectLst>
        </c:spPr>
      </c:pivotFmt>
      <c:pivotFmt>
        <c:idx val="14"/>
        <c:spPr>
          <a:solidFill>
            <a:schemeClr val="accent1"/>
          </a:solidFill>
          <a:ln>
            <a:noFill/>
          </a:ln>
          <a:effectLst>
            <a:outerShdw blurRad="254000" sx="102000" sy="102000" algn="ctr" rotWithShape="0">
              <a:prstClr val="black">
                <a:alpha val="20000"/>
              </a:prstClr>
            </a:outerShdw>
          </a:effectLst>
        </c:spPr>
      </c:pivotFmt>
      <c:pivotFmt>
        <c:idx val="15"/>
        <c:spPr>
          <a:solidFill>
            <a:schemeClr val="accent1"/>
          </a:solidFill>
          <a:ln>
            <a:noFill/>
          </a:ln>
          <a:effectLst>
            <a:outerShdw blurRad="254000" sx="102000" sy="102000" algn="ctr" rotWithShape="0">
              <a:prstClr val="black">
                <a:alpha val="20000"/>
              </a:prstClr>
            </a:outerShdw>
          </a:effectLst>
        </c:spPr>
      </c:pivotFmt>
      <c:pivotFmt>
        <c:idx val="16"/>
        <c:spPr>
          <a:solidFill>
            <a:schemeClr val="accent1"/>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17"/>
        <c:spPr>
          <a:solidFill>
            <a:schemeClr val="accent1"/>
          </a:solidFill>
          <a:ln>
            <a:noFill/>
          </a:ln>
          <a:effectLst>
            <a:outerShdw blurRad="254000" sx="102000" sy="102000" algn="ctr" rotWithShape="0">
              <a:prstClr val="black">
                <a:alpha val="20000"/>
              </a:prstClr>
            </a:outerShdw>
          </a:effectLst>
        </c:spPr>
      </c:pivotFmt>
      <c:pivotFmt>
        <c:idx val="18"/>
        <c:spPr>
          <a:solidFill>
            <a:schemeClr val="accent1"/>
          </a:solidFill>
          <a:ln>
            <a:noFill/>
          </a:ln>
          <a:effectLst>
            <a:outerShdw blurRad="254000" sx="102000" sy="102000" algn="ctr" rotWithShape="0">
              <a:prstClr val="black">
                <a:alpha val="20000"/>
              </a:prstClr>
            </a:outerShdw>
          </a:effectLst>
        </c:spPr>
      </c:pivotFmt>
      <c:pivotFmt>
        <c:idx val="19"/>
        <c:spPr>
          <a:solidFill>
            <a:schemeClr val="accent1"/>
          </a:solidFill>
          <a:ln>
            <a:noFill/>
          </a:ln>
          <a:effectLst>
            <a:outerShdw blurRad="254000" sx="102000" sy="102000" algn="ctr" rotWithShape="0">
              <a:prstClr val="black">
                <a:alpha val="20000"/>
              </a:prstClr>
            </a:outerShdw>
          </a:effectLst>
        </c:spPr>
      </c:pivotFmt>
      <c:pivotFmt>
        <c:idx val="20"/>
        <c:spPr>
          <a:solidFill>
            <a:schemeClr val="accent1"/>
          </a:solidFill>
          <a:ln>
            <a:noFill/>
          </a:ln>
          <a:effectLst>
            <a:outerShdw blurRad="254000" sx="102000" sy="102000" algn="ctr" rotWithShape="0">
              <a:prstClr val="black">
                <a:alpha val="20000"/>
              </a:prstClr>
            </a:outerShdw>
          </a:effectLst>
        </c:spPr>
      </c:pivotFmt>
      <c:pivotFmt>
        <c:idx val="21"/>
        <c:spPr>
          <a:solidFill>
            <a:schemeClr val="accent1"/>
          </a:solidFill>
          <a:ln>
            <a:noFill/>
          </a:ln>
          <a:effectLst>
            <a:outerShdw blurRad="254000" sx="102000" sy="102000" algn="ctr" rotWithShape="0">
              <a:prstClr val="black">
                <a:alpha val="20000"/>
              </a:prstClr>
            </a:outerShdw>
          </a:effectLst>
        </c:spPr>
      </c:pivotFmt>
      <c:pivotFmt>
        <c:idx val="22"/>
        <c:spPr>
          <a:solidFill>
            <a:schemeClr val="accent1"/>
          </a:solidFill>
          <a:ln>
            <a:noFill/>
          </a:ln>
          <a:effectLst>
            <a:outerShdw blurRad="254000" sx="102000" sy="102000" algn="ctr" rotWithShape="0">
              <a:prstClr val="black">
                <a:alpha val="20000"/>
              </a:prstClr>
            </a:outerShdw>
          </a:effectLst>
        </c:spPr>
      </c:pivotFmt>
      <c:pivotFmt>
        <c:idx val="23"/>
        <c:spPr>
          <a:solidFill>
            <a:schemeClr val="accent1"/>
          </a:solidFill>
          <a:ln>
            <a:noFill/>
          </a:ln>
          <a:effectLst>
            <a:outerShdw blurRad="254000" sx="102000" sy="102000" algn="ctr" rotWithShape="0">
              <a:prstClr val="black">
                <a:alpha val="20000"/>
              </a:prstClr>
            </a:outerShdw>
          </a:effectLst>
        </c:spPr>
      </c:pivotFmt>
    </c:pivotFmts>
    <c:plotArea>
      <c:layout>
        <c:manualLayout>
          <c:layoutTarget val="inner"/>
          <c:xMode val="edge"/>
          <c:yMode val="edge"/>
          <c:x val="0.19346671948070293"/>
          <c:y val="0.20884354637871172"/>
          <c:w val="0.43410028832779091"/>
          <c:h val="0.74513680715231612"/>
        </c:manualLayout>
      </c:layout>
      <c:pieChart>
        <c:varyColors val="1"/>
        <c:ser>
          <c:idx val="0"/>
          <c:order val="0"/>
          <c:tx>
            <c:strRef>
              <c:f>'PIVOT 1'!$B$23</c:f>
              <c:strCache>
                <c:ptCount val="1"/>
                <c:pt idx="0">
                  <c:v>Total</c:v>
                </c:pt>
              </c:strCache>
            </c:strRef>
          </c:tx>
          <c:dPt>
            <c:idx val="0"/>
            <c:bubble3D val="0"/>
            <c:spPr>
              <a:solidFill>
                <a:schemeClr val="accent1"/>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1-504B-4006-AFDB-440654501467}"/>
              </c:ext>
            </c:extLst>
          </c:dPt>
          <c:dPt>
            <c:idx val="1"/>
            <c:bubble3D val="0"/>
            <c:spPr>
              <a:solidFill>
                <a:schemeClr val="accent2"/>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3-504B-4006-AFDB-440654501467}"/>
              </c:ext>
            </c:extLst>
          </c:dPt>
          <c:dPt>
            <c:idx val="2"/>
            <c:bubble3D val="0"/>
            <c:spPr>
              <a:solidFill>
                <a:schemeClr val="accent3"/>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5-504B-4006-AFDB-440654501467}"/>
              </c:ext>
            </c:extLst>
          </c:dPt>
          <c:dPt>
            <c:idx val="3"/>
            <c:bubble3D val="0"/>
            <c:spPr>
              <a:solidFill>
                <a:schemeClr val="accent4"/>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7-504B-4006-AFDB-440654501467}"/>
              </c:ext>
            </c:extLst>
          </c:dPt>
          <c:dPt>
            <c:idx val="4"/>
            <c:bubble3D val="0"/>
            <c:spPr>
              <a:solidFill>
                <a:schemeClr val="accent5"/>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9-504B-4006-AFDB-440654501467}"/>
              </c:ext>
            </c:extLst>
          </c:dPt>
          <c:dPt>
            <c:idx val="5"/>
            <c:bubble3D val="0"/>
            <c:spPr>
              <a:solidFill>
                <a:schemeClr val="accent6"/>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B-504B-4006-AFDB-440654501467}"/>
              </c:ext>
            </c:extLst>
          </c:dPt>
          <c:dPt>
            <c:idx val="6"/>
            <c:bubble3D val="0"/>
            <c:spPr>
              <a:solidFill>
                <a:schemeClr val="accent1">
                  <a:lumMod val="6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D-504B-4006-AFDB-440654501467}"/>
              </c:ext>
            </c:extLst>
          </c:dPt>
          <c:dLbls>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strRef>
              <c:f>'PIVOT 1'!$A$24:$A$31</c:f>
              <c:strCache>
                <c:ptCount val="7"/>
                <c:pt idx="0">
                  <c:v>Business loan</c:v>
                </c:pt>
                <c:pt idx="1">
                  <c:v>Car loan</c:v>
                </c:pt>
                <c:pt idx="2">
                  <c:v>Education loan</c:v>
                </c:pt>
                <c:pt idx="3">
                  <c:v>Gold loan</c:v>
                </c:pt>
                <c:pt idx="4">
                  <c:v>Home loan</c:v>
                </c:pt>
                <c:pt idx="5">
                  <c:v>Personal loan</c:v>
                </c:pt>
                <c:pt idx="6">
                  <c:v>Student loan</c:v>
                </c:pt>
              </c:strCache>
            </c:strRef>
          </c:cat>
          <c:val>
            <c:numRef>
              <c:f>'PIVOT 1'!$B$24:$B$31</c:f>
              <c:numCache>
                <c:formatCode>General</c:formatCode>
                <c:ptCount val="7"/>
                <c:pt idx="0">
                  <c:v>6</c:v>
                </c:pt>
                <c:pt idx="1">
                  <c:v>1</c:v>
                </c:pt>
                <c:pt idx="2">
                  <c:v>4</c:v>
                </c:pt>
                <c:pt idx="3">
                  <c:v>5</c:v>
                </c:pt>
                <c:pt idx="4">
                  <c:v>7</c:v>
                </c:pt>
                <c:pt idx="5">
                  <c:v>4</c:v>
                </c:pt>
                <c:pt idx="6">
                  <c:v>1</c:v>
                </c:pt>
              </c:numCache>
            </c:numRef>
          </c:val>
          <c:extLst>
            <c:ext xmlns:c16="http://schemas.microsoft.com/office/drawing/2014/chart" uri="{C3380CC4-5D6E-409C-BE32-E72D297353CC}">
              <c16:uniqueId val="{0000000E-504B-4006-AFDB-440654501467}"/>
            </c:ext>
          </c:extLst>
        </c:ser>
        <c:dLbls>
          <c:dLblPos val="ctr"/>
          <c:showLegendKey val="0"/>
          <c:showVal val="0"/>
          <c:showCatName val="0"/>
          <c:showSerName val="0"/>
          <c:showPercent val="1"/>
          <c:showBubbleSize val="0"/>
          <c:showLeaderLines val="1"/>
        </c:dLbls>
        <c:firstSliceAng val="0"/>
      </c:pieChart>
      <c:spPr>
        <a:noFill/>
        <a:ln>
          <a:noFill/>
        </a:ln>
        <a:effectLst/>
      </c:spPr>
    </c:plotArea>
    <c:legend>
      <c:legendPos val="r"/>
      <c:overlay val="0"/>
      <c:spPr>
        <a:solidFill>
          <a:schemeClr val="lt1">
            <a:lumMod val="95000"/>
            <a:alpha val="39000"/>
          </a:schemeClr>
        </a:solidFill>
        <a:ln>
          <a:noFill/>
        </a:ln>
        <a:effectLst/>
      </c:spPr>
      <c:txPr>
        <a:bodyPr rot="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[Subhayan_Debtanu.xlsm]PIVOT 1!PivotTable1</c:name>
    <c:fmtId val="25"/>
  </c:pivotSource>
  <c:chart>
    <c:title>
      <c:tx>
        <c:rich>
          <a:bodyPr rot="0" spcFirstLastPara="1" vertOverflow="ellipsis" vert="horz" wrap="square" anchor="ctr" anchorCtr="1"/>
          <a:lstStyle/>
          <a:p>
            <a:pPr>
              <a:defRPr b="0" i="0" u="none" strike="noStrike" kern="1200" baseline="0">
                <a:solidFill>
                  <a:schemeClr val="dk1">
                    <a:lumMod val="65000"/>
                    <a:lumOff val="35000"/>
                  </a:schemeClr>
                </a:solidFill>
                <a:effectLst/>
                <a:latin typeface="+mn-lt"/>
                <a:ea typeface="+mn-ea"/>
                <a:cs typeface="+mn-cs"/>
              </a:defRPr>
            </a:pPr>
            <a:r>
              <a:rPr lang="en-IN"/>
              <a:t>Types</a:t>
            </a:r>
            <a:r>
              <a:rPr lang="en-IN" baseline="0"/>
              <a:t> of Loan</a:t>
            </a:r>
          </a:p>
          <a:p>
            <a:pPr>
              <a:defRPr/>
            </a:pPr>
            <a:endParaRPr lang="en-IN"/>
          </a:p>
        </c:rich>
      </c:tx>
      <c:overlay val="0"/>
      <c:spPr>
        <a:noFill/>
        <a:ln>
          <a:noFill/>
        </a:ln>
        <a:effectLst/>
      </c:spPr>
      <c:txPr>
        <a:bodyPr rot="0" spcFirstLastPara="1" vertOverflow="ellipsis" vert="horz" wrap="square" anchor="ctr" anchorCtr="1"/>
        <a:lstStyle/>
        <a:p>
          <a:pPr>
            <a:defRPr b="0" i="0" u="none" strike="noStrike" kern="1200" baseline="0">
              <a:solidFill>
                <a:schemeClr val="dk1">
                  <a:lumMod val="65000"/>
                  <a:lumOff val="35000"/>
                </a:schemeClr>
              </a:solidFill>
              <a:effectLst/>
              <a:latin typeface="+mn-lt"/>
              <a:ea typeface="+mn-ea"/>
              <a:cs typeface="+mn-cs"/>
            </a:defRPr>
          </a:pPr>
          <a:endParaRPr lang="en-US"/>
        </a:p>
      </c:txPr>
    </c:title>
    <c:autoTitleDeleted val="0"/>
    <c:pivotFmts>
      <c:pivotFmt>
        <c:idx val="0"/>
        <c:spPr>
          <a:gradFill>
            <a:gsLst>
              <a:gs pos="0">
                <a:schemeClr val="accent1"/>
              </a:gs>
              <a:gs pos="100000">
                <a:schemeClr val="accent1">
                  <a:lumMod val="84000"/>
                </a:schemeClr>
              </a:gs>
            </a:gsLst>
            <a:lin ang="5400000" scaled="1"/>
          </a:gradFill>
          <a:ln>
            <a:noFill/>
          </a:ln>
          <a:effectLst>
            <a:outerShdw blurRad="76200" dir="18900000" sy="23000" kx="-1200000" algn="bl" rotWithShape="0">
              <a:prstClr val="black">
                <a:alpha val="20000"/>
              </a:prst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1"/>
        <c:spPr>
          <a:gradFill>
            <a:gsLst>
              <a:gs pos="0">
                <a:schemeClr val="accent1"/>
              </a:gs>
              <a:gs pos="100000">
                <a:schemeClr val="accent1">
                  <a:lumMod val="84000"/>
                </a:schemeClr>
              </a:gs>
            </a:gsLst>
            <a:lin ang="5400000" scaled="1"/>
          </a:gradFill>
          <a:ln>
            <a:noFill/>
          </a:ln>
          <a:effectLst>
            <a:outerShdw blurRad="76200" dir="18900000" sy="23000" kx="-1200000" algn="bl" rotWithShape="0">
              <a:prstClr val="black">
                <a:alpha val="20000"/>
              </a:prst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2"/>
        <c:spPr>
          <a:gradFill>
            <a:gsLst>
              <a:gs pos="0">
                <a:schemeClr val="accent1"/>
              </a:gs>
              <a:gs pos="100000">
                <a:schemeClr val="accent1">
                  <a:lumMod val="84000"/>
                </a:schemeClr>
              </a:gs>
            </a:gsLst>
            <a:lin ang="5400000" scaled="1"/>
          </a:gradFill>
          <a:ln>
            <a:noFill/>
          </a:ln>
          <a:effectLst>
            <a:outerShdw blurRad="76200" dir="18900000" sy="23000" kx="-1200000" algn="bl" rotWithShape="0">
              <a:prstClr val="black">
                <a:alpha val="20000"/>
              </a:prst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'PIVOT 1'!$B$23</c:f>
              <c:strCache>
                <c:ptCount val="1"/>
                <c:pt idx="0">
                  <c:v>Total</c:v>
                </c:pt>
              </c:strCache>
            </c:strRef>
          </c:tx>
          <c:spPr>
            <a:gradFill>
              <a:gsLst>
                <a:gs pos="0">
                  <a:schemeClr val="accent1"/>
                </a:gs>
                <a:gs pos="100000">
                  <a:schemeClr val="accent1">
                    <a:lumMod val="84000"/>
                  </a:schemeClr>
                </a:gs>
              </a:gsLst>
              <a:lin ang="5400000" scaled="1"/>
            </a:gradFill>
            <a:ln>
              <a:noFill/>
            </a:ln>
            <a:effectLst>
              <a:outerShdw blurRad="76200" dir="18900000" sy="23000" kx="-1200000" algn="bl" rotWithShape="0">
                <a:prstClr val="black">
                  <a:alpha val="20000"/>
                </a:prst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strRef>
              <c:f>'PIVOT 1'!$A$24:$A$31</c:f>
              <c:strCache>
                <c:ptCount val="7"/>
                <c:pt idx="0">
                  <c:v>Business loan</c:v>
                </c:pt>
                <c:pt idx="1">
                  <c:v>Car loan</c:v>
                </c:pt>
                <c:pt idx="2">
                  <c:v>Education loan</c:v>
                </c:pt>
                <c:pt idx="3">
                  <c:v>Gold loan</c:v>
                </c:pt>
                <c:pt idx="4">
                  <c:v>Home loan</c:v>
                </c:pt>
                <c:pt idx="5">
                  <c:v>Personal loan</c:v>
                </c:pt>
                <c:pt idx="6">
                  <c:v>Student loan</c:v>
                </c:pt>
              </c:strCache>
            </c:strRef>
          </c:cat>
          <c:val>
            <c:numRef>
              <c:f>'PIVOT 1'!$B$24:$B$31</c:f>
              <c:numCache>
                <c:formatCode>General</c:formatCode>
                <c:ptCount val="7"/>
                <c:pt idx="0">
                  <c:v>6</c:v>
                </c:pt>
                <c:pt idx="1">
                  <c:v>1</c:v>
                </c:pt>
                <c:pt idx="2">
                  <c:v>4</c:v>
                </c:pt>
                <c:pt idx="3">
                  <c:v>5</c:v>
                </c:pt>
                <c:pt idx="4">
                  <c:v>7</c:v>
                </c:pt>
                <c:pt idx="5">
                  <c:v>4</c:v>
                </c:pt>
                <c:pt idx="6">
                  <c:v>1</c:v>
                </c:pt>
              </c:numCache>
            </c:numRef>
          </c:val>
          <c:extLst>
            <c:ext xmlns:c16="http://schemas.microsoft.com/office/drawing/2014/chart" uri="{C3380CC4-5D6E-409C-BE32-E72D297353CC}">
              <c16:uniqueId val="{00000000-85AC-4B9F-B267-F2C79320B0DA}"/>
            </c:ext>
          </c:extLst>
        </c:ser>
        <c:dLbls>
          <c:dLblPos val="inEnd"/>
          <c:showLegendKey val="0"/>
          <c:showVal val="1"/>
          <c:showCatName val="0"/>
          <c:showSerName val="0"/>
          <c:showPercent val="0"/>
          <c:showBubbleSize val="0"/>
        </c:dLbls>
        <c:gapWidth val="41"/>
        <c:axId val="198438511"/>
        <c:axId val="198438991"/>
      </c:barChart>
      <c:catAx>
        <c:axId val="198438511"/>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dk1">
                    <a:lumMod val="65000"/>
                    <a:lumOff val="35000"/>
                  </a:schemeClr>
                </a:solidFill>
                <a:effectLst/>
                <a:latin typeface="+mn-lt"/>
                <a:ea typeface="+mn-ea"/>
                <a:cs typeface="+mn-cs"/>
              </a:defRPr>
            </a:pPr>
            <a:endParaRPr lang="en-US"/>
          </a:p>
        </c:txPr>
        <c:crossAx val="198438991"/>
        <c:crosses val="autoZero"/>
        <c:auto val="1"/>
        <c:lblAlgn val="ctr"/>
        <c:lblOffset val="100"/>
        <c:noMultiLvlLbl val="0"/>
      </c:catAx>
      <c:valAx>
        <c:axId val="198438991"/>
        <c:scaling>
          <c:orientation val="minMax"/>
        </c:scaling>
        <c:delete val="1"/>
        <c:axPos val="l"/>
        <c:numFmt formatCode="General" sourceLinked="1"/>
        <c:majorTickMark val="none"/>
        <c:minorTickMark val="none"/>
        <c:tickLblPos val="nextTo"/>
        <c:crossAx val="198438511"/>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dk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lt1"/>
        </a:gs>
        <a:gs pos="68000">
          <a:schemeClr val="lt1">
            <a:lumMod val="85000"/>
          </a:schemeClr>
        </a:gs>
        <a:gs pos="100000">
          <a:schemeClr val="lt1"/>
        </a:gs>
      </a:gsLst>
      <a:lin ang="5400000" scaled="1"/>
      <a:tileRect/>
    </a:gra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[Subhayan_Debtanu.xlsm]pivot 2!PivotTable13</c:name>
    <c:fmtId val="5"/>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sz="1400" b="0" i="0" u="none" strike="noStrike" baseline="0"/>
              <a:t>Interest Rate vs Loan Amount</a:t>
            </a:r>
            <a:endParaRPr lang="en-IN"/>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'pivot 2'!$T$21</c:f>
              <c:strCache>
                <c:ptCount val="1"/>
                <c:pt idx="0">
                  <c:v>Total</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'pivot 2'!$S$22:$S$34</c:f>
              <c:strCache>
                <c:ptCount val="12"/>
                <c:pt idx="0">
                  <c:v>0.075</c:v>
                </c:pt>
                <c:pt idx="1">
                  <c:v>0.08</c:v>
                </c:pt>
                <c:pt idx="2">
                  <c:v>0.085</c:v>
                </c:pt>
                <c:pt idx="3">
                  <c:v>0.09</c:v>
                </c:pt>
                <c:pt idx="4">
                  <c:v>0.095</c:v>
                </c:pt>
                <c:pt idx="5">
                  <c:v>0.1</c:v>
                </c:pt>
                <c:pt idx="6">
                  <c:v>0.105</c:v>
                </c:pt>
                <c:pt idx="7">
                  <c:v>0.11</c:v>
                </c:pt>
                <c:pt idx="8">
                  <c:v>0.115</c:v>
                </c:pt>
                <c:pt idx="9">
                  <c:v>0.12</c:v>
                </c:pt>
                <c:pt idx="10">
                  <c:v>0.125</c:v>
                </c:pt>
                <c:pt idx="11">
                  <c:v>0.13</c:v>
                </c:pt>
              </c:strCache>
            </c:strRef>
          </c:cat>
          <c:val>
            <c:numRef>
              <c:f>'pivot 2'!$T$22:$T$34</c:f>
              <c:numCache>
                <c:formatCode>General</c:formatCode>
                <c:ptCount val="12"/>
                <c:pt idx="0">
                  <c:v>42170000</c:v>
                </c:pt>
                <c:pt idx="1">
                  <c:v>66640000</c:v>
                </c:pt>
                <c:pt idx="2">
                  <c:v>45220000</c:v>
                </c:pt>
                <c:pt idx="3">
                  <c:v>49750000</c:v>
                </c:pt>
                <c:pt idx="4">
                  <c:v>60090000</c:v>
                </c:pt>
                <c:pt idx="5">
                  <c:v>72320000</c:v>
                </c:pt>
                <c:pt idx="6">
                  <c:v>65220000</c:v>
                </c:pt>
                <c:pt idx="7">
                  <c:v>62590000</c:v>
                </c:pt>
                <c:pt idx="8">
                  <c:v>71900000</c:v>
                </c:pt>
                <c:pt idx="9">
                  <c:v>71880000</c:v>
                </c:pt>
                <c:pt idx="10">
                  <c:v>68310000</c:v>
                </c:pt>
                <c:pt idx="11">
                  <c:v>104150000</c:v>
                </c:pt>
              </c:numCache>
            </c:numRef>
          </c:val>
          <c:smooth val="0"/>
          <c:extLst>
            <c:ext xmlns:c16="http://schemas.microsoft.com/office/drawing/2014/chart" uri="{C3380CC4-5D6E-409C-BE32-E72D297353CC}">
              <c16:uniqueId val="{00000000-E375-42BF-9405-F44C90A8D8D0}"/>
            </c:ext>
          </c:extLst>
        </c:ser>
        <c:dLbls>
          <c:showLegendKey val="0"/>
          <c:showVal val="0"/>
          <c:showCatName val="0"/>
          <c:showSerName val="0"/>
          <c:showPercent val="0"/>
          <c:showBubbleSize val="0"/>
        </c:dLbls>
        <c:marker val="1"/>
        <c:smooth val="0"/>
        <c:axId val="1299784143"/>
        <c:axId val="1299794223"/>
      </c:lineChart>
      <c:catAx>
        <c:axId val="1299784143"/>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99794223"/>
        <c:crosses val="autoZero"/>
        <c:auto val="1"/>
        <c:lblAlgn val="ctr"/>
        <c:lblOffset val="100"/>
        <c:noMultiLvlLbl val="0"/>
      </c:catAx>
      <c:valAx>
        <c:axId val="1299794223"/>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99784143"/>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r>
              <a:rPr lang="en-IN"/>
              <a:t>Loan Status Breakdown</a:t>
            </a:r>
          </a:p>
        </c:rich>
      </c:tx>
      <c:overlay val="1"/>
      <c:spPr>
        <a:noFill/>
        <a:ln>
          <a:noFill/>
        </a:ln>
        <a:effectLst/>
      </c:spPr>
      <c:txPr>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endParaRPr lang="en-US"/>
        </a:p>
      </c:txPr>
    </c:title>
    <c:autoTitleDeleted val="0"/>
    <c:plotArea>
      <c:layout/>
      <c:doughnutChart>
        <c:varyColors val="1"/>
        <c:ser>
          <c:idx val="0"/>
          <c:order val="0"/>
          <c:tx>
            <c:strRef>
              <c:f>[1]ChartData!$F$1</c:f>
              <c:strCache>
                <c:ptCount val="1"/>
                <c:pt idx="0">
                  <c:v>Count</c:v>
                </c:pt>
              </c:strCache>
            </c:strRef>
          </c:tx>
          <c:dPt>
            <c:idx val="0"/>
            <c:bubble3D val="0"/>
            <c:spPr>
              <a:solidFill>
                <a:schemeClr val="accent1"/>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1-4AC9-4085-8FB8-3CAC86962F44}"/>
              </c:ext>
            </c:extLst>
          </c:dPt>
          <c:dPt>
            <c:idx val="1"/>
            <c:bubble3D val="0"/>
            <c:spPr>
              <a:solidFill>
                <a:schemeClr val="accent2"/>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3-4AC9-4085-8FB8-3CAC86962F44}"/>
              </c:ext>
            </c:extLst>
          </c:dPt>
          <c:dPt>
            <c:idx val="2"/>
            <c:bubble3D val="0"/>
            <c:spPr>
              <a:solidFill>
                <a:schemeClr val="accent3"/>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5-4AC9-4085-8FB8-3CAC86962F44}"/>
              </c:ext>
            </c:extLst>
          </c:dPt>
          <c:dPt>
            <c:idx val="3"/>
            <c:bubble3D val="0"/>
            <c:spPr>
              <a:solidFill>
                <a:schemeClr val="accent4"/>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7-4AC9-4085-8FB8-3CAC86962F44}"/>
              </c:ext>
            </c:extLst>
          </c:dPt>
          <c:dLbls>
            <c:spPr>
              <a:pattFill prst="pct75">
                <a:fgClr>
                  <a:schemeClr val="dk1">
                    <a:lumMod val="75000"/>
                    <a:lumOff val="25000"/>
                  </a:schemeClr>
                </a:fgClr>
                <a:bgClr>
                  <a:schemeClr val="dk1">
                    <a:lumMod val="65000"/>
                    <a:lumOff val="35000"/>
                  </a:scheme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showLegendKey val="0"/>
            <c:showVal val="0"/>
            <c:showCatName val="1"/>
            <c:showSerName val="0"/>
            <c:showPercent val="1"/>
            <c:showBubbleSize val="1"/>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strRef>
              <c:f>[1]ChartData!$E$2:$E$5</c:f>
              <c:strCache>
                <c:ptCount val="4"/>
                <c:pt idx="0">
                  <c:v>active</c:v>
                </c:pt>
                <c:pt idx="1">
                  <c:v>closed</c:v>
                </c:pt>
                <c:pt idx="2">
                  <c:v>defaulted</c:v>
                </c:pt>
                <c:pt idx="3">
                  <c:v>pending</c:v>
                </c:pt>
              </c:strCache>
            </c:strRef>
          </c:cat>
          <c:val>
            <c:numRef>
              <c:f>[1]ChartData!$F$2:$F$5</c:f>
              <c:numCache>
                <c:formatCode>General</c:formatCode>
                <c:ptCount val="4"/>
                <c:pt idx="0">
                  <c:v>497</c:v>
                </c:pt>
                <c:pt idx="1">
                  <c:v>361</c:v>
                </c:pt>
                <c:pt idx="2">
                  <c:v>95</c:v>
                </c:pt>
                <c:pt idx="3">
                  <c:v>47</c:v>
                </c:pt>
              </c:numCache>
            </c:numRef>
          </c:val>
          <c:extLst>
            <c:ext xmlns:c16="http://schemas.microsoft.com/office/drawing/2014/chart" uri="{C3380CC4-5D6E-409C-BE32-E72D297353CC}">
              <c16:uniqueId val="{00000008-4AC9-4085-8FB8-3CAC86962F44}"/>
            </c:ext>
          </c:extLst>
        </c:ser>
        <c:dLbls>
          <c:showLegendKey val="0"/>
          <c:showVal val="0"/>
          <c:showCatName val="1"/>
          <c:showSerName val="0"/>
          <c:showPercent val="1"/>
          <c:showBubbleSize val="1"/>
          <c:showLeaderLines val="1"/>
        </c:dLbls>
        <c:firstSliceAng val="0"/>
        <c:holeSize val="50"/>
      </c:doughnutChart>
      <c:spPr>
        <a:noFill/>
        <a:ln>
          <a:noFill/>
        </a:ln>
        <a:effectLst/>
      </c:spPr>
    </c:plotArea>
    <c:legend>
      <c:legendPos val="r"/>
      <c:overlay val="0"/>
      <c:spPr>
        <a:solidFill>
          <a:schemeClr val="lt1">
            <a:lumMod val="95000"/>
            <a:alpha val="39000"/>
          </a:schemeClr>
        </a:solidFill>
        <a:ln>
          <a:noFill/>
        </a:ln>
        <a:effectLst/>
      </c:spPr>
      <c:txPr>
        <a:bodyPr rot="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legend>
    <c:plotVisOnly val="1"/>
    <c:dispBlanksAs val="gap"/>
    <c:showDLblsOverMax val="1"/>
  </c:chart>
  <c: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3"/>
    </mc:Choice>
    <mc:Fallback>
      <c:style val="3"/>
    </mc:Fallback>
  </mc:AlternateContent>
  <c:chart>
    <c:title>
      <c:tx>
        <c:rich>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r>
              <a:rPr lang="en-IN"/>
              <a:t>Portfolio Value by Loan Type (₹ Cr)</a:t>
            </a:r>
          </a:p>
        </c:rich>
      </c:tx>
      <c:layout>
        <c:manualLayout>
          <c:xMode val="edge"/>
          <c:yMode val="edge"/>
          <c:x val="0.33303310040941442"/>
          <c:y val="8.6082416480676854E-3"/>
        </c:manualLayout>
      </c:layout>
      <c:overlay val="1"/>
      <c:spPr>
        <a:noFill/>
        <a:ln>
          <a:noFill/>
        </a:ln>
        <a:effectLst/>
      </c:spPr>
      <c:txPr>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endParaRPr lang="en-US"/>
        </a:p>
      </c:txPr>
    </c:title>
    <c:autoTitleDeleted val="0"/>
    <c:plotArea>
      <c:layout>
        <c:manualLayout>
          <c:layoutTarget val="inner"/>
          <c:xMode val="edge"/>
          <c:yMode val="edge"/>
          <c:x val="0.26673209063191006"/>
          <c:y val="1.3485773305566563E-2"/>
          <c:w val="0.73326790936808994"/>
          <c:h val="0.839848831914348"/>
        </c:manualLayout>
      </c:layout>
      <c:barChart>
        <c:barDir val="col"/>
        <c:grouping val="clustered"/>
        <c:varyColors val="1"/>
        <c:ser>
          <c:idx val="0"/>
          <c:order val="0"/>
          <c:tx>
            <c:strRef>
              <c:f>[1]ChartData!$C$1</c:f>
              <c:strCache>
                <c:ptCount val="1"/>
                <c:pt idx="0">
                  <c:v>Amount (Cr)</c:v>
                </c:pt>
              </c:strCache>
            </c:strRef>
          </c:tx>
          <c:invertIfNegative val="1"/>
          <c:dPt>
            <c:idx val="0"/>
            <c:invertIfNegative val="1"/>
            <c:bubble3D val="0"/>
            <c:spPr>
              <a:solidFill>
                <a:schemeClr val="accent1">
                  <a:shade val="47000"/>
                  <a:alpha val="85000"/>
                </a:schemeClr>
              </a:solidFill>
              <a:ln w="9525" cap="flat" cmpd="sng" algn="ctr">
                <a:solidFill>
                  <a:schemeClr val="lt1">
                    <a:alpha val="50000"/>
                  </a:schemeClr>
                </a:solidFill>
                <a:round/>
              </a:ln>
              <a:effectLst/>
            </c:spPr>
            <c:extLst>
              <c:ext xmlns:c16="http://schemas.microsoft.com/office/drawing/2014/chart" uri="{C3380CC4-5D6E-409C-BE32-E72D297353CC}">
                <c16:uniqueId val="{00000001-43CB-4020-B36E-87B7C5AB518C}"/>
              </c:ext>
            </c:extLst>
          </c:dPt>
          <c:dPt>
            <c:idx val="1"/>
            <c:invertIfNegative val="1"/>
            <c:bubble3D val="0"/>
            <c:spPr>
              <a:solidFill>
                <a:schemeClr val="accent1">
                  <a:shade val="65000"/>
                  <a:alpha val="85000"/>
                </a:schemeClr>
              </a:solidFill>
              <a:ln w="9525" cap="flat" cmpd="sng" algn="ctr">
                <a:solidFill>
                  <a:schemeClr val="lt1">
                    <a:alpha val="50000"/>
                  </a:schemeClr>
                </a:solidFill>
                <a:round/>
              </a:ln>
              <a:effectLst/>
            </c:spPr>
            <c:extLst>
              <c:ext xmlns:c16="http://schemas.microsoft.com/office/drawing/2014/chart" uri="{C3380CC4-5D6E-409C-BE32-E72D297353CC}">
                <c16:uniqueId val="{00000003-43CB-4020-B36E-87B7C5AB518C}"/>
              </c:ext>
            </c:extLst>
          </c:dPt>
          <c:dPt>
            <c:idx val="2"/>
            <c:invertIfNegative val="1"/>
            <c:bubble3D val="0"/>
            <c:spPr>
              <a:solidFill>
                <a:schemeClr val="accent1">
                  <a:shade val="82000"/>
                  <a:alpha val="85000"/>
                </a:schemeClr>
              </a:solidFill>
              <a:ln w="9525" cap="flat" cmpd="sng" algn="ctr">
                <a:solidFill>
                  <a:schemeClr val="lt1">
                    <a:alpha val="50000"/>
                  </a:schemeClr>
                </a:solidFill>
                <a:round/>
              </a:ln>
              <a:effectLst/>
            </c:spPr>
            <c:extLst>
              <c:ext xmlns:c16="http://schemas.microsoft.com/office/drawing/2014/chart" uri="{C3380CC4-5D6E-409C-BE32-E72D297353CC}">
                <c16:uniqueId val="{00000005-43CB-4020-B36E-87B7C5AB518C}"/>
              </c:ext>
            </c:extLst>
          </c:dPt>
          <c:dPt>
            <c:idx val="3"/>
            <c:invertIfNegative val="1"/>
            <c:bubble3D val="0"/>
            <c:spPr>
              <a:solidFill>
                <a:schemeClr val="accent1">
                  <a:alpha val="85000"/>
                </a:schemeClr>
              </a:solidFill>
              <a:ln w="9525" cap="flat" cmpd="sng" algn="ctr">
                <a:solidFill>
                  <a:schemeClr val="lt1">
                    <a:alpha val="50000"/>
                  </a:schemeClr>
                </a:solidFill>
                <a:round/>
              </a:ln>
              <a:effectLst/>
            </c:spPr>
            <c:extLst>
              <c:ext xmlns:c16="http://schemas.microsoft.com/office/drawing/2014/chart" uri="{C3380CC4-5D6E-409C-BE32-E72D297353CC}">
                <c16:uniqueId val="{00000007-43CB-4020-B36E-87B7C5AB518C}"/>
              </c:ext>
            </c:extLst>
          </c:dPt>
          <c:dPt>
            <c:idx val="4"/>
            <c:invertIfNegative val="1"/>
            <c:bubble3D val="0"/>
            <c:spPr>
              <a:solidFill>
                <a:schemeClr val="accent1">
                  <a:tint val="83000"/>
                  <a:alpha val="85000"/>
                </a:schemeClr>
              </a:solidFill>
              <a:ln w="9525" cap="flat" cmpd="sng" algn="ctr">
                <a:solidFill>
                  <a:schemeClr val="lt1">
                    <a:alpha val="50000"/>
                  </a:schemeClr>
                </a:solidFill>
                <a:round/>
              </a:ln>
              <a:effectLst/>
            </c:spPr>
            <c:extLst>
              <c:ext xmlns:c16="http://schemas.microsoft.com/office/drawing/2014/chart" uri="{C3380CC4-5D6E-409C-BE32-E72D297353CC}">
                <c16:uniqueId val="{00000009-43CB-4020-B36E-87B7C5AB518C}"/>
              </c:ext>
            </c:extLst>
          </c:dPt>
          <c:dPt>
            <c:idx val="5"/>
            <c:invertIfNegative val="1"/>
            <c:bubble3D val="0"/>
            <c:spPr>
              <a:solidFill>
                <a:schemeClr val="accent1">
                  <a:tint val="65000"/>
                  <a:alpha val="85000"/>
                </a:schemeClr>
              </a:solidFill>
              <a:ln w="9525" cap="flat" cmpd="sng" algn="ctr">
                <a:solidFill>
                  <a:schemeClr val="lt1">
                    <a:alpha val="50000"/>
                  </a:schemeClr>
                </a:solidFill>
                <a:round/>
              </a:ln>
              <a:effectLst/>
            </c:spPr>
            <c:extLst>
              <c:ext xmlns:c16="http://schemas.microsoft.com/office/drawing/2014/chart" uri="{C3380CC4-5D6E-409C-BE32-E72D297353CC}">
                <c16:uniqueId val="{0000000B-43CB-4020-B36E-87B7C5AB518C}"/>
              </c:ext>
            </c:extLst>
          </c:dPt>
          <c:dPt>
            <c:idx val="6"/>
            <c:invertIfNegative val="1"/>
            <c:bubble3D val="0"/>
            <c:spPr>
              <a:solidFill>
                <a:schemeClr val="accent1">
                  <a:tint val="48000"/>
                  <a:alpha val="85000"/>
                </a:schemeClr>
              </a:solidFill>
              <a:ln w="9525" cap="flat" cmpd="sng" algn="ctr">
                <a:solidFill>
                  <a:schemeClr val="lt1">
                    <a:alpha val="50000"/>
                  </a:schemeClr>
                </a:solidFill>
                <a:round/>
              </a:ln>
              <a:effectLst/>
            </c:spPr>
            <c:extLst>
              <c:ext xmlns:c16="http://schemas.microsoft.com/office/drawing/2014/chart" uri="{C3380CC4-5D6E-409C-BE32-E72D297353CC}">
                <c16:uniqueId val="{0000000D-43CB-4020-B36E-87B7C5AB518C}"/>
              </c:ext>
            </c:extLst>
          </c:dPt>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1"/>
            <c:showCatName val="0"/>
            <c:showSerName val="0"/>
            <c:showPercent val="0"/>
            <c:showBubbleSize val="1"/>
            <c:showLeaderLines val="0"/>
            <c:extLst>
              <c:ext xmlns:c15="http://schemas.microsoft.com/office/drawing/2012/chart" uri="{CE6537A1-D6FC-4f65-9D91-7224C49458BB}">
                <c15:showLeaderLines val="0"/>
              </c:ext>
            </c:extLst>
          </c:dLbls>
          <c:trendline>
            <c:spPr>
              <a:ln w="19050" cap="rnd">
                <a:solidFill>
                  <a:schemeClr val="accent1"/>
                </a:solidFill>
              </a:ln>
              <a:effectLst/>
            </c:spPr>
            <c:trendlineType val="linear"/>
            <c:dispRSqr val="0"/>
            <c:dispEq val="0"/>
          </c:trendline>
          <c:errBars>
            <c:errBarType val="both"/>
            <c:errValType val="stdErr"/>
            <c:noEndCap val="0"/>
            <c:spPr>
              <a:noFill/>
              <a:ln w="9525">
                <a:solidFill>
                  <a:schemeClr val="dk1">
                    <a:lumMod val="65000"/>
                    <a:lumOff val="35000"/>
                  </a:schemeClr>
                </a:solidFill>
                <a:round/>
              </a:ln>
              <a:effectLst/>
            </c:spPr>
          </c:errBars>
          <c:cat>
            <c:strRef>
              <c:f>[1]ChartData!$A$2:$A$8</c:f>
              <c:strCache>
                <c:ptCount val="7"/>
                <c:pt idx="0">
                  <c:v>Personal loan</c:v>
                </c:pt>
                <c:pt idx="1">
                  <c:v>Business loan</c:v>
                </c:pt>
                <c:pt idx="2">
                  <c:v>Gold loan</c:v>
                </c:pt>
                <c:pt idx="3">
                  <c:v>Car loan</c:v>
                </c:pt>
                <c:pt idx="4">
                  <c:v>Home loan</c:v>
                </c:pt>
                <c:pt idx="5">
                  <c:v>Education loan</c:v>
                </c:pt>
                <c:pt idx="6">
                  <c:v>Student loan</c:v>
                </c:pt>
              </c:strCache>
            </c:strRef>
          </c:cat>
          <c:val>
            <c:numRef>
              <c:f>[1]ChartData!$C$2:$C$8</c:f>
              <c:numCache>
                <c:formatCode>General</c:formatCode>
                <c:ptCount val="7"/>
                <c:pt idx="0">
                  <c:v>8.4600000000000009</c:v>
                </c:pt>
                <c:pt idx="1">
                  <c:v>42.38</c:v>
                </c:pt>
                <c:pt idx="2">
                  <c:v>4.04</c:v>
                </c:pt>
                <c:pt idx="3">
                  <c:v>13.6</c:v>
                </c:pt>
                <c:pt idx="4">
                  <c:v>78.02</c:v>
                </c:pt>
                <c:pt idx="5">
                  <c:v>14.72</c:v>
                </c:pt>
                <c:pt idx="6">
                  <c:v>13.61</c:v>
                </c:pt>
              </c:numCache>
            </c:numRef>
          </c:val>
          <c:extLst>
            <c:ext xmlns:c16="http://schemas.microsoft.com/office/drawing/2014/chart" uri="{C3380CC4-5D6E-409C-BE32-E72D297353CC}">
              <c16:uniqueId val="{00000000-818B-42F7-8537-8E1DCF963517}"/>
            </c:ext>
          </c:extLst>
        </c:ser>
        <c:dLbls>
          <c:dLblPos val="inEnd"/>
          <c:showLegendKey val="0"/>
          <c:showVal val="1"/>
          <c:showCatName val="0"/>
          <c:showSerName val="0"/>
          <c:showPercent val="0"/>
          <c:showBubbleSize val="1"/>
        </c:dLbls>
        <c:gapWidth val="65"/>
        <c:axId val="10"/>
        <c:axId val="100"/>
      </c:barChart>
      <c:catAx>
        <c:axId val="10"/>
        <c:scaling>
          <c:orientation val="minMax"/>
        </c:scaling>
        <c:delete val="0"/>
        <c:axPos val="b"/>
        <c:numFmt formatCode="General" sourceLinked="1"/>
        <c:majorTickMark val="none"/>
        <c:minorTickMark val="none"/>
        <c:tickLblPos val="nextTo"/>
        <c:spPr>
          <a:noFill/>
          <a:ln w="19050" cap="flat" cmpd="sng" algn="ctr">
            <a:solidFill>
              <a:schemeClr val="dk1">
                <a:lumMod val="75000"/>
                <a:lumOff val="25000"/>
              </a:schemeClr>
            </a:solidFill>
            <a:round/>
          </a:ln>
          <a:effectLst/>
        </c:spPr>
        <c:txPr>
          <a:bodyPr rot="-60000000" spcFirstLastPara="1" vertOverflow="ellipsis" vert="horz" wrap="square" anchor="ctr" anchorCtr="1"/>
          <a:lstStyle/>
          <a:p>
            <a:pPr>
              <a:defRPr sz="900" b="0" i="0" u="none" strike="noStrike" kern="1200" cap="all" baseline="0">
                <a:solidFill>
                  <a:schemeClr val="dk1">
                    <a:lumMod val="75000"/>
                    <a:lumOff val="25000"/>
                  </a:schemeClr>
                </a:solidFill>
                <a:latin typeface="+mn-lt"/>
                <a:ea typeface="+mn-ea"/>
                <a:cs typeface="+mn-cs"/>
              </a:defRPr>
            </a:pPr>
            <a:endParaRPr lang="en-US"/>
          </a:p>
        </c:txPr>
        <c:crossAx val="100"/>
        <c:crosses val="autoZero"/>
        <c:auto val="1"/>
        <c:lblAlgn val="ctr"/>
        <c:lblOffset val="100"/>
        <c:noMultiLvlLbl val="1"/>
      </c:catAx>
      <c:valAx>
        <c:axId val="100"/>
        <c:scaling>
          <c:orientation val="minMax"/>
        </c:scaling>
        <c:delete val="1"/>
        <c:axPos val="l"/>
        <c:majorGridlines>
          <c:spPr>
            <a:ln w="9525" cap="flat" cmpd="sng" algn="ctr">
              <a:gradFill>
                <a:gsLst>
                  <a:gs pos="100000">
                    <a:schemeClr val="dk1">
                      <a:lumMod val="95000"/>
                      <a:lumOff val="5000"/>
                      <a:alpha val="42000"/>
                    </a:schemeClr>
                  </a:gs>
                  <a:gs pos="0">
                    <a:schemeClr val="lt1">
                      <a:lumMod val="75000"/>
                      <a:alpha val="36000"/>
                    </a:schemeClr>
                  </a:gs>
                </a:gsLst>
                <a:lin ang="5400000" scaled="0"/>
              </a:gradFill>
              <a:round/>
            </a:ln>
            <a:effectLst/>
          </c:spPr>
        </c:majorGridlines>
        <c:numFmt formatCode="General" sourceLinked="1"/>
        <c:majorTickMark val="none"/>
        <c:minorTickMark val="none"/>
        <c:tickLblPos val="nextTo"/>
        <c:crossAx val="10"/>
        <c:crosses val="autoZero"/>
        <c:crossBetween val="between"/>
      </c:valAx>
      <c:dTable>
        <c:showHorzBorder val="1"/>
        <c:showVertBorder val="1"/>
        <c:showOutline val="1"/>
        <c:showKeys val="1"/>
        <c:spPr>
          <a:noFill/>
          <a:ln w="9525">
            <a:solidFill>
              <a:schemeClr val="dk1">
                <a:lumMod val="35000"/>
                <a:lumOff val="65000"/>
              </a:schemeClr>
            </a:solidFill>
          </a:ln>
          <a:effectLst/>
        </c:spPr>
        <c:txPr>
          <a:bodyPr rot="0" spcFirstLastPara="1" vertOverflow="ellipsis" vert="horz" wrap="square" anchor="ctr" anchorCtr="1"/>
          <a:lstStyle/>
          <a:p>
            <a:pPr rtl="0">
              <a:defRPr sz="900" b="0" i="0" u="none" strike="noStrike" kern="1200" baseline="0">
                <a:solidFill>
                  <a:schemeClr val="dk1">
                    <a:lumMod val="75000"/>
                    <a:lumOff val="25000"/>
                  </a:schemeClr>
                </a:solidFill>
                <a:latin typeface="+mn-lt"/>
                <a:ea typeface="+mn-ea"/>
                <a:cs typeface="+mn-cs"/>
              </a:defRPr>
            </a:pPr>
            <a:endParaRPr lang="en-US"/>
          </a:p>
        </c:txPr>
      </c:dTable>
      <c:spPr>
        <a:noFill/>
        <a:ln>
          <a:noFill/>
        </a:ln>
        <a:effectLst/>
      </c:spPr>
    </c:plotArea>
    <c:plotVisOnly val="1"/>
    <c:dispBlanksAs val="gap"/>
    <c:showDLblsOverMax val="1"/>
  </c:chart>
  <c: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r>
              <a:rPr lang="en-IN"/>
              <a:t>Top 10 Cities by Loan Amount (₹ Cr)</a:t>
            </a:r>
          </a:p>
        </c:rich>
      </c:tx>
      <c:layout>
        <c:manualLayout>
          <c:xMode val="edge"/>
          <c:yMode val="edge"/>
          <c:x val="0.20305255054760243"/>
          <c:y val="6.3914511820152243E-3"/>
        </c:manualLayout>
      </c:layout>
      <c:overlay val="1"/>
      <c:spPr>
        <a:noFill/>
        <a:ln>
          <a:noFill/>
        </a:ln>
        <a:effectLst/>
      </c:spPr>
      <c:txPr>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endParaRPr lang="en-US"/>
        </a:p>
      </c:txPr>
    </c:title>
    <c:autoTitleDeleted val="0"/>
    <c:plotArea>
      <c:layout/>
      <c:barChart>
        <c:barDir val="bar"/>
        <c:grouping val="clustered"/>
        <c:varyColors val="1"/>
        <c:ser>
          <c:idx val="0"/>
          <c:order val="0"/>
          <c:tx>
            <c:strRef>
              <c:f>[1]ChartData!$L$1</c:f>
              <c:strCache>
                <c:ptCount val="1"/>
                <c:pt idx="0">
                  <c:v>Loan Amount (Cr)</c:v>
                </c:pt>
              </c:strCache>
            </c:strRef>
          </c:tx>
          <c:invertIfNegative val="1"/>
          <c:dPt>
            <c:idx val="0"/>
            <c:invertIfNegative val="1"/>
            <c:bubble3D val="0"/>
            <c:spPr>
              <a:solidFill>
                <a:schemeClr val="accent1">
                  <a:alpha val="85000"/>
                </a:schemeClr>
              </a:solidFill>
              <a:ln w="9525" cap="flat" cmpd="sng" algn="ctr">
                <a:solidFill>
                  <a:schemeClr val="lt1">
                    <a:alpha val="50000"/>
                  </a:schemeClr>
                </a:solidFill>
                <a:round/>
              </a:ln>
              <a:effectLst/>
            </c:spPr>
            <c:extLst>
              <c:ext xmlns:c16="http://schemas.microsoft.com/office/drawing/2014/chart" uri="{C3380CC4-5D6E-409C-BE32-E72D297353CC}">
                <c16:uniqueId val="{00000001-F4F5-421A-A3E1-798F4C0BE353}"/>
              </c:ext>
            </c:extLst>
          </c:dPt>
          <c:dPt>
            <c:idx val="1"/>
            <c:invertIfNegative val="1"/>
            <c:bubble3D val="0"/>
            <c:spPr>
              <a:solidFill>
                <a:schemeClr val="accent2">
                  <a:alpha val="85000"/>
                </a:schemeClr>
              </a:solidFill>
              <a:ln w="9525" cap="flat" cmpd="sng" algn="ctr">
                <a:solidFill>
                  <a:schemeClr val="lt1">
                    <a:alpha val="50000"/>
                  </a:schemeClr>
                </a:solidFill>
                <a:round/>
              </a:ln>
              <a:effectLst/>
            </c:spPr>
            <c:extLst>
              <c:ext xmlns:c16="http://schemas.microsoft.com/office/drawing/2014/chart" uri="{C3380CC4-5D6E-409C-BE32-E72D297353CC}">
                <c16:uniqueId val="{00000003-F4F5-421A-A3E1-798F4C0BE353}"/>
              </c:ext>
            </c:extLst>
          </c:dPt>
          <c:dPt>
            <c:idx val="2"/>
            <c:invertIfNegative val="1"/>
            <c:bubble3D val="0"/>
            <c:spPr>
              <a:solidFill>
                <a:schemeClr val="accent3">
                  <a:alpha val="85000"/>
                </a:schemeClr>
              </a:solidFill>
              <a:ln w="9525" cap="flat" cmpd="sng" algn="ctr">
                <a:solidFill>
                  <a:schemeClr val="lt1">
                    <a:alpha val="50000"/>
                  </a:schemeClr>
                </a:solidFill>
                <a:round/>
              </a:ln>
              <a:effectLst/>
            </c:spPr>
            <c:extLst>
              <c:ext xmlns:c16="http://schemas.microsoft.com/office/drawing/2014/chart" uri="{C3380CC4-5D6E-409C-BE32-E72D297353CC}">
                <c16:uniqueId val="{00000005-F4F5-421A-A3E1-798F4C0BE353}"/>
              </c:ext>
            </c:extLst>
          </c:dPt>
          <c:dPt>
            <c:idx val="3"/>
            <c:invertIfNegative val="1"/>
            <c:bubble3D val="0"/>
            <c:spPr>
              <a:solidFill>
                <a:schemeClr val="accent4">
                  <a:alpha val="85000"/>
                </a:schemeClr>
              </a:solidFill>
              <a:ln w="9525" cap="flat" cmpd="sng" algn="ctr">
                <a:solidFill>
                  <a:schemeClr val="lt1">
                    <a:alpha val="50000"/>
                  </a:schemeClr>
                </a:solidFill>
                <a:round/>
              </a:ln>
              <a:effectLst/>
            </c:spPr>
            <c:extLst>
              <c:ext xmlns:c16="http://schemas.microsoft.com/office/drawing/2014/chart" uri="{C3380CC4-5D6E-409C-BE32-E72D297353CC}">
                <c16:uniqueId val="{00000007-F4F5-421A-A3E1-798F4C0BE353}"/>
              </c:ext>
            </c:extLst>
          </c:dPt>
          <c:dPt>
            <c:idx val="4"/>
            <c:invertIfNegative val="1"/>
            <c:bubble3D val="0"/>
            <c:spPr>
              <a:solidFill>
                <a:schemeClr val="accent5">
                  <a:alpha val="85000"/>
                </a:schemeClr>
              </a:solidFill>
              <a:ln w="9525" cap="flat" cmpd="sng" algn="ctr">
                <a:solidFill>
                  <a:schemeClr val="lt1">
                    <a:alpha val="50000"/>
                  </a:schemeClr>
                </a:solidFill>
                <a:round/>
              </a:ln>
              <a:effectLst/>
            </c:spPr>
            <c:extLst>
              <c:ext xmlns:c16="http://schemas.microsoft.com/office/drawing/2014/chart" uri="{C3380CC4-5D6E-409C-BE32-E72D297353CC}">
                <c16:uniqueId val="{00000009-F4F5-421A-A3E1-798F4C0BE353}"/>
              </c:ext>
            </c:extLst>
          </c:dPt>
          <c:dPt>
            <c:idx val="5"/>
            <c:invertIfNegative val="1"/>
            <c:bubble3D val="0"/>
            <c:spPr>
              <a:solidFill>
                <a:schemeClr val="accent6">
                  <a:alpha val="85000"/>
                </a:schemeClr>
              </a:solidFill>
              <a:ln w="9525" cap="flat" cmpd="sng" algn="ctr">
                <a:solidFill>
                  <a:schemeClr val="lt1">
                    <a:alpha val="50000"/>
                  </a:schemeClr>
                </a:solidFill>
                <a:round/>
              </a:ln>
              <a:effectLst/>
            </c:spPr>
            <c:extLst>
              <c:ext xmlns:c16="http://schemas.microsoft.com/office/drawing/2014/chart" uri="{C3380CC4-5D6E-409C-BE32-E72D297353CC}">
                <c16:uniqueId val="{0000000B-F4F5-421A-A3E1-798F4C0BE353}"/>
              </c:ext>
            </c:extLst>
          </c:dPt>
          <c:dPt>
            <c:idx val="6"/>
            <c:invertIfNegative val="1"/>
            <c:bubble3D val="0"/>
            <c:spPr>
              <a:solidFill>
                <a:schemeClr val="accent1">
                  <a:lumMod val="60000"/>
                  <a:alpha val="85000"/>
                </a:schemeClr>
              </a:solidFill>
              <a:ln w="9525" cap="flat" cmpd="sng" algn="ctr">
                <a:solidFill>
                  <a:schemeClr val="lt1">
                    <a:alpha val="50000"/>
                  </a:schemeClr>
                </a:solidFill>
                <a:round/>
              </a:ln>
              <a:effectLst/>
            </c:spPr>
            <c:extLst>
              <c:ext xmlns:c16="http://schemas.microsoft.com/office/drawing/2014/chart" uri="{C3380CC4-5D6E-409C-BE32-E72D297353CC}">
                <c16:uniqueId val="{0000000D-F4F5-421A-A3E1-798F4C0BE353}"/>
              </c:ext>
            </c:extLst>
          </c:dPt>
          <c:dPt>
            <c:idx val="7"/>
            <c:invertIfNegative val="1"/>
            <c:bubble3D val="0"/>
            <c:spPr>
              <a:solidFill>
                <a:schemeClr val="accent2">
                  <a:lumMod val="60000"/>
                  <a:alpha val="85000"/>
                </a:schemeClr>
              </a:solidFill>
              <a:ln w="9525" cap="flat" cmpd="sng" algn="ctr">
                <a:solidFill>
                  <a:schemeClr val="lt1">
                    <a:alpha val="50000"/>
                  </a:schemeClr>
                </a:solidFill>
                <a:round/>
              </a:ln>
              <a:effectLst/>
            </c:spPr>
            <c:extLst>
              <c:ext xmlns:c16="http://schemas.microsoft.com/office/drawing/2014/chart" uri="{C3380CC4-5D6E-409C-BE32-E72D297353CC}">
                <c16:uniqueId val="{0000000F-F4F5-421A-A3E1-798F4C0BE353}"/>
              </c:ext>
            </c:extLst>
          </c:dPt>
          <c:dPt>
            <c:idx val="8"/>
            <c:invertIfNegative val="1"/>
            <c:bubble3D val="0"/>
            <c:spPr>
              <a:solidFill>
                <a:schemeClr val="accent3">
                  <a:lumMod val="60000"/>
                  <a:alpha val="85000"/>
                </a:schemeClr>
              </a:solidFill>
              <a:ln w="9525" cap="flat" cmpd="sng" algn="ctr">
                <a:solidFill>
                  <a:schemeClr val="lt1">
                    <a:alpha val="50000"/>
                  </a:schemeClr>
                </a:solidFill>
                <a:round/>
              </a:ln>
              <a:effectLst/>
            </c:spPr>
            <c:extLst>
              <c:ext xmlns:c16="http://schemas.microsoft.com/office/drawing/2014/chart" uri="{C3380CC4-5D6E-409C-BE32-E72D297353CC}">
                <c16:uniqueId val="{00000011-F4F5-421A-A3E1-798F4C0BE353}"/>
              </c:ext>
            </c:extLst>
          </c:dPt>
          <c:dPt>
            <c:idx val="9"/>
            <c:invertIfNegative val="1"/>
            <c:bubble3D val="0"/>
            <c:spPr>
              <a:solidFill>
                <a:schemeClr val="accent4">
                  <a:lumMod val="60000"/>
                  <a:alpha val="85000"/>
                </a:schemeClr>
              </a:solidFill>
              <a:ln w="9525" cap="flat" cmpd="sng" algn="ctr">
                <a:solidFill>
                  <a:schemeClr val="lt1">
                    <a:alpha val="50000"/>
                  </a:schemeClr>
                </a:solidFill>
                <a:round/>
              </a:ln>
              <a:effectLst/>
            </c:spPr>
            <c:extLst>
              <c:ext xmlns:c16="http://schemas.microsoft.com/office/drawing/2014/chart" uri="{C3380CC4-5D6E-409C-BE32-E72D297353CC}">
                <c16:uniqueId val="{00000013-F4F5-421A-A3E1-798F4C0BE353}"/>
              </c:ext>
            </c:extLst>
          </c:dPt>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1"/>
            <c:showCatName val="0"/>
            <c:showSerName val="0"/>
            <c:showPercent val="0"/>
            <c:showBubbleSize val="1"/>
            <c:showLeaderLines val="0"/>
            <c:extLst>
              <c:ext xmlns:c15="http://schemas.microsoft.com/office/drawing/2012/chart" uri="{CE6537A1-D6FC-4f65-9D91-7224C49458BB}">
                <c15:showLeaderLines val="0"/>
              </c:ext>
            </c:extLst>
          </c:dLbls>
          <c:cat>
            <c:strRef>
              <c:f>[1]ChartData!$K$2:$K$11</c:f>
              <c:strCache>
                <c:ptCount val="10"/>
                <c:pt idx="0">
                  <c:v>Medinipur</c:v>
                </c:pt>
                <c:pt idx="1">
                  <c:v>Arambagh</c:v>
                </c:pt>
                <c:pt idx="2">
                  <c:v>Bardhaman</c:v>
                </c:pt>
                <c:pt idx="3">
                  <c:v>Howrah</c:v>
                </c:pt>
                <c:pt idx="4">
                  <c:v>Barasat</c:v>
                </c:pt>
                <c:pt idx="5">
                  <c:v>Durgapur</c:v>
                </c:pt>
                <c:pt idx="6">
                  <c:v>Basirhat</c:v>
                </c:pt>
                <c:pt idx="7">
                  <c:v>Darjeeling</c:v>
                </c:pt>
                <c:pt idx="8">
                  <c:v>Bankura</c:v>
                </c:pt>
                <c:pt idx="9">
                  <c:v>Chandannagar</c:v>
                </c:pt>
              </c:strCache>
            </c:strRef>
          </c:cat>
          <c:val>
            <c:numRef>
              <c:f>[1]ChartData!$L$2:$L$11</c:f>
              <c:numCache>
                <c:formatCode>General</c:formatCode>
                <c:ptCount val="10"/>
                <c:pt idx="0">
                  <c:v>8.75</c:v>
                </c:pt>
                <c:pt idx="1">
                  <c:v>7.32</c:v>
                </c:pt>
                <c:pt idx="2">
                  <c:v>6.79</c:v>
                </c:pt>
                <c:pt idx="3">
                  <c:v>6.11</c:v>
                </c:pt>
                <c:pt idx="4">
                  <c:v>6.01</c:v>
                </c:pt>
                <c:pt idx="5">
                  <c:v>5.47</c:v>
                </c:pt>
                <c:pt idx="6">
                  <c:v>5.46</c:v>
                </c:pt>
                <c:pt idx="7">
                  <c:v>5.28</c:v>
                </c:pt>
                <c:pt idx="8">
                  <c:v>5.27</c:v>
                </c:pt>
                <c:pt idx="9">
                  <c:v>5.27</c:v>
                </c:pt>
              </c:numCache>
            </c:numRef>
          </c:val>
          <c:extLst>
            <c:ext xmlns:c16="http://schemas.microsoft.com/office/drawing/2014/chart" uri="{C3380CC4-5D6E-409C-BE32-E72D297353CC}">
              <c16:uniqueId val="{00000000-7177-428C-B7A9-252120C33A83}"/>
            </c:ext>
          </c:extLst>
        </c:ser>
        <c:dLbls>
          <c:dLblPos val="inEnd"/>
          <c:showLegendKey val="0"/>
          <c:showVal val="1"/>
          <c:showCatName val="0"/>
          <c:showSerName val="0"/>
          <c:showPercent val="0"/>
          <c:showBubbleSize val="1"/>
        </c:dLbls>
        <c:gapWidth val="65"/>
        <c:axId val="10"/>
        <c:axId val="100"/>
      </c:barChart>
      <c:catAx>
        <c:axId val="10"/>
        <c:scaling>
          <c:orientation val="minMax"/>
        </c:scaling>
        <c:delete val="0"/>
        <c:axPos val="l"/>
        <c:numFmt formatCode="General" sourceLinked="1"/>
        <c:majorTickMark val="none"/>
        <c:minorTickMark val="none"/>
        <c:tickLblPos val="nextTo"/>
        <c:spPr>
          <a:noFill/>
          <a:ln w="19050" cap="flat" cmpd="sng" algn="ctr">
            <a:solidFill>
              <a:schemeClr val="dk1">
                <a:lumMod val="75000"/>
                <a:lumOff val="25000"/>
              </a:schemeClr>
            </a:solidFill>
            <a:round/>
          </a:ln>
          <a:effectLst/>
        </c:spPr>
        <c:txPr>
          <a:bodyPr rot="-60000000" spcFirstLastPara="1" vertOverflow="ellipsis" vert="horz" wrap="square" anchor="ctr" anchorCtr="1"/>
          <a:lstStyle/>
          <a:p>
            <a:pPr>
              <a:defRPr sz="900" b="0" i="0" u="none" strike="noStrike" kern="1200" cap="all" baseline="0">
                <a:solidFill>
                  <a:schemeClr val="dk1">
                    <a:lumMod val="75000"/>
                    <a:lumOff val="25000"/>
                  </a:schemeClr>
                </a:solidFill>
                <a:latin typeface="+mn-lt"/>
                <a:ea typeface="+mn-ea"/>
                <a:cs typeface="+mn-cs"/>
              </a:defRPr>
            </a:pPr>
            <a:endParaRPr lang="en-US"/>
          </a:p>
        </c:txPr>
        <c:crossAx val="100"/>
        <c:crosses val="autoZero"/>
        <c:auto val="1"/>
        <c:lblAlgn val="ctr"/>
        <c:lblOffset val="100"/>
        <c:noMultiLvlLbl val="1"/>
      </c:catAx>
      <c:valAx>
        <c:axId val="100"/>
        <c:scaling>
          <c:orientation val="minMax"/>
        </c:scaling>
        <c:delete val="0"/>
        <c:axPos val="b"/>
        <c:majorGridlines>
          <c:spPr>
            <a:ln w="9525" cap="flat" cmpd="sng" algn="ctr">
              <a:gradFill>
                <a:gsLst>
                  <a:gs pos="100000">
                    <a:schemeClr val="dk1">
                      <a:lumMod val="95000"/>
                      <a:lumOff val="5000"/>
                      <a:alpha val="42000"/>
                    </a:schemeClr>
                  </a:gs>
                  <a:gs pos="0">
                    <a:schemeClr val="lt1">
                      <a:lumMod val="75000"/>
                      <a:alpha val="36000"/>
                    </a:schemeClr>
                  </a:gs>
                </a:gsLst>
                <a:lin ang="5400000" scaled="0"/>
              </a:gra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crossAx val="10"/>
        <c:crosses val="autoZero"/>
        <c:crossBetween val="between"/>
      </c:valAx>
      <c:spPr>
        <a:noFill/>
        <a:ln>
          <a:noFill/>
        </a:ln>
        <a:effectLst/>
      </c:spPr>
    </c:plotArea>
    <c:plotVisOnly val="1"/>
    <c:dispBlanksAs val="gap"/>
    <c:showDLblsOverMax val="1"/>
  </c:chart>
  <c: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3"/>
    </mc:Choice>
    <mc:Fallback>
      <c:style val="3"/>
    </mc:Fallback>
  </mc:AlternateContent>
  <c:chart>
    <c:title>
      <c:tx>
        <c:rich>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r>
              <a:rPr lang="en-IN"/>
              <a:t>Borrower Age Group Distribution</a:t>
            </a:r>
          </a:p>
        </c:rich>
      </c:tx>
      <c:layout>
        <c:manualLayout>
          <c:xMode val="edge"/>
          <c:yMode val="edge"/>
          <c:x val="0.2640797619047619"/>
          <c:y val="3.5277777777777776E-2"/>
        </c:manualLayout>
      </c:layout>
      <c:overlay val="1"/>
      <c:spPr>
        <a:noFill/>
        <a:ln>
          <a:noFill/>
        </a:ln>
        <a:effectLst/>
      </c:spPr>
      <c:txPr>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endParaRPr lang="en-US"/>
        </a:p>
      </c:txPr>
    </c:title>
    <c:autoTitleDeleted val="0"/>
    <c:plotArea>
      <c:layout/>
      <c:barChart>
        <c:barDir val="col"/>
        <c:grouping val="clustered"/>
        <c:varyColors val="1"/>
        <c:ser>
          <c:idx val="0"/>
          <c:order val="0"/>
          <c:tx>
            <c:strRef>
              <c:f>[1]ChartData!$I$1</c:f>
              <c:strCache>
                <c:ptCount val="1"/>
                <c:pt idx="0">
                  <c:v>Count</c:v>
                </c:pt>
              </c:strCache>
            </c:strRef>
          </c:tx>
          <c:invertIfNegative val="1"/>
          <c:dPt>
            <c:idx val="0"/>
            <c:invertIfNegative val="1"/>
            <c:bubble3D val="0"/>
            <c:spPr>
              <a:solidFill>
                <a:schemeClr val="accent1">
                  <a:tint val="58000"/>
                  <a:alpha val="85000"/>
                </a:schemeClr>
              </a:solidFill>
              <a:ln w="9525" cap="flat" cmpd="sng" algn="ctr">
                <a:solidFill>
                  <a:schemeClr val="lt1">
                    <a:alpha val="50000"/>
                  </a:schemeClr>
                </a:solidFill>
                <a:round/>
              </a:ln>
              <a:effectLst/>
            </c:spPr>
            <c:extLst>
              <c:ext xmlns:c16="http://schemas.microsoft.com/office/drawing/2014/chart" uri="{C3380CC4-5D6E-409C-BE32-E72D297353CC}">
                <c16:uniqueId val="{00000001-0CBB-4B1E-8F21-834858D4D02D}"/>
              </c:ext>
            </c:extLst>
          </c:dPt>
          <c:dPt>
            <c:idx val="1"/>
            <c:invertIfNegative val="1"/>
            <c:bubble3D val="0"/>
            <c:spPr>
              <a:solidFill>
                <a:schemeClr val="accent1">
                  <a:tint val="86000"/>
                  <a:alpha val="85000"/>
                </a:schemeClr>
              </a:solidFill>
              <a:ln w="9525" cap="flat" cmpd="sng" algn="ctr">
                <a:solidFill>
                  <a:schemeClr val="lt1">
                    <a:alpha val="50000"/>
                  </a:schemeClr>
                </a:solidFill>
                <a:round/>
              </a:ln>
              <a:effectLst/>
            </c:spPr>
            <c:extLst>
              <c:ext xmlns:c16="http://schemas.microsoft.com/office/drawing/2014/chart" uri="{C3380CC4-5D6E-409C-BE32-E72D297353CC}">
                <c16:uniqueId val="{00000003-0CBB-4B1E-8F21-834858D4D02D}"/>
              </c:ext>
            </c:extLst>
          </c:dPt>
          <c:dPt>
            <c:idx val="2"/>
            <c:invertIfNegative val="1"/>
            <c:bubble3D val="0"/>
            <c:spPr>
              <a:solidFill>
                <a:schemeClr val="accent1">
                  <a:shade val="86000"/>
                  <a:alpha val="85000"/>
                </a:schemeClr>
              </a:solidFill>
              <a:ln w="9525" cap="flat" cmpd="sng" algn="ctr">
                <a:solidFill>
                  <a:schemeClr val="lt1">
                    <a:alpha val="50000"/>
                  </a:schemeClr>
                </a:solidFill>
                <a:round/>
              </a:ln>
              <a:effectLst/>
            </c:spPr>
            <c:extLst>
              <c:ext xmlns:c16="http://schemas.microsoft.com/office/drawing/2014/chart" uri="{C3380CC4-5D6E-409C-BE32-E72D297353CC}">
                <c16:uniqueId val="{00000005-0CBB-4B1E-8F21-834858D4D02D}"/>
              </c:ext>
            </c:extLst>
          </c:dPt>
          <c:dPt>
            <c:idx val="3"/>
            <c:invertIfNegative val="1"/>
            <c:bubble3D val="0"/>
            <c:spPr>
              <a:solidFill>
                <a:schemeClr val="accent1">
                  <a:shade val="58000"/>
                  <a:alpha val="85000"/>
                </a:schemeClr>
              </a:solidFill>
              <a:ln w="9525" cap="flat" cmpd="sng" algn="ctr">
                <a:solidFill>
                  <a:schemeClr val="lt1">
                    <a:alpha val="50000"/>
                  </a:schemeClr>
                </a:solidFill>
                <a:round/>
              </a:ln>
              <a:effectLst/>
            </c:spPr>
            <c:extLst>
              <c:ext xmlns:c16="http://schemas.microsoft.com/office/drawing/2014/chart" uri="{C3380CC4-5D6E-409C-BE32-E72D297353CC}">
                <c16:uniqueId val="{00000007-0CBB-4B1E-8F21-834858D4D02D}"/>
              </c:ext>
            </c:extLst>
          </c:dPt>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1"/>
            <c:showCatName val="0"/>
            <c:showSerName val="0"/>
            <c:showPercent val="0"/>
            <c:showBubbleSize val="1"/>
            <c:showLeaderLines val="0"/>
            <c:extLst>
              <c:ext xmlns:c15="http://schemas.microsoft.com/office/drawing/2012/chart" uri="{CE6537A1-D6FC-4f65-9D91-7224C49458BB}">
                <c15:showLeaderLines val="0"/>
              </c:ext>
            </c:extLst>
          </c:dLbls>
          <c:cat>
            <c:strRef>
              <c:f>[1]ChartData!$H$2:$H$5</c:f>
              <c:strCache>
                <c:ptCount val="4"/>
                <c:pt idx="0">
                  <c:v>21-30</c:v>
                </c:pt>
                <c:pt idx="1">
                  <c:v>31-40</c:v>
                </c:pt>
                <c:pt idx="2">
                  <c:v>41-50</c:v>
                </c:pt>
                <c:pt idx="3">
                  <c:v>51-64</c:v>
                </c:pt>
              </c:strCache>
            </c:strRef>
          </c:cat>
          <c:val>
            <c:numRef>
              <c:f>[1]ChartData!$I$2:$I$5</c:f>
              <c:numCache>
                <c:formatCode>General</c:formatCode>
                <c:ptCount val="4"/>
                <c:pt idx="0">
                  <c:v>225</c:v>
                </c:pt>
                <c:pt idx="1">
                  <c:v>211</c:v>
                </c:pt>
                <c:pt idx="2">
                  <c:v>244</c:v>
                </c:pt>
                <c:pt idx="3">
                  <c:v>320</c:v>
                </c:pt>
              </c:numCache>
            </c:numRef>
          </c:val>
          <c:extLst>
            <c:ext xmlns:c16="http://schemas.microsoft.com/office/drawing/2014/chart" uri="{C3380CC4-5D6E-409C-BE32-E72D297353CC}">
              <c16:uniqueId val="{00000000-FD93-4989-8240-14EC2B304966}"/>
            </c:ext>
          </c:extLst>
        </c:ser>
        <c:dLbls>
          <c:dLblPos val="inEnd"/>
          <c:showLegendKey val="0"/>
          <c:showVal val="1"/>
          <c:showCatName val="0"/>
          <c:showSerName val="0"/>
          <c:showPercent val="0"/>
          <c:showBubbleSize val="1"/>
        </c:dLbls>
        <c:gapWidth val="65"/>
        <c:axId val="10"/>
        <c:axId val="100"/>
      </c:barChart>
      <c:catAx>
        <c:axId val="10"/>
        <c:scaling>
          <c:orientation val="minMax"/>
        </c:scaling>
        <c:delete val="0"/>
        <c:axPos val="b"/>
        <c:numFmt formatCode="General" sourceLinked="1"/>
        <c:majorTickMark val="none"/>
        <c:minorTickMark val="none"/>
        <c:tickLblPos val="nextTo"/>
        <c:spPr>
          <a:noFill/>
          <a:ln w="19050" cap="flat" cmpd="sng" algn="ctr">
            <a:solidFill>
              <a:schemeClr val="dk1">
                <a:lumMod val="75000"/>
                <a:lumOff val="25000"/>
              </a:schemeClr>
            </a:solidFill>
            <a:round/>
          </a:ln>
          <a:effectLst/>
        </c:spPr>
        <c:txPr>
          <a:bodyPr rot="-60000000" spcFirstLastPara="1" vertOverflow="ellipsis" vert="horz" wrap="square" anchor="ctr" anchorCtr="1"/>
          <a:lstStyle/>
          <a:p>
            <a:pPr>
              <a:defRPr sz="900" b="0" i="0" u="none" strike="noStrike" kern="1200" cap="all" baseline="0">
                <a:solidFill>
                  <a:schemeClr val="dk1">
                    <a:lumMod val="75000"/>
                    <a:lumOff val="25000"/>
                  </a:schemeClr>
                </a:solidFill>
                <a:latin typeface="+mn-lt"/>
                <a:ea typeface="+mn-ea"/>
                <a:cs typeface="+mn-cs"/>
              </a:defRPr>
            </a:pPr>
            <a:endParaRPr lang="en-US"/>
          </a:p>
        </c:txPr>
        <c:crossAx val="100"/>
        <c:crosses val="autoZero"/>
        <c:auto val="1"/>
        <c:lblAlgn val="ctr"/>
        <c:lblOffset val="100"/>
        <c:noMultiLvlLbl val="1"/>
      </c:catAx>
      <c:valAx>
        <c:axId val="100"/>
        <c:scaling>
          <c:orientation val="minMax"/>
        </c:scaling>
        <c:delete val="1"/>
        <c:axPos val="l"/>
        <c:majorGridlines>
          <c:spPr>
            <a:ln w="9525" cap="flat" cmpd="sng" algn="ctr">
              <a:gradFill>
                <a:gsLst>
                  <a:gs pos="100000">
                    <a:schemeClr val="dk1">
                      <a:lumMod val="95000"/>
                      <a:lumOff val="5000"/>
                      <a:alpha val="42000"/>
                    </a:schemeClr>
                  </a:gs>
                  <a:gs pos="0">
                    <a:schemeClr val="lt1">
                      <a:lumMod val="75000"/>
                      <a:alpha val="36000"/>
                    </a:schemeClr>
                  </a:gs>
                </a:gsLst>
                <a:lin ang="5400000" scaled="0"/>
              </a:gradFill>
              <a:round/>
            </a:ln>
            <a:effectLst/>
          </c:spPr>
        </c:majorGridlines>
        <c:numFmt formatCode="General" sourceLinked="1"/>
        <c:majorTickMark val="none"/>
        <c:minorTickMark val="none"/>
        <c:tickLblPos val="nextTo"/>
        <c:crossAx val="10"/>
        <c:crosses val="autoZero"/>
        <c:crossBetween val="between"/>
      </c:valAx>
      <c:dTable>
        <c:showHorzBorder val="1"/>
        <c:showVertBorder val="1"/>
        <c:showOutline val="1"/>
        <c:showKeys val="1"/>
        <c:spPr>
          <a:noFill/>
          <a:ln w="9525">
            <a:solidFill>
              <a:schemeClr val="dk1">
                <a:lumMod val="35000"/>
                <a:lumOff val="65000"/>
              </a:schemeClr>
            </a:solidFill>
          </a:ln>
          <a:effectLst/>
        </c:spPr>
        <c:txPr>
          <a:bodyPr rot="0" spcFirstLastPara="1" vertOverflow="ellipsis" vert="horz" wrap="square" anchor="ctr" anchorCtr="1"/>
          <a:lstStyle/>
          <a:p>
            <a:pPr rtl="0">
              <a:defRPr sz="900" b="0" i="0" u="none" strike="noStrike" kern="1200" baseline="0">
                <a:solidFill>
                  <a:schemeClr val="dk1">
                    <a:lumMod val="75000"/>
                    <a:lumOff val="25000"/>
                  </a:schemeClr>
                </a:solidFill>
                <a:latin typeface="+mn-lt"/>
                <a:ea typeface="+mn-ea"/>
                <a:cs typeface="+mn-cs"/>
              </a:defRPr>
            </a:pPr>
            <a:endParaRPr lang="en-US"/>
          </a:p>
        </c:txPr>
      </c:dTable>
      <c:spPr>
        <a:noFill/>
        <a:ln>
          <a:noFill/>
        </a:ln>
        <a:effectLst/>
      </c:spPr>
    </c:plotArea>
    <c:legend>
      <c:legendPos val="b"/>
      <c:overlay val="0"/>
      <c:spPr>
        <a:solidFill>
          <a:schemeClr val="lt1">
            <a:lumMod val="95000"/>
            <a:alpha val="39000"/>
          </a:schemeClr>
        </a:solidFill>
        <a:ln>
          <a:noFill/>
        </a:ln>
        <a:effectLst/>
      </c:spPr>
      <c:txPr>
        <a:bodyPr rot="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legend>
    <c:plotVisOnly val="1"/>
    <c:dispBlanksAs val="gap"/>
    <c:showDLblsOverMax val="1"/>
  </c:chart>
  <c: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none" strike="noStrike" kern="1200" cap="all" spc="150" baseline="0">
                <a:solidFill>
                  <a:schemeClr val="tx1">
                    <a:lumMod val="50000"/>
                    <a:lumOff val="50000"/>
                  </a:schemeClr>
                </a:solidFill>
                <a:latin typeface="+mn-lt"/>
                <a:ea typeface="+mn-ea"/>
                <a:cs typeface="+mn-cs"/>
              </a:defRPr>
            </a:pPr>
            <a:r>
              <a:rPr lang="en-IN"/>
              <a:t>Loans by Interest Rate Band</a:t>
            </a:r>
          </a:p>
        </c:rich>
      </c:tx>
      <c:layout>
        <c:manualLayout>
          <c:xMode val="edge"/>
          <c:yMode val="edge"/>
          <c:x val="0.31117919194412025"/>
          <c:y val="2.1445606287326315E-2"/>
        </c:manualLayout>
      </c:layout>
      <c:overlay val="1"/>
      <c:spPr>
        <a:noFill/>
        <a:ln>
          <a:noFill/>
        </a:ln>
        <a:effectLst/>
      </c:spPr>
      <c:txPr>
        <a:bodyPr rot="0" spcFirstLastPara="1" vertOverflow="ellipsis" vert="horz" wrap="square" anchor="ctr" anchorCtr="1"/>
        <a:lstStyle/>
        <a:p>
          <a:pPr>
            <a:defRPr sz="1800" b="1" i="0" u="none" strike="noStrike" kern="1200" cap="all" spc="150" baseline="0">
              <a:solidFill>
                <a:schemeClr val="tx1">
                  <a:lumMod val="50000"/>
                  <a:lumOff val="50000"/>
                </a:schemeClr>
              </a:solidFill>
              <a:latin typeface="+mn-lt"/>
              <a:ea typeface="+mn-ea"/>
              <a:cs typeface="+mn-cs"/>
            </a:defRPr>
          </a:pPr>
          <a:endParaRPr lang="en-US"/>
        </a:p>
      </c:txPr>
    </c:title>
    <c:autoTitleDeleted val="0"/>
    <c:plotArea>
      <c:layout>
        <c:manualLayout>
          <c:layoutTarget val="inner"/>
          <c:xMode val="edge"/>
          <c:yMode val="edge"/>
          <c:x val="0.11406663740247235"/>
          <c:y val="0.15687647564197746"/>
          <c:w val="0.87868744019888867"/>
          <c:h val="0.68073869524604225"/>
        </c:manualLayout>
      </c:layout>
      <c:barChart>
        <c:barDir val="col"/>
        <c:grouping val="clustered"/>
        <c:varyColors val="1"/>
        <c:ser>
          <c:idx val="0"/>
          <c:order val="0"/>
          <c:tx>
            <c:strRef>
              <c:f>[1]ChartData!$V$1</c:f>
              <c:strCache>
                <c:ptCount val="1"/>
                <c:pt idx="0">
                  <c:v>Count</c:v>
                </c:pt>
              </c:strCache>
            </c:strRef>
          </c:tx>
          <c:spPr>
            <a:ln>
              <a:solidFill>
                <a:schemeClr val="accent1">
                  <a:lumMod val="60000"/>
                  <a:lumOff val="40000"/>
                </a:schemeClr>
              </a:solidFill>
            </a:ln>
          </c:spPr>
          <c:invertIfNegative val="1"/>
          <c:dPt>
            <c:idx val="0"/>
            <c:invertIfNegative val="1"/>
            <c:bubble3D val="0"/>
            <c:spPr>
              <a:pattFill prst="narHorz">
                <a:fgClr>
                  <a:schemeClr val="accent1"/>
                </a:fgClr>
                <a:bgClr>
                  <a:schemeClr val="accent1">
                    <a:lumMod val="20000"/>
                    <a:lumOff val="80000"/>
                  </a:schemeClr>
                </a:bgClr>
              </a:pattFill>
              <a:ln>
                <a:solidFill>
                  <a:schemeClr val="accent1">
                    <a:lumMod val="60000"/>
                    <a:lumOff val="40000"/>
                  </a:schemeClr>
                </a:solidFill>
              </a:ln>
              <a:effectLst>
                <a:innerShdw blurRad="114300">
                  <a:schemeClr val="accent1"/>
                </a:innerShdw>
              </a:effectLst>
            </c:spPr>
            <c:extLst>
              <c:ext xmlns:c16="http://schemas.microsoft.com/office/drawing/2014/chart" uri="{C3380CC4-5D6E-409C-BE32-E72D297353CC}">
                <c16:uniqueId val="{00000001-3592-4F87-921C-5E045047F192}"/>
              </c:ext>
            </c:extLst>
          </c:dPt>
          <c:dPt>
            <c:idx val="1"/>
            <c:invertIfNegative val="1"/>
            <c:bubble3D val="0"/>
            <c:spPr>
              <a:pattFill prst="narHorz">
                <a:fgClr>
                  <a:schemeClr val="accent2"/>
                </a:fgClr>
                <a:bgClr>
                  <a:schemeClr val="accent2">
                    <a:lumMod val="20000"/>
                    <a:lumOff val="80000"/>
                  </a:schemeClr>
                </a:bgClr>
              </a:pattFill>
              <a:ln>
                <a:solidFill>
                  <a:schemeClr val="accent1">
                    <a:lumMod val="60000"/>
                    <a:lumOff val="40000"/>
                  </a:schemeClr>
                </a:solidFill>
              </a:ln>
              <a:effectLst>
                <a:innerShdw blurRad="114300">
                  <a:schemeClr val="accent2"/>
                </a:innerShdw>
              </a:effectLst>
            </c:spPr>
            <c:extLst>
              <c:ext xmlns:c16="http://schemas.microsoft.com/office/drawing/2014/chart" uri="{C3380CC4-5D6E-409C-BE32-E72D297353CC}">
                <c16:uniqueId val="{00000003-3592-4F87-921C-5E045047F192}"/>
              </c:ext>
            </c:extLst>
          </c:dPt>
          <c:dPt>
            <c:idx val="2"/>
            <c:invertIfNegative val="1"/>
            <c:bubble3D val="0"/>
            <c:spPr>
              <a:pattFill prst="narHorz">
                <a:fgClr>
                  <a:schemeClr val="accent3"/>
                </a:fgClr>
                <a:bgClr>
                  <a:schemeClr val="accent3">
                    <a:lumMod val="20000"/>
                    <a:lumOff val="80000"/>
                  </a:schemeClr>
                </a:bgClr>
              </a:pattFill>
              <a:ln>
                <a:solidFill>
                  <a:schemeClr val="accent1">
                    <a:lumMod val="60000"/>
                    <a:lumOff val="40000"/>
                  </a:schemeClr>
                </a:solidFill>
              </a:ln>
              <a:effectLst>
                <a:innerShdw blurRad="114300">
                  <a:schemeClr val="accent3"/>
                </a:innerShdw>
              </a:effectLst>
            </c:spPr>
            <c:extLst>
              <c:ext xmlns:c16="http://schemas.microsoft.com/office/drawing/2014/chart" uri="{C3380CC4-5D6E-409C-BE32-E72D297353CC}">
                <c16:uniqueId val="{00000005-3592-4F87-921C-5E045047F192}"/>
              </c:ext>
            </c:extLst>
          </c:dPt>
          <c:dPt>
            <c:idx val="3"/>
            <c:invertIfNegative val="1"/>
            <c:bubble3D val="0"/>
            <c:spPr>
              <a:pattFill prst="narHorz">
                <a:fgClr>
                  <a:schemeClr val="accent4"/>
                </a:fgClr>
                <a:bgClr>
                  <a:schemeClr val="accent4">
                    <a:lumMod val="20000"/>
                    <a:lumOff val="80000"/>
                  </a:schemeClr>
                </a:bgClr>
              </a:pattFill>
              <a:ln>
                <a:solidFill>
                  <a:schemeClr val="accent1">
                    <a:lumMod val="60000"/>
                    <a:lumOff val="40000"/>
                  </a:schemeClr>
                </a:solidFill>
              </a:ln>
              <a:effectLst>
                <a:innerShdw blurRad="114300">
                  <a:schemeClr val="accent4"/>
                </a:innerShdw>
              </a:effectLst>
            </c:spPr>
            <c:extLst>
              <c:ext xmlns:c16="http://schemas.microsoft.com/office/drawing/2014/chart" uri="{C3380CC4-5D6E-409C-BE32-E72D297353CC}">
                <c16:uniqueId val="{00000007-3592-4F87-921C-5E045047F192}"/>
              </c:ext>
            </c:extLst>
          </c:dPt>
          <c:dPt>
            <c:idx val="4"/>
            <c:invertIfNegative val="1"/>
            <c:bubble3D val="0"/>
            <c:spPr>
              <a:pattFill prst="narHorz">
                <a:fgClr>
                  <a:schemeClr val="accent5"/>
                </a:fgClr>
                <a:bgClr>
                  <a:schemeClr val="accent5">
                    <a:lumMod val="20000"/>
                    <a:lumOff val="80000"/>
                  </a:schemeClr>
                </a:bgClr>
              </a:pattFill>
              <a:ln>
                <a:solidFill>
                  <a:schemeClr val="accent1">
                    <a:lumMod val="60000"/>
                    <a:lumOff val="40000"/>
                  </a:schemeClr>
                </a:solidFill>
              </a:ln>
              <a:effectLst>
                <a:innerShdw blurRad="114300">
                  <a:schemeClr val="accent5"/>
                </a:innerShdw>
              </a:effectLst>
            </c:spPr>
            <c:extLst>
              <c:ext xmlns:c16="http://schemas.microsoft.com/office/drawing/2014/chart" uri="{C3380CC4-5D6E-409C-BE32-E72D297353CC}">
                <c16:uniqueId val="{00000009-3592-4F87-921C-5E045047F192}"/>
              </c:ext>
            </c:extLst>
          </c:dPt>
          <c:dPt>
            <c:idx val="5"/>
            <c:invertIfNegative val="1"/>
            <c:bubble3D val="0"/>
            <c:spPr>
              <a:pattFill prst="narHorz">
                <a:fgClr>
                  <a:schemeClr val="accent6"/>
                </a:fgClr>
                <a:bgClr>
                  <a:schemeClr val="accent6">
                    <a:lumMod val="20000"/>
                    <a:lumOff val="80000"/>
                  </a:schemeClr>
                </a:bgClr>
              </a:pattFill>
              <a:ln>
                <a:solidFill>
                  <a:schemeClr val="accent1">
                    <a:lumMod val="60000"/>
                    <a:lumOff val="40000"/>
                  </a:schemeClr>
                </a:solidFill>
              </a:ln>
              <a:effectLst>
                <a:innerShdw blurRad="114300">
                  <a:schemeClr val="accent6"/>
                </a:innerShdw>
              </a:effectLst>
            </c:spPr>
            <c:extLst>
              <c:ext xmlns:c16="http://schemas.microsoft.com/office/drawing/2014/chart" uri="{C3380CC4-5D6E-409C-BE32-E72D297353CC}">
                <c16:uniqueId val="{0000000B-3592-4F87-921C-5E045047F192}"/>
              </c:ext>
            </c:extLst>
          </c:dPt>
          <c:dPt>
            <c:idx val="6"/>
            <c:invertIfNegative val="1"/>
            <c:bubble3D val="0"/>
            <c:spPr>
              <a:pattFill prst="narHorz">
                <a:fgClr>
                  <a:schemeClr val="accent1">
                    <a:lumMod val="60000"/>
                  </a:schemeClr>
                </a:fgClr>
                <a:bgClr>
                  <a:schemeClr val="accent1">
                    <a:lumMod val="60000"/>
                    <a:lumMod val="20000"/>
                    <a:lumOff val="80000"/>
                  </a:schemeClr>
                </a:bgClr>
              </a:pattFill>
              <a:ln>
                <a:solidFill>
                  <a:schemeClr val="accent1">
                    <a:lumMod val="60000"/>
                    <a:lumOff val="40000"/>
                  </a:schemeClr>
                </a:solidFill>
              </a:ln>
              <a:effectLst>
                <a:innerShdw blurRad="114300">
                  <a:schemeClr val="accent1">
                    <a:lumMod val="60000"/>
                  </a:schemeClr>
                </a:innerShdw>
              </a:effectLst>
            </c:spPr>
            <c:extLst>
              <c:ext xmlns:c16="http://schemas.microsoft.com/office/drawing/2014/chart" uri="{C3380CC4-5D6E-409C-BE32-E72D297353CC}">
                <c16:uniqueId val="{0000000D-3592-4F87-921C-5E045047F192}"/>
              </c:ext>
            </c:extLst>
          </c:dPt>
          <c:dPt>
            <c:idx val="7"/>
            <c:invertIfNegative val="1"/>
            <c:bubble3D val="0"/>
            <c:spPr>
              <a:pattFill prst="narHorz">
                <a:fgClr>
                  <a:schemeClr val="accent2">
                    <a:lumMod val="60000"/>
                  </a:schemeClr>
                </a:fgClr>
                <a:bgClr>
                  <a:schemeClr val="accent2">
                    <a:lumMod val="60000"/>
                    <a:lumMod val="20000"/>
                    <a:lumOff val="80000"/>
                  </a:schemeClr>
                </a:bgClr>
              </a:pattFill>
              <a:ln>
                <a:solidFill>
                  <a:schemeClr val="accent1">
                    <a:lumMod val="60000"/>
                    <a:lumOff val="40000"/>
                  </a:schemeClr>
                </a:solidFill>
              </a:ln>
              <a:effectLst>
                <a:innerShdw blurRad="114300">
                  <a:schemeClr val="accent2">
                    <a:lumMod val="60000"/>
                  </a:schemeClr>
                </a:innerShdw>
              </a:effectLst>
            </c:spPr>
            <c:extLst>
              <c:ext xmlns:c16="http://schemas.microsoft.com/office/drawing/2014/chart" uri="{C3380CC4-5D6E-409C-BE32-E72D297353CC}">
                <c16:uniqueId val="{0000000F-3592-4F87-921C-5E045047F192}"/>
              </c:ext>
            </c:extLst>
          </c:dPt>
          <c:dPt>
            <c:idx val="8"/>
            <c:invertIfNegative val="1"/>
            <c:bubble3D val="0"/>
            <c:spPr>
              <a:pattFill prst="narHorz">
                <a:fgClr>
                  <a:schemeClr val="accent3">
                    <a:lumMod val="60000"/>
                  </a:schemeClr>
                </a:fgClr>
                <a:bgClr>
                  <a:schemeClr val="accent3">
                    <a:lumMod val="60000"/>
                    <a:lumMod val="20000"/>
                    <a:lumOff val="80000"/>
                  </a:schemeClr>
                </a:bgClr>
              </a:pattFill>
              <a:ln>
                <a:solidFill>
                  <a:schemeClr val="accent1">
                    <a:lumMod val="60000"/>
                    <a:lumOff val="40000"/>
                  </a:schemeClr>
                </a:solidFill>
              </a:ln>
              <a:effectLst>
                <a:innerShdw blurRad="114300">
                  <a:schemeClr val="accent3">
                    <a:lumMod val="60000"/>
                  </a:schemeClr>
                </a:innerShdw>
              </a:effectLst>
            </c:spPr>
            <c:extLst>
              <c:ext xmlns:c16="http://schemas.microsoft.com/office/drawing/2014/chart" uri="{C3380CC4-5D6E-409C-BE32-E72D297353CC}">
                <c16:uniqueId val="{00000011-3592-4F87-921C-5E045047F192}"/>
              </c:ext>
            </c:extLst>
          </c:dPt>
          <c:dPt>
            <c:idx val="9"/>
            <c:invertIfNegative val="1"/>
            <c:bubble3D val="0"/>
            <c:spPr>
              <a:pattFill prst="narHorz">
                <a:fgClr>
                  <a:schemeClr val="accent4">
                    <a:lumMod val="60000"/>
                  </a:schemeClr>
                </a:fgClr>
                <a:bgClr>
                  <a:schemeClr val="accent4">
                    <a:lumMod val="60000"/>
                    <a:lumMod val="20000"/>
                    <a:lumOff val="80000"/>
                  </a:schemeClr>
                </a:bgClr>
              </a:pattFill>
              <a:ln>
                <a:solidFill>
                  <a:schemeClr val="accent1">
                    <a:lumMod val="60000"/>
                    <a:lumOff val="40000"/>
                  </a:schemeClr>
                </a:solidFill>
              </a:ln>
              <a:effectLst>
                <a:innerShdw blurRad="114300">
                  <a:schemeClr val="accent4">
                    <a:lumMod val="60000"/>
                  </a:schemeClr>
                </a:innerShdw>
              </a:effectLst>
            </c:spPr>
            <c:extLst>
              <c:ext xmlns:c16="http://schemas.microsoft.com/office/drawing/2014/chart" uri="{C3380CC4-5D6E-409C-BE32-E72D297353CC}">
                <c16:uniqueId val="{00000013-3592-4F87-921C-5E045047F192}"/>
              </c:ext>
            </c:extLst>
          </c:dPt>
          <c:dPt>
            <c:idx val="10"/>
            <c:invertIfNegative val="1"/>
            <c:bubble3D val="0"/>
            <c:spPr>
              <a:pattFill prst="narHorz">
                <a:fgClr>
                  <a:schemeClr val="accent5">
                    <a:lumMod val="60000"/>
                  </a:schemeClr>
                </a:fgClr>
                <a:bgClr>
                  <a:schemeClr val="accent5">
                    <a:lumMod val="60000"/>
                    <a:lumMod val="20000"/>
                    <a:lumOff val="80000"/>
                  </a:schemeClr>
                </a:bgClr>
              </a:pattFill>
              <a:ln>
                <a:solidFill>
                  <a:schemeClr val="accent1">
                    <a:lumMod val="60000"/>
                    <a:lumOff val="40000"/>
                  </a:schemeClr>
                </a:solidFill>
              </a:ln>
              <a:effectLst>
                <a:innerShdw blurRad="114300">
                  <a:schemeClr val="accent5">
                    <a:lumMod val="60000"/>
                  </a:schemeClr>
                </a:innerShdw>
              </a:effectLst>
            </c:spPr>
            <c:extLst>
              <c:ext xmlns:c16="http://schemas.microsoft.com/office/drawing/2014/chart" uri="{C3380CC4-5D6E-409C-BE32-E72D297353CC}">
                <c16:uniqueId val="{00000015-3592-4F87-921C-5E045047F192}"/>
              </c:ext>
            </c:extLst>
          </c:dPt>
          <c:dPt>
            <c:idx val="11"/>
            <c:invertIfNegative val="1"/>
            <c:bubble3D val="0"/>
            <c:spPr>
              <a:pattFill prst="narHorz">
                <a:fgClr>
                  <a:schemeClr val="accent6">
                    <a:lumMod val="60000"/>
                  </a:schemeClr>
                </a:fgClr>
                <a:bgClr>
                  <a:schemeClr val="accent6">
                    <a:lumMod val="60000"/>
                    <a:lumMod val="20000"/>
                    <a:lumOff val="80000"/>
                  </a:schemeClr>
                </a:bgClr>
              </a:pattFill>
              <a:ln>
                <a:solidFill>
                  <a:schemeClr val="accent1">
                    <a:lumMod val="60000"/>
                    <a:lumOff val="40000"/>
                  </a:schemeClr>
                </a:solidFill>
              </a:ln>
              <a:effectLst>
                <a:innerShdw blurRad="114300">
                  <a:schemeClr val="accent6">
                    <a:lumMod val="60000"/>
                  </a:schemeClr>
                </a:innerShdw>
              </a:effectLst>
            </c:spPr>
            <c:extLst>
              <c:ext xmlns:c16="http://schemas.microsoft.com/office/drawing/2014/chart" uri="{C3380CC4-5D6E-409C-BE32-E72D297353CC}">
                <c16:uniqueId val="{00000017-3592-4F87-921C-5E045047F192}"/>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1"/>
            <c:showLeaderLines val="0"/>
            <c:extLst>
              <c:ext xmlns:c15="http://schemas.microsoft.com/office/drawing/2012/chart" uri="{CE6537A1-D6FC-4f65-9D91-7224C49458BB}">
                <c15:showLeaderLines val="0"/>
              </c:ext>
            </c:extLst>
          </c:dLbls>
          <c:trendline>
            <c:spPr>
              <a:ln w="19050" cap="rnd">
                <a:solidFill>
                  <a:schemeClr val="accent1"/>
                </a:solidFill>
              </a:ln>
              <a:effectLst/>
            </c:spPr>
            <c:trendlineType val="linear"/>
            <c:dispRSqr val="0"/>
            <c:dispEq val="0"/>
          </c:trendline>
          <c:cat>
            <c:strRef>
              <c:f>[1]ChartData!$U$2:$U$13</c:f>
              <c:strCache>
                <c:ptCount val="12"/>
                <c:pt idx="0">
                  <c:v>7.5%</c:v>
                </c:pt>
                <c:pt idx="1">
                  <c:v>8.0%</c:v>
                </c:pt>
                <c:pt idx="2">
                  <c:v>8.5%</c:v>
                </c:pt>
                <c:pt idx="3">
                  <c:v>9.0%</c:v>
                </c:pt>
                <c:pt idx="4">
                  <c:v>9.5%</c:v>
                </c:pt>
                <c:pt idx="5">
                  <c:v>10.0%</c:v>
                </c:pt>
                <c:pt idx="6">
                  <c:v>10.5%</c:v>
                </c:pt>
                <c:pt idx="7">
                  <c:v>11.0%</c:v>
                </c:pt>
                <c:pt idx="8">
                  <c:v>11.5%</c:v>
                </c:pt>
                <c:pt idx="9">
                  <c:v>12.0%</c:v>
                </c:pt>
                <c:pt idx="10">
                  <c:v>12.5%</c:v>
                </c:pt>
                <c:pt idx="11">
                  <c:v>13.0%</c:v>
                </c:pt>
              </c:strCache>
            </c:strRef>
          </c:cat>
          <c:val>
            <c:numRef>
              <c:f>[1]ChartData!$V$2:$V$13</c:f>
              <c:numCache>
                <c:formatCode>General</c:formatCode>
                <c:ptCount val="12"/>
                <c:pt idx="0">
                  <c:v>86</c:v>
                </c:pt>
                <c:pt idx="1">
                  <c:v>85</c:v>
                </c:pt>
                <c:pt idx="2">
                  <c:v>92</c:v>
                </c:pt>
                <c:pt idx="3">
                  <c:v>81</c:v>
                </c:pt>
                <c:pt idx="4">
                  <c:v>88</c:v>
                </c:pt>
                <c:pt idx="5">
                  <c:v>87</c:v>
                </c:pt>
                <c:pt idx="6">
                  <c:v>84</c:v>
                </c:pt>
                <c:pt idx="7">
                  <c:v>78</c:v>
                </c:pt>
                <c:pt idx="8">
                  <c:v>67</c:v>
                </c:pt>
                <c:pt idx="9">
                  <c:v>86</c:v>
                </c:pt>
                <c:pt idx="10">
                  <c:v>82</c:v>
                </c:pt>
                <c:pt idx="11">
                  <c:v>84</c:v>
                </c:pt>
              </c:numCache>
            </c:numRef>
          </c:val>
          <c:extLst>
            <c:ext xmlns:c16="http://schemas.microsoft.com/office/drawing/2014/chart" uri="{C3380CC4-5D6E-409C-BE32-E72D297353CC}">
              <c16:uniqueId val="{00000000-C28F-4564-8973-E7C3E52802C5}"/>
            </c:ext>
          </c:extLst>
        </c:ser>
        <c:dLbls>
          <c:showLegendKey val="0"/>
          <c:showVal val="1"/>
          <c:showCatName val="0"/>
          <c:showSerName val="0"/>
          <c:showPercent val="0"/>
          <c:showBubbleSize val="1"/>
        </c:dLbls>
        <c:gapWidth val="164"/>
        <c:overlap val="-22"/>
        <c:axId val="10"/>
        <c:axId val="100"/>
      </c:barChart>
      <c:catAx>
        <c:axId val="10"/>
        <c:scaling>
          <c:orientation val="minMax"/>
        </c:scaling>
        <c:delete val="0"/>
        <c:axPos val="b"/>
        <c:numFmt formatCode="General" sourceLinked="1"/>
        <c:majorTickMark val="none"/>
        <c:minorTickMark val="none"/>
        <c:tickLblPos val="nextTo"/>
        <c:spPr>
          <a:noFill/>
          <a:ln w="19050"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0"/>
        <c:crosses val="autoZero"/>
        <c:auto val="1"/>
        <c:lblAlgn val="ctr"/>
        <c:lblOffset val="100"/>
        <c:noMultiLvlLbl val="1"/>
      </c:catAx>
      <c:valAx>
        <c:axId val="100"/>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
        <c:crosses val="autoZero"/>
        <c:crossBetween val="between"/>
      </c:valAx>
      <c:dTable>
        <c:showHorzBorder val="1"/>
        <c:showVertBorder val="1"/>
        <c:showOutline val="1"/>
        <c:showKeys val="1"/>
        <c:spPr>
          <a:noFill/>
          <a:ln w="9525">
            <a:solidFill>
              <a:schemeClr val="tx1">
                <a:lumMod val="15000"/>
                <a:lumOff val="85000"/>
              </a:schemeClr>
            </a:solidFill>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n-US"/>
          </a:p>
        </c:txPr>
      </c:dTable>
      <c:spPr>
        <a:noFill/>
        <a:ln>
          <a:noFill/>
        </a:ln>
        <a:effectLst/>
      </c:spPr>
    </c:plotArea>
    <c:plotVisOnly val="1"/>
    <c:dispBlanksAs val="gap"/>
    <c:showDLblsOverMax val="1"/>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r>
              <a:rPr lang="en-IN" sz="800"/>
              <a:t>Cumulative Interest Paid Over </a:t>
            </a:r>
            <a:r>
              <a:rPr lang="en-IN" sz="900" b="0"/>
              <a:t>Tenure</a:t>
            </a:r>
          </a:p>
        </c:rich>
      </c:tx>
      <c:layout>
        <c:manualLayout>
          <c:xMode val="edge"/>
          <c:yMode val="edge"/>
          <c:x val="4.5867480767909759E-2"/>
          <c:y val="5.7227496697222803E-2"/>
        </c:manualLayout>
      </c:layout>
      <c:overlay val="1"/>
      <c:spPr>
        <a:noFill/>
        <a:ln>
          <a:noFill/>
        </a:ln>
        <a:effectLst/>
      </c:spPr>
    </c:title>
    <c:autoTitleDeleted val="0"/>
    <c:plotArea>
      <c:layout/>
      <c:lineChart>
        <c:grouping val="standard"/>
        <c:varyColors val="1"/>
        <c:ser>
          <c:idx val="0"/>
          <c:order val="0"/>
          <c:tx>
            <c:strRef>
              <c:f>[1]ChartData!$S$1</c:f>
              <c:strCache>
                <c:ptCount val="1"/>
                <c:pt idx="0">
                  <c:v>Cumul. Interest</c:v>
                </c:pt>
              </c:strCache>
            </c:strRef>
          </c:tx>
          <c:marker>
            <c:symbol val="circle"/>
            <c:size val="17"/>
          </c:marker>
          <c:dPt>
            <c:idx val="0"/>
            <c:marker>
              <c:spPr>
                <a:solidFill>
                  <a:schemeClr val="accent1"/>
                </a:solidFill>
                <a:ln>
                  <a:noFill/>
                </a:ln>
                <a:effectLst/>
              </c:spPr>
            </c:marker>
            <c:bubble3D val="0"/>
            <c:spPr>
              <a:ln w="31750" cap="rnd">
                <a:solidFill>
                  <a:schemeClr val="accent1"/>
                </a:solidFill>
                <a:round/>
              </a:ln>
              <a:effectLst/>
            </c:spPr>
            <c:extLst>
              <c:ext xmlns:c16="http://schemas.microsoft.com/office/drawing/2014/chart" uri="{C3380CC4-5D6E-409C-BE32-E72D297353CC}">
                <c16:uniqueId val="{00000001-AF44-4703-A70D-C1A8A638632A}"/>
              </c:ext>
            </c:extLst>
          </c:dPt>
          <c:dPt>
            <c:idx val="1"/>
            <c:marker>
              <c:spPr>
                <a:solidFill>
                  <a:schemeClr val="accent2"/>
                </a:solidFill>
                <a:ln>
                  <a:noFill/>
                </a:ln>
                <a:effectLst/>
              </c:spPr>
            </c:marker>
            <c:bubble3D val="0"/>
            <c:spPr>
              <a:ln w="31750" cap="rnd">
                <a:solidFill>
                  <a:schemeClr val="accent2"/>
                </a:solidFill>
                <a:round/>
              </a:ln>
              <a:effectLst/>
            </c:spPr>
            <c:extLst>
              <c:ext xmlns:c16="http://schemas.microsoft.com/office/drawing/2014/chart" uri="{C3380CC4-5D6E-409C-BE32-E72D297353CC}">
                <c16:uniqueId val="{00000002-AF44-4703-A70D-C1A8A638632A}"/>
              </c:ext>
            </c:extLst>
          </c:dPt>
          <c:dPt>
            <c:idx val="2"/>
            <c:marker>
              <c:spPr>
                <a:solidFill>
                  <a:schemeClr val="accent3"/>
                </a:solidFill>
                <a:ln>
                  <a:noFill/>
                </a:ln>
                <a:effectLst/>
              </c:spPr>
            </c:marker>
            <c:bubble3D val="0"/>
            <c:spPr>
              <a:ln w="31750" cap="rnd">
                <a:solidFill>
                  <a:schemeClr val="accent3"/>
                </a:solidFill>
                <a:round/>
              </a:ln>
              <a:effectLst/>
            </c:spPr>
            <c:extLst>
              <c:ext xmlns:c16="http://schemas.microsoft.com/office/drawing/2014/chart" uri="{C3380CC4-5D6E-409C-BE32-E72D297353CC}">
                <c16:uniqueId val="{00000003-AF44-4703-A70D-C1A8A638632A}"/>
              </c:ext>
            </c:extLst>
          </c:dPt>
          <c:dPt>
            <c:idx val="3"/>
            <c:marker>
              <c:spPr>
                <a:solidFill>
                  <a:schemeClr val="accent4"/>
                </a:solidFill>
                <a:ln>
                  <a:noFill/>
                </a:ln>
                <a:effectLst/>
              </c:spPr>
            </c:marker>
            <c:bubble3D val="0"/>
            <c:spPr>
              <a:ln w="31750" cap="rnd">
                <a:solidFill>
                  <a:schemeClr val="accent4"/>
                </a:solidFill>
                <a:round/>
              </a:ln>
              <a:effectLst/>
            </c:spPr>
            <c:extLst>
              <c:ext xmlns:c16="http://schemas.microsoft.com/office/drawing/2014/chart" uri="{C3380CC4-5D6E-409C-BE32-E72D297353CC}">
                <c16:uniqueId val="{00000004-AF44-4703-A70D-C1A8A638632A}"/>
              </c:ext>
            </c:extLst>
          </c:dPt>
          <c:dPt>
            <c:idx val="4"/>
            <c:marker>
              <c:spPr>
                <a:solidFill>
                  <a:schemeClr val="accent5"/>
                </a:solidFill>
                <a:ln>
                  <a:noFill/>
                </a:ln>
                <a:effectLst/>
              </c:spPr>
            </c:marker>
            <c:bubble3D val="0"/>
            <c:spPr>
              <a:ln w="31750" cap="rnd">
                <a:solidFill>
                  <a:schemeClr val="accent5"/>
                </a:solidFill>
                <a:round/>
              </a:ln>
              <a:effectLst/>
            </c:spPr>
            <c:extLst>
              <c:ext xmlns:c16="http://schemas.microsoft.com/office/drawing/2014/chart" uri="{C3380CC4-5D6E-409C-BE32-E72D297353CC}">
                <c16:uniqueId val="{00000005-AF44-4703-A70D-C1A8A638632A}"/>
              </c:ext>
            </c:extLst>
          </c:dPt>
          <c:dPt>
            <c:idx val="5"/>
            <c:marker>
              <c:spPr>
                <a:solidFill>
                  <a:schemeClr val="accent6"/>
                </a:solidFill>
                <a:ln>
                  <a:noFill/>
                </a:ln>
                <a:effectLst/>
              </c:spPr>
            </c:marker>
            <c:bubble3D val="0"/>
            <c:spPr>
              <a:ln w="31750" cap="rnd">
                <a:solidFill>
                  <a:schemeClr val="accent6"/>
                </a:solidFill>
                <a:round/>
              </a:ln>
              <a:effectLst/>
            </c:spPr>
            <c:extLst>
              <c:ext xmlns:c16="http://schemas.microsoft.com/office/drawing/2014/chart" uri="{C3380CC4-5D6E-409C-BE32-E72D297353CC}">
                <c16:uniqueId val="{00000006-AF44-4703-A70D-C1A8A638632A}"/>
              </c:ext>
            </c:extLst>
          </c:dPt>
          <c:dPt>
            <c:idx val="6"/>
            <c:marker>
              <c:spPr>
                <a:solidFill>
                  <a:schemeClr val="accent1">
                    <a:lumMod val="60000"/>
                  </a:schemeClr>
                </a:solidFill>
                <a:ln>
                  <a:noFill/>
                </a:ln>
                <a:effectLst/>
              </c:spPr>
            </c:marker>
            <c:bubble3D val="0"/>
            <c:spPr>
              <a:ln w="31750" cap="rnd">
                <a:solidFill>
                  <a:schemeClr val="accent1">
                    <a:lumMod val="60000"/>
                  </a:schemeClr>
                </a:solidFill>
                <a:round/>
              </a:ln>
              <a:effectLst/>
            </c:spPr>
            <c:extLst>
              <c:ext xmlns:c16="http://schemas.microsoft.com/office/drawing/2014/chart" uri="{C3380CC4-5D6E-409C-BE32-E72D297353CC}">
                <c16:uniqueId val="{00000007-AF44-4703-A70D-C1A8A638632A}"/>
              </c:ext>
            </c:extLst>
          </c:dPt>
          <c:dPt>
            <c:idx val="7"/>
            <c:marker>
              <c:spPr>
                <a:solidFill>
                  <a:schemeClr val="accent2">
                    <a:lumMod val="60000"/>
                  </a:schemeClr>
                </a:solidFill>
                <a:ln>
                  <a:noFill/>
                </a:ln>
                <a:effectLst/>
              </c:spPr>
            </c:marker>
            <c:bubble3D val="0"/>
            <c:spPr>
              <a:ln w="31750" cap="rnd">
                <a:solidFill>
                  <a:schemeClr val="accent2">
                    <a:lumMod val="60000"/>
                  </a:schemeClr>
                </a:solidFill>
                <a:round/>
              </a:ln>
              <a:effectLst/>
            </c:spPr>
            <c:extLst>
              <c:ext xmlns:c16="http://schemas.microsoft.com/office/drawing/2014/chart" uri="{C3380CC4-5D6E-409C-BE32-E72D297353CC}">
                <c16:uniqueId val="{00000008-AF44-4703-A70D-C1A8A638632A}"/>
              </c:ext>
            </c:extLst>
          </c:dPt>
          <c:dPt>
            <c:idx val="8"/>
            <c:marker>
              <c:spPr>
                <a:solidFill>
                  <a:schemeClr val="accent3">
                    <a:lumMod val="60000"/>
                  </a:schemeClr>
                </a:solidFill>
                <a:ln>
                  <a:noFill/>
                </a:ln>
                <a:effectLst/>
              </c:spPr>
            </c:marker>
            <c:bubble3D val="0"/>
            <c:spPr>
              <a:ln w="31750" cap="rnd">
                <a:solidFill>
                  <a:schemeClr val="accent3">
                    <a:lumMod val="60000"/>
                  </a:schemeClr>
                </a:solidFill>
                <a:round/>
              </a:ln>
              <a:effectLst/>
            </c:spPr>
            <c:extLst>
              <c:ext xmlns:c16="http://schemas.microsoft.com/office/drawing/2014/chart" uri="{C3380CC4-5D6E-409C-BE32-E72D297353CC}">
                <c16:uniqueId val="{00000009-AF44-4703-A70D-C1A8A638632A}"/>
              </c:ext>
            </c:extLst>
          </c:dPt>
          <c:dPt>
            <c:idx val="9"/>
            <c:marker>
              <c:spPr>
                <a:solidFill>
                  <a:schemeClr val="accent4">
                    <a:lumMod val="60000"/>
                  </a:schemeClr>
                </a:solidFill>
                <a:ln>
                  <a:noFill/>
                </a:ln>
                <a:effectLst/>
              </c:spPr>
            </c:marker>
            <c:bubble3D val="0"/>
            <c:spPr>
              <a:ln w="31750" cap="rnd">
                <a:solidFill>
                  <a:schemeClr val="accent4">
                    <a:lumMod val="60000"/>
                  </a:schemeClr>
                </a:solidFill>
                <a:round/>
              </a:ln>
              <a:effectLst/>
            </c:spPr>
            <c:extLst>
              <c:ext xmlns:c16="http://schemas.microsoft.com/office/drawing/2014/chart" uri="{C3380CC4-5D6E-409C-BE32-E72D297353CC}">
                <c16:uniqueId val="{0000000A-AF44-4703-A70D-C1A8A638632A}"/>
              </c:ext>
            </c:extLst>
          </c:dPt>
          <c:dPt>
            <c:idx val="10"/>
            <c:marker>
              <c:spPr>
                <a:solidFill>
                  <a:schemeClr val="accent5">
                    <a:lumMod val="60000"/>
                  </a:schemeClr>
                </a:solidFill>
                <a:ln>
                  <a:noFill/>
                </a:ln>
                <a:effectLst/>
              </c:spPr>
            </c:marker>
            <c:bubble3D val="0"/>
            <c:spPr>
              <a:ln w="31750" cap="rnd">
                <a:solidFill>
                  <a:schemeClr val="accent5">
                    <a:lumMod val="60000"/>
                  </a:schemeClr>
                </a:solidFill>
                <a:round/>
              </a:ln>
              <a:effectLst/>
            </c:spPr>
            <c:extLst>
              <c:ext xmlns:c16="http://schemas.microsoft.com/office/drawing/2014/chart" uri="{C3380CC4-5D6E-409C-BE32-E72D297353CC}">
                <c16:uniqueId val="{0000000B-AF44-4703-A70D-C1A8A638632A}"/>
              </c:ext>
            </c:extLst>
          </c:dPt>
          <c:dPt>
            <c:idx val="11"/>
            <c:marker>
              <c:spPr>
                <a:solidFill>
                  <a:schemeClr val="accent6">
                    <a:lumMod val="60000"/>
                  </a:schemeClr>
                </a:solidFill>
                <a:ln>
                  <a:noFill/>
                </a:ln>
                <a:effectLst/>
              </c:spPr>
            </c:marker>
            <c:bubble3D val="0"/>
            <c:spPr>
              <a:ln w="31750" cap="rnd">
                <a:solidFill>
                  <a:schemeClr val="accent6">
                    <a:lumMod val="60000"/>
                  </a:schemeClr>
                </a:solidFill>
                <a:round/>
              </a:ln>
              <a:effectLst/>
            </c:spPr>
            <c:extLst>
              <c:ext xmlns:c16="http://schemas.microsoft.com/office/drawing/2014/chart" uri="{C3380CC4-5D6E-409C-BE32-E72D297353CC}">
                <c16:uniqueId val="{0000000C-AF44-4703-A70D-C1A8A638632A}"/>
              </c:ext>
            </c:extLst>
          </c:dPt>
          <c:dLbls>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ctr"/>
              <c:showLegendKey val="0"/>
              <c:showVal val="1"/>
              <c:showCatName val="0"/>
              <c:showSerName val="0"/>
              <c:showPercent val="0"/>
              <c:showBubbleSize val="0"/>
              <c:extLst>
                <c:ext xmlns:c16="http://schemas.microsoft.com/office/drawing/2014/chart" uri="{C3380CC4-5D6E-409C-BE32-E72D297353CC}">
                  <c16:uniqueId val="{00000001-AF44-4703-A70D-C1A8A638632A}"/>
                </c:ext>
              </c:extLst>
            </c:dLbl>
            <c:dLbl>
              <c:idx val="1"/>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ctr"/>
              <c:showLegendKey val="0"/>
              <c:showVal val="1"/>
              <c:showCatName val="0"/>
              <c:showSerName val="0"/>
              <c:showPercent val="0"/>
              <c:showBubbleSize val="0"/>
              <c:extLst>
                <c:ext xmlns:c16="http://schemas.microsoft.com/office/drawing/2014/chart" uri="{C3380CC4-5D6E-409C-BE32-E72D297353CC}">
                  <c16:uniqueId val="{00000002-AF44-4703-A70D-C1A8A638632A}"/>
                </c:ext>
              </c:extLst>
            </c:dLbl>
            <c:dLbl>
              <c:idx val="2"/>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ctr"/>
              <c:showLegendKey val="0"/>
              <c:showVal val="1"/>
              <c:showCatName val="0"/>
              <c:showSerName val="0"/>
              <c:showPercent val="0"/>
              <c:showBubbleSize val="0"/>
              <c:extLst>
                <c:ext xmlns:c16="http://schemas.microsoft.com/office/drawing/2014/chart" uri="{C3380CC4-5D6E-409C-BE32-E72D297353CC}">
                  <c16:uniqueId val="{00000003-AF44-4703-A70D-C1A8A638632A}"/>
                </c:ext>
              </c:extLst>
            </c:dLbl>
            <c:dLbl>
              <c:idx val="3"/>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ctr"/>
              <c:showLegendKey val="0"/>
              <c:showVal val="1"/>
              <c:showCatName val="0"/>
              <c:showSerName val="0"/>
              <c:showPercent val="0"/>
              <c:showBubbleSize val="0"/>
              <c:extLst>
                <c:ext xmlns:c16="http://schemas.microsoft.com/office/drawing/2014/chart" uri="{C3380CC4-5D6E-409C-BE32-E72D297353CC}">
                  <c16:uniqueId val="{00000004-AF44-4703-A70D-C1A8A638632A}"/>
                </c:ext>
              </c:extLst>
            </c:dLbl>
            <c:dLbl>
              <c:idx val="4"/>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ctr"/>
              <c:showLegendKey val="0"/>
              <c:showVal val="1"/>
              <c:showCatName val="0"/>
              <c:showSerName val="0"/>
              <c:showPercent val="0"/>
              <c:showBubbleSize val="0"/>
              <c:extLst>
                <c:ext xmlns:c16="http://schemas.microsoft.com/office/drawing/2014/chart" uri="{C3380CC4-5D6E-409C-BE32-E72D297353CC}">
                  <c16:uniqueId val="{00000005-AF44-4703-A70D-C1A8A638632A}"/>
                </c:ext>
              </c:extLst>
            </c:dLbl>
            <c:dLbl>
              <c:idx val="5"/>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ctr"/>
              <c:showLegendKey val="0"/>
              <c:showVal val="1"/>
              <c:showCatName val="0"/>
              <c:showSerName val="0"/>
              <c:showPercent val="0"/>
              <c:showBubbleSize val="0"/>
              <c:extLst>
                <c:ext xmlns:c16="http://schemas.microsoft.com/office/drawing/2014/chart" uri="{C3380CC4-5D6E-409C-BE32-E72D297353CC}">
                  <c16:uniqueId val="{00000006-AF44-4703-A70D-C1A8A638632A}"/>
                </c:ext>
              </c:extLst>
            </c:dLbl>
            <c:dLbl>
              <c:idx val="6"/>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ctr"/>
              <c:showLegendKey val="0"/>
              <c:showVal val="1"/>
              <c:showCatName val="0"/>
              <c:showSerName val="0"/>
              <c:showPercent val="0"/>
              <c:showBubbleSize val="0"/>
              <c:extLst>
                <c:ext xmlns:c16="http://schemas.microsoft.com/office/drawing/2014/chart" uri="{C3380CC4-5D6E-409C-BE32-E72D297353CC}">
                  <c16:uniqueId val="{00000007-AF44-4703-A70D-C1A8A638632A}"/>
                </c:ext>
              </c:extLst>
            </c:dLbl>
            <c:dLbl>
              <c:idx val="7"/>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ctr"/>
              <c:showLegendKey val="0"/>
              <c:showVal val="1"/>
              <c:showCatName val="0"/>
              <c:showSerName val="0"/>
              <c:showPercent val="0"/>
              <c:showBubbleSize val="0"/>
              <c:extLst>
                <c:ext xmlns:c16="http://schemas.microsoft.com/office/drawing/2014/chart" uri="{C3380CC4-5D6E-409C-BE32-E72D297353CC}">
                  <c16:uniqueId val="{00000008-AF44-4703-A70D-C1A8A638632A}"/>
                </c:ext>
              </c:extLst>
            </c:dLbl>
            <c:dLbl>
              <c:idx val="8"/>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ctr"/>
              <c:showLegendKey val="0"/>
              <c:showVal val="1"/>
              <c:showCatName val="0"/>
              <c:showSerName val="0"/>
              <c:showPercent val="0"/>
              <c:showBubbleSize val="0"/>
              <c:extLst>
                <c:ext xmlns:c16="http://schemas.microsoft.com/office/drawing/2014/chart" uri="{C3380CC4-5D6E-409C-BE32-E72D297353CC}">
                  <c16:uniqueId val="{00000009-AF44-4703-A70D-C1A8A638632A}"/>
                </c:ext>
              </c:extLst>
            </c:dLbl>
            <c:dLbl>
              <c:idx val="9"/>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ctr"/>
              <c:showLegendKey val="0"/>
              <c:showVal val="1"/>
              <c:showCatName val="0"/>
              <c:showSerName val="0"/>
              <c:showPercent val="0"/>
              <c:showBubbleSize val="0"/>
              <c:extLst>
                <c:ext xmlns:c16="http://schemas.microsoft.com/office/drawing/2014/chart" uri="{C3380CC4-5D6E-409C-BE32-E72D297353CC}">
                  <c16:uniqueId val="{0000000A-AF44-4703-A70D-C1A8A638632A}"/>
                </c:ext>
              </c:extLst>
            </c:dLbl>
            <c:dLbl>
              <c:idx val="1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ctr"/>
              <c:showLegendKey val="0"/>
              <c:showVal val="1"/>
              <c:showCatName val="0"/>
              <c:showSerName val="0"/>
              <c:showPercent val="0"/>
              <c:showBubbleSize val="0"/>
              <c:extLst>
                <c:ext xmlns:c16="http://schemas.microsoft.com/office/drawing/2014/chart" uri="{C3380CC4-5D6E-409C-BE32-E72D297353CC}">
                  <c16:uniqueId val="{0000000B-AF44-4703-A70D-C1A8A638632A}"/>
                </c:ext>
              </c:extLst>
            </c:dLbl>
            <c:dLbl>
              <c:idx val="11"/>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ctr"/>
              <c:showLegendKey val="0"/>
              <c:showVal val="1"/>
              <c:showCatName val="0"/>
              <c:showSerName val="0"/>
              <c:showPercent val="0"/>
              <c:showBubbleSize val="0"/>
              <c:extLst>
                <c:ext xmlns:c16="http://schemas.microsoft.com/office/drawing/2014/chart" uri="{C3380CC4-5D6E-409C-BE32-E72D297353CC}">
                  <c16:uniqueId val="{0000000C-AF44-4703-A70D-C1A8A638632A}"/>
                </c:ext>
              </c:extLst>
            </c:dLbl>
            <c:spPr>
              <a:noFill/>
              <a:ln>
                <a:noFill/>
              </a:ln>
              <a:effectLst/>
            </c:sp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numRef>
              <c:f>[1]ChartData!$Q$2:$Q$13</c:f>
              <c:numCache>
                <c:formatCode>General</c:formatCode>
                <c:ptCount val="12"/>
                <c:pt idx="0">
                  <c:v>1</c:v>
                </c:pt>
                <c:pt idx="1">
                  <c:v>2</c:v>
                </c:pt>
                <c:pt idx="2">
                  <c:v>3</c:v>
                </c:pt>
                <c:pt idx="3">
                  <c:v>4</c:v>
                </c:pt>
                <c:pt idx="4">
                  <c:v>5</c:v>
                </c:pt>
                <c:pt idx="5">
                  <c:v>6</c:v>
                </c:pt>
                <c:pt idx="6">
                  <c:v>7</c:v>
                </c:pt>
                <c:pt idx="7">
                  <c:v>8</c:v>
                </c:pt>
                <c:pt idx="8">
                  <c:v>9</c:v>
                </c:pt>
                <c:pt idx="9">
                  <c:v>10</c:v>
                </c:pt>
                <c:pt idx="10">
                  <c:v>11</c:v>
                </c:pt>
                <c:pt idx="11">
                  <c:v>12</c:v>
                </c:pt>
              </c:numCache>
            </c:numRef>
          </c:cat>
          <c:val>
            <c:numRef>
              <c:f>[1]ChartData!$S$2:$S$13</c:f>
              <c:numCache>
                <c:formatCode>General</c:formatCode>
                <c:ptCount val="12"/>
                <c:pt idx="0">
                  <c:v>9450</c:v>
                </c:pt>
                <c:pt idx="1">
                  <c:v>18144</c:v>
                </c:pt>
                <c:pt idx="2">
                  <c:v>26078</c:v>
                </c:pt>
                <c:pt idx="3">
                  <c:v>33244</c:v>
                </c:pt>
                <c:pt idx="4">
                  <c:v>39638</c:v>
                </c:pt>
                <c:pt idx="5">
                  <c:v>45253</c:v>
                </c:pt>
                <c:pt idx="6">
                  <c:v>50084</c:v>
                </c:pt>
                <c:pt idx="7">
                  <c:v>54125</c:v>
                </c:pt>
                <c:pt idx="8">
                  <c:v>57369</c:v>
                </c:pt>
                <c:pt idx="9">
                  <c:v>59812</c:v>
                </c:pt>
                <c:pt idx="10">
                  <c:v>61446</c:v>
                </c:pt>
                <c:pt idx="11">
                  <c:v>62266</c:v>
                </c:pt>
              </c:numCache>
            </c:numRef>
          </c:val>
          <c:smooth val="1"/>
          <c:extLst>
            <c:ext xmlns:c16="http://schemas.microsoft.com/office/drawing/2014/chart" uri="{C3380CC4-5D6E-409C-BE32-E72D297353CC}">
              <c16:uniqueId val="{00000000-AF44-4703-A70D-C1A8A638632A}"/>
            </c:ext>
          </c:extLst>
        </c:ser>
        <c:dLbls>
          <c:dLblPos val="ctr"/>
          <c:showLegendKey val="0"/>
          <c:showVal val="1"/>
          <c:showCatName val="0"/>
          <c:showSerName val="0"/>
          <c:showPercent val="0"/>
          <c:showBubbleSize val="0"/>
        </c:dLbls>
        <c:marker val="1"/>
        <c:smooth val="0"/>
        <c:axId val="10"/>
        <c:axId val="100"/>
      </c:lineChart>
      <c:catAx>
        <c:axId val="10"/>
        <c:scaling>
          <c:orientation val="minMax"/>
        </c:scaling>
        <c:delete val="0"/>
        <c:axPos val="b"/>
        <c:numFmt formatCode="General" sourceLinked="1"/>
        <c:majorTickMark val="none"/>
        <c:minorTickMark val="none"/>
        <c:tickLblPos val="nextTo"/>
        <c:spPr>
          <a:noFill/>
          <a:ln w="19050" cap="flat" cmpd="sng" algn="ctr">
            <a:solidFill>
              <a:schemeClr val="dk1">
                <a:lumMod val="75000"/>
                <a:lumOff val="25000"/>
              </a:schemeClr>
            </a:solidFill>
            <a:round/>
          </a:ln>
          <a:effectLst/>
        </c:spPr>
        <c:txPr>
          <a:bodyPr rot="-60000000" spcFirstLastPara="1" vertOverflow="ellipsis" vert="horz" wrap="square" anchor="ctr" anchorCtr="1"/>
          <a:lstStyle/>
          <a:p>
            <a:pPr>
              <a:defRPr sz="900" b="0" i="0" u="none" strike="noStrike" kern="1200" cap="all" baseline="0">
                <a:solidFill>
                  <a:schemeClr val="dk1">
                    <a:lumMod val="75000"/>
                    <a:lumOff val="25000"/>
                  </a:schemeClr>
                </a:solidFill>
                <a:latin typeface="+mn-lt"/>
                <a:ea typeface="+mn-ea"/>
                <a:cs typeface="+mn-cs"/>
              </a:defRPr>
            </a:pPr>
            <a:endParaRPr lang="en-US"/>
          </a:p>
        </c:txPr>
        <c:crossAx val="100"/>
        <c:crosses val="autoZero"/>
        <c:auto val="1"/>
        <c:lblAlgn val="ctr"/>
        <c:lblOffset val="100"/>
        <c:noMultiLvlLbl val="1"/>
      </c:catAx>
      <c:valAx>
        <c:axId val="100"/>
        <c:scaling>
          <c:orientation val="minMax"/>
        </c:scaling>
        <c:delete val="1"/>
        <c:axPos val="l"/>
        <c:majorGridlines>
          <c:spPr>
            <a:ln w="9525" cap="flat" cmpd="sng" algn="ctr">
              <a:gradFill>
                <a:gsLst>
                  <a:gs pos="100000">
                    <a:schemeClr val="dk1">
                      <a:lumMod val="95000"/>
                      <a:lumOff val="5000"/>
                      <a:alpha val="42000"/>
                    </a:schemeClr>
                  </a:gs>
                  <a:gs pos="0">
                    <a:schemeClr val="lt1">
                      <a:lumMod val="75000"/>
                      <a:alpha val="36000"/>
                    </a:schemeClr>
                  </a:gs>
                </a:gsLst>
                <a:lin ang="5400000" scaled="0"/>
              </a:gradFill>
              <a:round/>
            </a:ln>
            <a:effectLst/>
          </c:spPr>
        </c:majorGridlines>
        <c:numFmt formatCode="General" sourceLinked="1"/>
        <c:majorTickMark val="none"/>
        <c:minorTickMark val="none"/>
        <c:tickLblPos val="nextTo"/>
        <c:crossAx val="10"/>
        <c:crosses val="autoZero"/>
        <c:crossBetween val="between"/>
      </c:valAx>
      <c:spPr>
        <a:noFill/>
        <a:ln>
          <a:noFill/>
        </a:ln>
        <a:effectLst/>
      </c:spPr>
    </c:plotArea>
    <c:legend>
      <c:legendPos val="b"/>
      <c:overlay val="0"/>
      <c:spPr>
        <a:solidFill>
          <a:schemeClr val="lt1">
            <a:lumMod val="95000"/>
            <a:alpha val="39000"/>
          </a:schemeClr>
        </a:solidFill>
        <a:ln>
          <a:noFill/>
        </a:ln>
        <a:effectLst/>
      </c:spPr>
      <c:txPr>
        <a:bodyPr rot="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legend>
    <c:plotVisOnly val="1"/>
    <c:dispBlanksAs val="gap"/>
    <c:showDLblsOverMax val="1"/>
  </c:chart>
  <c: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[Subhayan_Debtanu.xlsm]PIVOT 1!PivotTable1</c:name>
    <c:fmtId val="11"/>
  </c:pivotSource>
  <c:chart>
    <c:title>
      <c:tx>
        <c:rich>
          <a:bodyPr rot="0" spcFirstLastPara="1" vertOverflow="ellipsis" vert="horz" wrap="square" anchor="ctr" anchorCtr="1"/>
          <a:lstStyle/>
          <a:p>
            <a:pPr>
              <a:defRPr b="0" i="0" u="none" strike="noStrike" kern="1200" baseline="0">
                <a:solidFill>
                  <a:schemeClr val="dk1">
                    <a:lumMod val="65000"/>
                    <a:lumOff val="35000"/>
                  </a:schemeClr>
                </a:solidFill>
                <a:effectLst/>
                <a:latin typeface="+mn-lt"/>
                <a:ea typeface="+mn-ea"/>
                <a:cs typeface="+mn-cs"/>
              </a:defRPr>
            </a:pPr>
            <a:r>
              <a:rPr lang="en-IN"/>
              <a:t>Types</a:t>
            </a:r>
            <a:r>
              <a:rPr lang="en-IN" baseline="0"/>
              <a:t> of Loan</a:t>
            </a:r>
          </a:p>
          <a:p>
            <a:pPr>
              <a:defRPr/>
            </a:pPr>
            <a:endParaRPr lang="en-IN"/>
          </a:p>
        </c:rich>
      </c:tx>
      <c:overlay val="0"/>
      <c:spPr>
        <a:noFill/>
        <a:ln>
          <a:noFill/>
        </a:ln>
        <a:effectLst/>
      </c:spPr>
      <c:txPr>
        <a:bodyPr rot="0" spcFirstLastPara="1" vertOverflow="ellipsis" vert="horz" wrap="square" anchor="ctr" anchorCtr="1"/>
        <a:lstStyle/>
        <a:p>
          <a:pPr>
            <a:defRPr b="0" i="0" u="none" strike="noStrike" kern="1200" baseline="0">
              <a:solidFill>
                <a:schemeClr val="dk1">
                  <a:lumMod val="65000"/>
                  <a:lumOff val="35000"/>
                </a:schemeClr>
              </a:solidFill>
              <a:effectLst/>
              <a:latin typeface="+mn-lt"/>
              <a:ea typeface="+mn-ea"/>
              <a:cs typeface="+mn-cs"/>
            </a:defRPr>
          </a:pPr>
          <a:endParaRPr lang="en-US"/>
        </a:p>
      </c:txPr>
    </c:title>
    <c:autoTitleDeleted val="0"/>
    <c:pivotFmts>
      <c:pivotFmt>
        <c:idx val="0"/>
        <c:spPr>
          <a:gradFill>
            <a:gsLst>
              <a:gs pos="0">
                <a:schemeClr val="accent1"/>
              </a:gs>
              <a:gs pos="100000">
                <a:schemeClr val="accent1">
                  <a:lumMod val="84000"/>
                </a:schemeClr>
              </a:gs>
            </a:gsLst>
            <a:lin ang="5400000" scaled="1"/>
          </a:gradFill>
          <a:ln>
            <a:noFill/>
          </a:ln>
          <a:effectLst>
            <a:outerShdw blurRad="76200" dir="18900000" sy="23000" kx="-1200000" algn="bl" rotWithShape="0">
              <a:prstClr val="black">
                <a:alpha val="20000"/>
              </a:prst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1"/>
        <c:spPr>
          <a:gradFill>
            <a:gsLst>
              <a:gs pos="0">
                <a:schemeClr val="accent1"/>
              </a:gs>
              <a:gs pos="100000">
                <a:schemeClr val="accent1">
                  <a:lumMod val="84000"/>
                </a:schemeClr>
              </a:gs>
            </a:gsLst>
            <a:lin ang="5400000" scaled="1"/>
          </a:gradFill>
          <a:ln>
            <a:noFill/>
          </a:ln>
          <a:effectLst>
            <a:outerShdw blurRad="76200" dir="18900000" sy="23000" kx="-1200000" algn="bl" rotWithShape="0">
              <a:prstClr val="black">
                <a:alpha val="20000"/>
              </a:prst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2"/>
        <c:spPr>
          <a:gradFill>
            <a:gsLst>
              <a:gs pos="0">
                <a:schemeClr val="accent1"/>
              </a:gs>
              <a:gs pos="100000">
                <a:schemeClr val="accent1">
                  <a:lumMod val="84000"/>
                </a:schemeClr>
              </a:gs>
            </a:gsLst>
            <a:lin ang="5400000" scaled="1"/>
          </a:gradFill>
          <a:ln>
            <a:noFill/>
          </a:ln>
          <a:effectLst>
            <a:outerShdw blurRad="76200" dir="18900000" sy="23000" kx="-1200000" algn="bl" rotWithShape="0">
              <a:prstClr val="black">
                <a:alpha val="20000"/>
              </a:prst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'PIVOT 1'!$B$23</c:f>
              <c:strCache>
                <c:ptCount val="1"/>
                <c:pt idx="0">
                  <c:v>Total</c:v>
                </c:pt>
              </c:strCache>
            </c:strRef>
          </c:tx>
          <c:spPr>
            <a:gradFill>
              <a:gsLst>
                <a:gs pos="0">
                  <a:schemeClr val="accent1"/>
                </a:gs>
                <a:gs pos="100000">
                  <a:schemeClr val="accent1">
                    <a:lumMod val="84000"/>
                  </a:schemeClr>
                </a:gs>
              </a:gsLst>
              <a:lin ang="5400000" scaled="1"/>
            </a:gradFill>
            <a:ln>
              <a:noFill/>
            </a:ln>
            <a:effectLst>
              <a:outerShdw blurRad="76200" dir="18900000" sy="23000" kx="-1200000" algn="bl" rotWithShape="0">
                <a:prstClr val="black">
                  <a:alpha val="20000"/>
                </a:prst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strRef>
              <c:f>'PIVOT 1'!$A$24:$A$31</c:f>
              <c:strCache>
                <c:ptCount val="7"/>
                <c:pt idx="0">
                  <c:v>Business loan</c:v>
                </c:pt>
                <c:pt idx="1">
                  <c:v>Car loan</c:v>
                </c:pt>
                <c:pt idx="2">
                  <c:v>Education loan</c:v>
                </c:pt>
                <c:pt idx="3">
                  <c:v>Gold loan</c:v>
                </c:pt>
                <c:pt idx="4">
                  <c:v>Home loan</c:v>
                </c:pt>
                <c:pt idx="5">
                  <c:v>Personal loan</c:v>
                </c:pt>
                <c:pt idx="6">
                  <c:v>Student loan</c:v>
                </c:pt>
              </c:strCache>
            </c:strRef>
          </c:cat>
          <c:val>
            <c:numRef>
              <c:f>'PIVOT 1'!$B$24:$B$31</c:f>
              <c:numCache>
                <c:formatCode>General</c:formatCode>
                <c:ptCount val="7"/>
                <c:pt idx="0">
                  <c:v>6</c:v>
                </c:pt>
                <c:pt idx="1">
                  <c:v>1</c:v>
                </c:pt>
                <c:pt idx="2">
                  <c:v>4</c:v>
                </c:pt>
                <c:pt idx="3">
                  <c:v>5</c:v>
                </c:pt>
                <c:pt idx="4">
                  <c:v>7</c:v>
                </c:pt>
                <c:pt idx="5">
                  <c:v>4</c:v>
                </c:pt>
                <c:pt idx="6">
                  <c:v>1</c:v>
                </c:pt>
              </c:numCache>
            </c:numRef>
          </c:val>
          <c:extLst>
            <c:ext xmlns:c16="http://schemas.microsoft.com/office/drawing/2014/chart" uri="{C3380CC4-5D6E-409C-BE32-E72D297353CC}">
              <c16:uniqueId val="{00000000-51E3-4571-A4C1-FBD63D4B1DFD}"/>
            </c:ext>
          </c:extLst>
        </c:ser>
        <c:dLbls>
          <c:dLblPos val="inEnd"/>
          <c:showLegendKey val="0"/>
          <c:showVal val="1"/>
          <c:showCatName val="0"/>
          <c:showSerName val="0"/>
          <c:showPercent val="0"/>
          <c:showBubbleSize val="0"/>
        </c:dLbls>
        <c:gapWidth val="41"/>
        <c:axId val="198438511"/>
        <c:axId val="198438991"/>
      </c:barChart>
      <c:catAx>
        <c:axId val="198438511"/>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dk1">
                    <a:lumMod val="65000"/>
                    <a:lumOff val="35000"/>
                  </a:schemeClr>
                </a:solidFill>
                <a:effectLst/>
                <a:latin typeface="+mn-lt"/>
                <a:ea typeface="+mn-ea"/>
                <a:cs typeface="+mn-cs"/>
              </a:defRPr>
            </a:pPr>
            <a:endParaRPr lang="en-US"/>
          </a:p>
        </c:txPr>
        <c:crossAx val="198438991"/>
        <c:crosses val="autoZero"/>
        <c:auto val="1"/>
        <c:lblAlgn val="ctr"/>
        <c:lblOffset val="100"/>
        <c:noMultiLvlLbl val="0"/>
      </c:catAx>
      <c:valAx>
        <c:axId val="198438991"/>
        <c:scaling>
          <c:orientation val="minMax"/>
        </c:scaling>
        <c:delete val="1"/>
        <c:axPos val="l"/>
        <c:numFmt formatCode="General" sourceLinked="1"/>
        <c:majorTickMark val="none"/>
        <c:minorTickMark val="none"/>
        <c:tickLblPos val="nextTo"/>
        <c:crossAx val="198438511"/>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dk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lt1"/>
        </a:gs>
        <a:gs pos="68000">
          <a:schemeClr val="lt1">
            <a:lumMod val="85000"/>
          </a:schemeClr>
        </a:gs>
        <a:gs pos="100000">
          <a:schemeClr val="lt1"/>
        </a:gs>
      </a:gsLst>
      <a:lin ang="5400000" scaled="1"/>
      <a:tileRect/>
    </a:gra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[Subhayan_Debtanu.xlsm]PIVOT 1!PivotTable1</c:name>
    <c:fmtId val="16"/>
  </c:pivotSource>
  <c:chart>
    <c:title>
      <c:overlay val="0"/>
      <c:spPr>
        <a:noFill/>
        <a:ln>
          <a:noFill/>
        </a:ln>
        <a:effectLst/>
      </c:spPr>
      <c:txPr>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endParaRPr lang="en-US"/>
        </a:p>
      </c:txPr>
    </c:title>
    <c:autoTitleDeleted val="0"/>
    <c:pivotFmts>
      <c:pivotFmt>
        <c:idx val="0"/>
        <c:spPr>
          <a:solidFill>
            <a:schemeClr val="accent1"/>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1"/>
        <c:spPr>
          <a:solidFill>
            <a:schemeClr val="accent1"/>
          </a:solidFill>
          <a:ln>
            <a:noFill/>
          </a:ln>
          <a:effectLst>
            <a:outerShdw blurRad="254000" sx="102000" sy="102000" algn="ctr" rotWithShape="0">
              <a:prstClr val="black">
                <a:alpha val="20000"/>
              </a:prstClr>
            </a:outerShdw>
          </a:effectLst>
        </c:spPr>
      </c:pivotFmt>
      <c:pivotFmt>
        <c:idx val="2"/>
        <c:spPr>
          <a:solidFill>
            <a:schemeClr val="accent1"/>
          </a:solidFill>
          <a:ln>
            <a:noFill/>
          </a:ln>
          <a:effectLst>
            <a:outerShdw blurRad="254000" sx="102000" sy="102000" algn="ctr" rotWithShape="0">
              <a:prstClr val="black">
                <a:alpha val="20000"/>
              </a:prstClr>
            </a:outerShdw>
          </a:effectLst>
        </c:spPr>
      </c:pivotFmt>
      <c:pivotFmt>
        <c:idx val="3"/>
        <c:spPr>
          <a:solidFill>
            <a:schemeClr val="accent1"/>
          </a:solidFill>
          <a:ln>
            <a:noFill/>
          </a:ln>
          <a:effectLst>
            <a:outerShdw blurRad="254000" sx="102000" sy="102000" algn="ctr" rotWithShape="0">
              <a:prstClr val="black">
                <a:alpha val="20000"/>
              </a:prstClr>
            </a:outerShdw>
          </a:effectLst>
        </c:spPr>
      </c:pivotFmt>
      <c:pivotFmt>
        <c:idx val="4"/>
        <c:spPr>
          <a:solidFill>
            <a:schemeClr val="accent1"/>
          </a:solidFill>
          <a:ln>
            <a:noFill/>
          </a:ln>
          <a:effectLst>
            <a:outerShdw blurRad="254000" sx="102000" sy="102000" algn="ctr" rotWithShape="0">
              <a:prstClr val="black">
                <a:alpha val="20000"/>
              </a:prstClr>
            </a:outerShdw>
          </a:effectLst>
        </c:spPr>
      </c:pivotFmt>
      <c:pivotFmt>
        <c:idx val="5"/>
        <c:spPr>
          <a:solidFill>
            <a:schemeClr val="accent1"/>
          </a:solidFill>
          <a:ln>
            <a:noFill/>
          </a:ln>
          <a:effectLst>
            <a:outerShdw blurRad="254000" sx="102000" sy="102000" algn="ctr" rotWithShape="0">
              <a:prstClr val="black">
                <a:alpha val="20000"/>
              </a:prstClr>
            </a:outerShdw>
          </a:effectLst>
        </c:spPr>
      </c:pivotFmt>
      <c:pivotFmt>
        <c:idx val="6"/>
        <c:spPr>
          <a:solidFill>
            <a:schemeClr val="accent1"/>
          </a:solidFill>
          <a:ln>
            <a:noFill/>
          </a:ln>
          <a:effectLst>
            <a:outerShdw blurRad="254000" sx="102000" sy="102000" algn="ctr" rotWithShape="0">
              <a:prstClr val="black">
                <a:alpha val="20000"/>
              </a:prstClr>
            </a:outerShdw>
          </a:effectLst>
        </c:spPr>
      </c:pivotFmt>
      <c:pivotFmt>
        <c:idx val="7"/>
        <c:spPr>
          <a:solidFill>
            <a:schemeClr val="accent1"/>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8"/>
        <c:spPr>
          <a:solidFill>
            <a:schemeClr val="accent1"/>
          </a:solidFill>
          <a:ln>
            <a:noFill/>
          </a:ln>
          <a:effectLst>
            <a:outerShdw blurRad="254000" sx="102000" sy="102000" algn="ctr" rotWithShape="0">
              <a:prstClr val="black">
                <a:alpha val="20000"/>
              </a:prstClr>
            </a:outerShdw>
          </a:effectLst>
        </c:spPr>
      </c:pivotFmt>
      <c:pivotFmt>
        <c:idx val="9"/>
        <c:spPr>
          <a:solidFill>
            <a:schemeClr val="accent1"/>
          </a:solidFill>
          <a:ln>
            <a:noFill/>
          </a:ln>
          <a:effectLst>
            <a:outerShdw blurRad="254000" sx="102000" sy="102000" algn="ctr" rotWithShape="0">
              <a:prstClr val="black">
                <a:alpha val="20000"/>
              </a:prstClr>
            </a:outerShdw>
          </a:effectLst>
        </c:spPr>
      </c:pivotFmt>
      <c:pivotFmt>
        <c:idx val="10"/>
        <c:spPr>
          <a:solidFill>
            <a:schemeClr val="accent1"/>
          </a:solidFill>
          <a:ln>
            <a:noFill/>
          </a:ln>
          <a:effectLst>
            <a:outerShdw blurRad="254000" sx="102000" sy="102000" algn="ctr" rotWithShape="0">
              <a:prstClr val="black">
                <a:alpha val="20000"/>
              </a:prstClr>
            </a:outerShdw>
          </a:effectLst>
        </c:spPr>
      </c:pivotFmt>
      <c:pivotFmt>
        <c:idx val="11"/>
        <c:spPr>
          <a:solidFill>
            <a:schemeClr val="accent1"/>
          </a:solidFill>
          <a:ln>
            <a:noFill/>
          </a:ln>
          <a:effectLst>
            <a:outerShdw blurRad="254000" sx="102000" sy="102000" algn="ctr" rotWithShape="0">
              <a:prstClr val="black">
                <a:alpha val="20000"/>
              </a:prstClr>
            </a:outerShdw>
          </a:effectLst>
        </c:spPr>
      </c:pivotFmt>
      <c:pivotFmt>
        <c:idx val="12"/>
        <c:spPr>
          <a:solidFill>
            <a:schemeClr val="accent1"/>
          </a:solidFill>
          <a:ln>
            <a:noFill/>
          </a:ln>
          <a:effectLst>
            <a:outerShdw blurRad="254000" sx="102000" sy="102000" algn="ctr" rotWithShape="0">
              <a:prstClr val="black">
                <a:alpha val="20000"/>
              </a:prstClr>
            </a:outerShdw>
          </a:effectLst>
        </c:spPr>
      </c:pivotFmt>
      <c:pivotFmt>
        <c:idx val="13"/>
        <c:spPr>
          <a:solidFill>
            <a:schemeClr val="accent1"/>
          </a:solidFill>
          <a:ln>
            <a:noFill/>
          </a:ln>
          <a:effectLst>
            <a:outerShdw blurRad="254000" sx="102000" sy="102000" algn="ctr" rotWithShape="0">
              <a:prstClr val="black">
                <a:alpha val="20000"/>
              </a:prstClr>
            </a:outerShdw>
          </a:effectLst>
        </c:spPr>
      </c:pivotFmt>
      <c:pivotFmt>
        <c:idx val="14"/>
        <c:spPr>
          <a:solidFill>
            <a:schemeClr val="accent1"/>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15"/>
        <c:spPr>
          <a:solidFill>
            <a:schemeClr val="accent1"/>
          </a:solidFill>
          <a:ln>
            <a:noFill/>
          </a:ln>
          <a:effectLst>
            <a:outerShdw blurRad="254000" sx="102000" sy="102000" algn="ctr" rotWithShape="0">
              <a:prstClr val="black">
                <a:alpha val="20000"/>
              </a:prstClr>
            </a:outerShdw>
          </a:effectLst>
        </c:spPr>
      </c:pivotFmt>
      <c:pivotFmt>
        <c:idx val="16"/>
        <c:spPr>
          <a:solidFill>
            <a:schemeClr val="accent1"/>
          </a:solidFill>
          <a:ln>
            <a:noFill/>
          </a:ln>
          <a:effectLst>
            <a:outerShdw blurRad="254000" sx="102000" sy="102000" algn="ctr" rotWithShape="0">
              <a:prstClr val="black">
                <a:alpha val="20000"/>
              </a:prstClr>
            </a:outerShdw>
          </a:effectLst>
        </c:spPr>
      </c:pivotFmt>
      <c:pivotFmt>
        <c:idx val="17"/>
        <c:spPr>
          <a:solidFill>
            <a:schemeClr val="accent1"/>
          </a:solidFill>
          <a:ln>
            <a:noFill/>
          </a:ln>
          <a:effectLst>
            <a:outerShdw blurRad="254000" sx="102000" sy="102000" algn="ctr" rotWithShape="0">
              <a:prstClr val="black">
                <a:alpha val="20000"/>
              </a:prstClr>
            </a:outerShdw>
          </a:effectLst>
        </c:spPr>
      </c:pivotFmt>
      <c:pivotFmt>
        <c:idx val="18"/>
        <c:spPr>
          <a:solidFill>
            <a:schemeClr val="accent1"/>
          </a:solidFill>
          <a:ln>
            <a:noFill/>
          </a:ln>
          <a:effectLst>
            <a:outerShdw blurRad="254000" sx="102000" sy="102000" algn="ctr" rotWithShape="0">
              <a:prstClr val="black">
                <a:alpha val="20000"/>
              </a:prstClr>
            </a:outerShdw>
          </a:effectLst>
        </c:spPr>
      </c:pivotFmt>
      <c:pivotFmt>
        <c:idx val="19"/>
        <c:spPr>
          <a:solidFill>
            <a:schemeClr val="accent1"/>
          </a:solidFill>
          <a:ln>
            <a:noFill/>
          </a:ln>
          <a:effectLst>
            <a:outerShdw blurRad="254000" sx="102000" sy="102000" algn="ctr" rotWithShape="0">
              <a:prstClr val="black">
                <a:alpha val="20000"/>
              </a:prstClr>
            </a:outerShdw>
          </a:effectLst>
        </c:spPr>
      </c:pivotFmt>
      <c:pivotFmt>
        <c:idx val="20"/>
        <c:spPr>
          <a:solidFill>
            <a:schemeClr val="accent1"/>
          </a:solidFill>
          <a:ln>
            <a:noFill/>
          </a:ln>
          <a:effectLst>
            <a:outerShdw blurRad="254000" sx="102000" sy="102000" algn="ctr" rotWithShape="0">
              <a:prstClr val="black">
                <a:alpha val="20000"/>
              </a:prstClr>
            </a:outerShdw>
          </a:effectLst>
        </c:spPr>
      </c:pivotFmt>
      <c:pivotFmt>
        <c:idx val="21"/>
        <c:spPr>
          <a:solidFill>
            <a:schemeClr val="accent1"/>
          </a:solidFill>
          <a:ln>
            <a:noFill/>
          </a:ln>
          <a:effectLst>
            <a:outerShdw blurRad="254000" sx="102000" sy="102000" algn="ctr" rotWithShape="0">
              <a:prstClr val="black">
                <a:alpha val="20000"/>
              </a:prstClr>
            </a:outerShdw>
          </a:effectLst>
        </c:spPr>
      </c:pivotFmt>
    </c:pivotFmts>
    <c:plotArea>
      <c:layout/>
      <c:pieChart>
        <c:varyColors val="1"/>
        <c:ser>
          <c:idx val="0"/>
          <c:order val="0"/>
          <c:tx>
            <c:strRef>
              <c:f>'PIVOT 1'!$B$23</c:f>
              <c:strCache>
                <c:ptCount val="1"/>
                <c:pt idx="0">
                  <c:v>Total</c:v>
                </c:pt>
              </c:strCache>
            </c:strRef>
          </c:tx>
          <c:dPt>
            <c:idx val="0"/>
            <c:bubble3D val="0"/>
            <c:spPr>
              <a:solidFill>
                <a:schemeClr val="accent1"/>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1-EADC-4BD7-836A-4DB90AEAFEB2}"/>
              </c:ext>
            </c:extLst>
          </c:dPt>
          <c:dPt>
            <c:idx val="1"/>
            <c:bubble3D val="0"/>
            <c:spPr>
              <a:solidFill>
                <a:schemeClr val="accent2"/>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3-EADC-4BD7-836A-4DB90AEAFEB2}"/>
              </c:ext>
            </c:extLst>
          </c:dPt>
          <c:dPt>
            <c:idx val="2"/>
            <c:bubble3D val="0"/>
            <c:spPr>
              <a:solidFill>
                <a:schemeClr val="accent3"/>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5-EADC-4BD7-836A-4DB90AEAFEB2}"/>
              </c:ext>
            </c:extLst>
          </c:dPt>
          <c:dPt>
            <c:idx val="3"/>
            <c:bubble3D val="0"/>
            <c:spPr>
              <a:solidFill>
                <a:schemeClr val="accent4"/>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7-EADC-4BD7-836A-4DB90AEAFEB2}"/>
              </c:ext>
            </c:extLst>
          </c:dPt>
          <c:dPt>
            <c:idx val="4"/>
            <c:bubble3D val="0"/>
            <c:spPr>
              <a:solidFill>
                <a:schemeClr val="accent5"/>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9-EADC-4BD7-836A-4DB90AEAFEB2}"/>
              </c:ext>
            </c:extLst>
          </c:dPt>
          <c:dPt>
            <c:idx val="5"/>
            <c:bubble3D val="0"/>
            <c:spPr>
              <a:solidFill>
                <a:schemeClr val="accent6"/>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B-EADC-4BD7-836A-4DB90AEAFEB2}"/>
              </c:ext>
            </c:extLst>
          </c:dPt>
          <c:dPt>
            <c:idx val="6"/>
            <c:bubble3D val="0"/>
            <c:spPr>
              <a:solidFill>
                <a:schemeClr val="accent1">
                  <a:lumMod val="6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D-4918-4BEA-9878-38EDC51EAB80}"/>
              </c:ext>
            </c:extLst>
          </c:dPt>
          <c:dLbls>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strRef>
              <c:f>'PIVOT 1'!$A$24:$A$31</c:f>
              <c:strCache>
                <c:ptCount val="7"/>
                <c:pt idx="0">
                  <c:v>Business loan</c:v>
                </c:pt>
                <c:pt idx="1">
                  <c:v>Car loan</c:v>
                </c:pt>
                <c:pt idx="2">
                  <c:v>Education loan</c:v>
                </c:pt>
                <c:pt idx="3">
                  <c:v>Gold loan</c:v>
                </c:pt>
                <c:pt idx="4">
                  <c:v>Home loan</c:v>
                </c:pt>
                <c:pt idx="5">
                  <c:v>Personal loan</c:v>
                </c:pt>
                <c:pt idx="6">
                  <c:v>Student loan</c:v>
                </c:pt>
              </c:strCache>
            </c:strRef>
          </c:cat>
          <c:val>
            <c:numRef>
              <c:f>'PIVOT 1'!$B$24:$B$31</c:f>
              <c:numCache>
                <c:formatCode>General</c:formatCode>
                <c:ptCount val="7"/>
                <c:pt idx="0">
                  <c:v>6</c:v>
                </c:pt>
                <c:pt idx="1">
                  <c:v>1</c:v>
                </c:pt>
                <c:pt idx="2">
                  <c:v>4</c:v>
                </c:pt>
                <c:pt idx="3">
                  <c:v>5</c:v>
                </c:pt>
                <c:pt idx="4">
                  <c:v>7</c:v>
                </c:pt>
                <c:pt idx="5">
                  <c:v>4</c:v>
                </c:pt>
                <c:pt idx="6">
                  <c:v>1</c:v>
                </c:pt>
              </c:numCache>
            </c:numRef>
          </c:val>
          <c:extLst>
            <c:ext xmlns:c16="http://schemas.microsoft.com/office/drawing/2014/chart" uri="{C3380CC4-5D6E-409C-BE32-E72D297353CC}">
              <c16:uniqueId val="{0000000C-EADC-4BD7-836A-4DB90AEAFEB2}"/>
            </c:ext>
          </c:extLst>
        </c:ser>
        <c:dLbls>
          <c:dLblPos val="ctr"/>
          <c:showLegendKey val="0"/>
          <c:showVal val="0"/>
          <c:showCatName val="0"/>
          <c:showSerName val="0"/>
          <c:showPercent val="1"/>
          <c:showBubbleSize val="0"/>
          <c:showLeaderLines val="1"/>
        </c:dLbls>
        <c:firstSliceAng val="0"/>
      </c:pieChart>
      <c:spPr>
        <a:noFill/>
        <a:ln>
          <a:noFill/>
        </a:ln>
        <a:effectLst/>
      </c:spPr>
    </c:plotArea>
    <c:legend>
      <c:legendPos val="r"/>
      <c:overlay val="0"/>
      <c:spPr>
        <a:solidFill>
          <a:schemeClr val="lt1">
            <a:lumMod val="95000"/>
            <a:alpha val="39000"/>
          </a:schemeClr>
        </a:solidFill>
        <a:ln>
          <a:noFill/>
        </a:ln>
        <a:effectLst/>
      </c:spPr>
      <c:txPr>
        <a:bodyPr rot="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3"/>
    </mc:Choice>
    <mc:Fallback>
      <c:style val="3"/>
    </mc:Fallback>
  </mc:AlternateContent>
  <c:pivotSource>
    <c:name>[Subhayan_Debtanu.xlsm]pivot 2!PivotTable12</c:name>
    <c:fmtId val="3"/>
  </c:pivotSource>
  <c:chart>
    <c:title>
      <c:tx>
        <c:rich>
          <a:bodyPr rot="0" spcFirstLastPara="1" vertOverflow="ellipsis" vert="horz" wrap="square" anchor="ctr" anchorCtr="1"/>
          <a:lstStyle/>
          <a:p>
            <a:pPr>
              <a:defRPr b="0" i="0" u="none" strike="noStrike" kern="1200" baseline="0">
                <a:solidFill>
                  <a:schemeClr val="dk1">
                    <a:lumMod val="65000"/>
                    <a:lumOff val="35000"/>
                  </a:schemeClr>
                </a:solidFill>
                <a:effectLst/>
                <a:latin typeface="+mn-lt"/>
                <a:ea typeface="+mn-ea"/>
                <a:cs typeface="+mn-cs"/>
              </a:defRPr>
            </a:pPr>
            <a:r>
              <a:rPr lang="en-IN"/>
              <a:t>CIBIL Score Analysis</a:t>
            </a:r>
          </a:p>
        </c:rich>
      </c:tx>
      <c:overlay val="0"/>
      <c:spPr>
        <a:noFill/>
        <a:ln>
          <a:noFill/>
        </a:ln>
        <a:effectLst/>
      </c:spPr>
      <c:txPr>
        <a:bodyPr rot="0" spcFirstLastPara="1" vertOverflow="ellipsis" vert="horz" wrap="square" anchor="ctr" anchorCtr="1"/>
        <a:lstStyle/>
        <a:p>
          <a:pPr>
            <a:defRPr b="0" i="0" u="none" strike="noStrike" kern="1200" baseline="0">
              <a:solidFill>
                <a:schemeClr val="dk1">
                  <a:lumMod val="65000"/>
                  <a:lumOff val="35000"/>
                </a:schemeClr>
              </a:solidFill>
              <a:effectLst/>
              <a:latin typeface="+mn-lt"/>
              <a:ea typeface="+mn-ea"/>
              <a:cs typeface="+mn-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gradFill>
            <a:gsLst>
              <a:gs pos="0">
                <a:schemeClr val="accent1"/>
              </a:gs>
              <a:gs pos="100000">
                <a:schemeClr val="accent1">
                  <a:lumMod val="84000"/>
                </a:schemeClr>
              </a:gs>
            </a:gsLst>
            <a:lin ang="5400000" scaled="1"/>
          </a:gradFill>
          <a:ln>
            <a:noFill/>
          </a:ln>
          <a:effectLst>
            <a:outerShdw blurRad="76200" dir="18900000" sy="23000" kx="-1200000" algn="bl" rotWithShape="0">
              <a:prstClr val="black">
                <a:alpha val="20000"/>
              </a:prst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'pivot 2'!$T$3</c:f>
              <c:strCache>
                <c:ptCount val="1"/>
                <c:pt idx="0">
                  <c:v>Total</c:v>
                </c:pt>
              </c:strCache>
            </c:strRef>
          </c:tx>
          <c:spPr>
            <a:gradFill>
              <a:gsLst>
                <a:gs pos="0">
                  <a:schemeClr val="accent1"/>
                </a:gs>
                <a:gs pos="100000">
                  <a:schemeClr val="accent1">
                    <a:lumMod val="84000"/>
                  </a:schemeClr>
                </a:gs>
              </a:gsLst>
              <a:lin ang="5400000" scaled="1"/>
            </a:gradFill>
            <a:ln>
              <a:noFill/>
            </a:ln>
            <a:effectLst>
              <a:outerShdw blurRad="76200" dir="18900000" sy="23000" kx="-1200000" algn="bl" rotWithShape="0">
                <a:prstClr val="black">
                  <a:alpha val="20000"/>
                </a:prst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strRef>
              <c:f>'pivot 2'!$S$4:$S$11</c:f>
              <c:strCache>
                <c:ptCount val="7"/>
                <c:pt idx="0">
                  <c:v>Business loan</c:v>
                </c:pt>
                <c:pt idx="1">
                  <c:v>Car loan</c:v>
                </c:pt>
                <c:pt idx="2">
                  <c:v>Education loan</c:v>
                </c:pt>
                <c:pt idx="3">
                  <c:v>Gold loan</c:v>
                </c:pt>
                <c:pt idx="4">
                  <c:v>Home loan</c:v>
                </c:pt>
                <c:pt idx="5">
                  <c:v>Personal loan</c:v>
                </c:pt>
                <c:pt idx="6">
                  <c:v>Student loan</c:v>
                </c:pt>
              </c:strCache>
            </c:strRef>
          </c:cat>
          <c:val>
            <c:numRef>
              <c:f>'pivot 2'!$T$4:$T$11</c:f>
              <c:numCache>
                <c:formatCode>General</c:formatCode>
                <c:ptCount val="7"/>
                <c:pt idx="0">
                  <c:v>112706</c:v>
                </c:pt>
                <c:pt idx="1">
                  <c:v>101843</c:v>
                </c:pt>
                <c:pt idx="2">
                  <c:v>96734</c:v>
                </c:pt>
                <c:pt idx="3">
                  <c:v>104552</c:v>
                </c:pt>
                <c:pt idx="4">
                  <c:v>101360</c:v>
                </c:pt>
                <c:pt idx="5">
                  <c:v>115358</c:v>
                </c:pt>
                <c:pt idx="6">
                  <c:v>92586</c:v>
                </c:pt>
              </c:numCache>
            </c:numRef>
          </c:val>
          <c:extLst>
            <c:ext xmlns:c16="http://schemas.microsoft.com/office/drawing/2014/chart" uri="{C3380CC4-5D6E-409C-BE32-E72D297353CC}">
              <c16:uniqueId val="{00000000-C1D6-4F7A-B7C4-BEE48132504C}"/>
            </c:ext>
          </c:extLst>
        </c:ser>
        <c:dLbls>
          <c:dLblPos val="inEnd"/>
          <c:showLegendKey val="0"/>
          <c:showVal val="1"/>
          <c:showCatName val="0"/>
          <c:showSerName val="0"/>
          <c:showPercent val="0"/>
          <c:showBubbleSize val="0"/>
        </c:dLbls>
        <c:gapWidth val="41"/>
        <c:axId val="1038635807"/>
        <c:axId val="1038632927"/>
      </c:barChart>
      <c:catAx>
        <c:axId val="1038635807"/>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dk1">
                    <a:lumMod val="65000"/>
                    <a:lumOff val="35000"/>
                  </a:schemeClr>
                </a:solidFill>
                <a:effectLst/>
                <a:latin typeface="+mn-lt"/>
                <a:ea typeface="+mn-ea"/>
                <a:cs typeface="+mn-cs"/>
              </a:defRPr>
            </a:pPr>
            <a:endParaRPr lang="en-US"/>
          </a:p>
        </c:txPr>
        <c:crossAx val="1038632927"/>
        <c:crosses val="autoZero"/>
        <c:auto val="1"/>
        <c:lblAlgn val="ctr"/>
        <c:lblOffset val="100"/>
        <c:noMultiLvlLbl val="0"/>
      </c:catAx>
      <c:valAx>
        <c:axId val="1038632927"/>
        <c:scaling>
          <c:orientation val="minMax"/>
        </c:scaling>
        <c:delete val="1"/>
        <c:axPos val="l"/>
        <c:numFmt formatCode="General" sourceLinked="1"/>
        <c:majorTickMark val="none"/>
        <c:minorTickMark val="none"/>
        <c:tickLblPos val="nextTo"/>
        <c:crossAx val="1038635807"/>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dk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lt1"/>
        </a:gs>
        <a:gs pos="68000">
          <a:schemeClr val="lt1">
            <a:lumMod val="85000"/>
          </a:schemeClr>
        </a:gs>
        <a:gs pos="100000">
          <a:schemeClr val="lt1"/>
        </a:gs>
      </a:gsLst>
      <a:lin ang="5400000" scaled="1"/>
      <a:tileRect/>
    </a:gra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3"/>
    </mc:Choice>
    <mc:Fallback>
      <c:style val="3"/>
    </mc:Fallback>
  </mc:AlternateContent>
  <c:pivotSource>
    <c:name>[Subhayan_Debtanu.xlsm]pivot 3!PivotTable15</c:name>
    <c:fmtId val="3"/>
  </c:pivotSource>
  <c:chart>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dLbl>
          <c:idx val="0"/>
          <c:showLegendKey val="0"/>
          <c:showVal val="0"/>
          <c:showCatName val="0"/>
          <c:showSerName val="0"/>
          <c:showPercent val="0"/>
          <c:showBubbleSize val="0"/>
          <c:extLst>
            <c:ext xmlns:c15="http://schemas.microsoft.com/office/drawing/2012/chart" uri="{CE6537A1-D6FC-4f65-9D91-7224C49458BB}"/>
          </c:extLst>
        </c:dLbl>
      </c:pivotFmt>
      <c:pivotFmt>
        <c:idx val="4"/>
        <c:spPr>
          <a:pattFill prst="narHorz">
            <a:fgClr>
              <a:schemeClr val="accent1"/>
            </a:fgClr>
            <a:bgClr>
              <a:schemeClr val="accent1">
                <a:lumMod val="20000"/>
                <a:lumOff val="80000"/>
              </a:schemeClr>
            </a:bgClr>
          </a:pattFill>
          <a:ln>
            <a:noFill/>
          </a:ln>
          <a:effectLst>
            <a:innerShdw blurRad="114300">
              <a:schemeClr val="accent1"/>
            </a:inn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pattFill prst="narHorz">
            <a:fgClr>
              <a:schemeClr val="accent1"/>
            </a:fgClr>
            <a:bgClr>
              <a:schemeClr val="accent1">
                <a:lumMod val="20000"/>
                <a:lumOff val="80000"/>
              </a:schemeClr>
            </a:bgClr>
          </a:pattFill>
          <a:ln>
            <a:noFill/>
          </a:ln>
          <a:effectLst>
            <a:innerShdw blurRad="114300">
              <a:schemeClr val="accent1"/>
            </a:inn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'pivot 3'!$B$20</c:f>
              <c:strCache>
                <c:ptCount val="1"/>
                <c:pt idx="0">
                  <c:v>Sum of Opening 
Balance</c:v>
                </c:pt>
              </c:strCache>
            </c:strRef>
          </c:tx>
          <c:spPr>
            <a:pattFill prst="narHorz">
              <a:fgClr>
                <a:schemeClr val="accent1">
                  <a:shade val="76000"/>
                </a:schemeClr>
              </a:fgClr>
              <a:bgClr>
                <a:schemeClr val="accent1">
                  <a:shade val="76000"/>
                  <a:lumMod val="20000"/>
                  <a:lumOff val="80000"/>
                </a:schemeClr>
              </a:bgClr>
            </a:pattFill>
            <a:ln>
              <a:noFill/>
            </a:ln>
            <a:effectLst>
              <a:innerShdw blurRad="114300">
                <a:schemeClr val="accent1">
                  <a:shade val="76000"/>
                </a:schemeClr>
              </a:innerShdw>
            </a:effectLst>
          </c:spPr>
          <c:invertIfNegative val="0"/>
          <c:cat>
            <c:strRef>
              <c:f>'pivot 3'!$A$21:$A$34</c:f>
              <c:strCache>
                <c:ptCount val="13"/>
                <c:pt idx="0">
                  <c:v>1</c:v>
                </c:pt>
                <c:pt idx="1">
                  <c:v>2</c:v>
                </c:pt>
                <c:pt idx="2">
                  <c:v>3</c:v>
                </c:pt>
                <c:pt idx="3">
                  <c:v>4</c:v>
                </c:pt>
                <c:pt idx="4">
                  <c:v>5</c:v>
                </c:pt>
                <c:pt idx="5">
                  <c:v>6</c:v>
                </c:pt>
                <c:pt idx="6">
                  <c:v>7</c:v>
                </c:pt>
                <c:pt idx="7">
                  <c:v>8</c:v>
                </c:pt>
                <c:pt idx="8">
                  <c:v>9</c:v>
                </c:pt>
                <c:pt idx="9">
                  <c:v>10</c:v>
                </c:pt>
                <c:pt idx="10">
                  <c:v>11</c:v>
                </c:pt>
                <c:pt idx="11">
                  <c:v>12</c:v>
                </c:pt>
                <c:pt idx="12">
                  <c:v>(blank)</c:v>
                </c:pt>
              </c:strCache>
            </c:strRef>
          </c:cat>
          <c:val>
            <c:numRef>
              <c:f>'pivot 3'!$B$21:$B$34</c:f>
              <c:numCache>
                <c:formatCode>General</c:formatCode>
                <c:ptCount val="13"/>
                <c:pt idx="0">
                  <c:v>1260000</c:v>
                </c:pt>
                <c:pt idx="1">
                  <c:v>1159261.1392698991</c:v>
                </c:pt>
                <c:pt idx="2">
                  <c:v>1057766.7370843221</c:v>
                </c:pt>
                <c:pt idx="3">
                  <c:v>955511.12688235356</c:v>
                </c:pt>
                <c:pt idx="4">
                  <c:v>852488.59960387019</c:v>
                </c:pt>
                <c:pt idx="5">
                  <c:v>748693.40337079833</c:v>
                </c:pt>
                <c:pt idx="6">
                  <c:v>644119.74316597823</c:v>
                </c:pt>
                <c:pt idx="7">
                  <c:v>538761.78050962207</c:v>
                </c:pt>
                <c:pt idx="8">
                  <c:v>432613.63313334319</c:v>
                </c:pt>
                <c:pt idx="9">
                  <c:v>325669.37465174228</c:v>
                </c:pt>
                <c:pt idx="10">
                  <c:v>217923.03423152934</c:v>
                </c:pt>
                <c:pt idx="11">
                  <c:v>109368.59625816485</c:v>
                </c:pt>
                <c:pt idx="12">
                  <c:v>0</c:v>
                </c:pt>
              </c:numCache>
            </c:numRef>
          </c:val>
          <c:extLst>
            <c:ext xmlns:c16="http://schemas.microsoft.com/office/drawing/2014/chart" uri="{C3380CC4-5D6E-409C-BE32-E72D297353CC}">
              <c16:uniqueId val="{00000000-88E2-40B1-99B8-A57B4C8AA149}"/>
            </c:ext>
          </c:extLst>
        </c:ser>
        <c:ser>
          <c:idx val="1"/>
          <c:order val="1"/>
          <c:tx>
            <c:strRef>
              <c:f>'pivot 3'!$C$20</c:f>
              <c:strCache>
                <c:ptCount val="1"/>
                <c:pt idx="0">
                  <c:v>Sum of Closing 
Balance</c:v>
                </c:pt>
              </c:strCache>
            </c:strRef>
          </c:tx>
          <c:spPr>
            <a:pattFill prst="narHorz">
              <a:fgClr>
                <a:schemeClr val="accent1">
                  <a:tint val="77000"/>
                </a:schemeClr>
              </a:fgClr>
              <a:bgClr>
                <a:schemeClr val="accent1">
                  <a:tint val="77000"/>
                  <a:lumMod val="20000"/>
                  <a:lumOff val="80000"/>
                </a:schemeClr>
              </a:bgClr>
            </a:pattFill>
            <a:ln>
              <a:noFill/>
            </a:ln>
            <a:effectLst>
              <a:innerShdw blurRad="114300">
                <a:schemeClr val="accent1">
                  <a:tint val="77000"/>
                </a:schemeClr>
              </a:innerShdw>
            </a:effectLst>
          </c:spPr>
          <c:invertIfNegative val="0"/>
          <c:cat>
            <c:strRef>
              <c:f>'pivot 3'!$A$21:$A$34</c:f>
              <c:strCache>
                <c:ptCount val="13"/>
                <c:pt idx="0">
                  <c:v>1</c:v>
                </c:pt>
                <c:pt idx="1">
                  <c:v>2</c:v>
                </c:pt>
                <c:pt idx="2">
                  <c:v>3</c:v>
                </c:pt>
                <c:pt idx="3">
                  <c:v>4</c:v>
                </c:pt>
                <c:pt idx="4">
                  <c:v>5</c:v>
                </c:pt>
                <c:pt idx="5">
                  <c:v>6</c:v>
                </c:pt>
                <c:pt idx="6">
                  <c:v>7</c:v>
                </c:pt>
                <c:pt idx="7">
                  <c:v>8</c:v>
                </c:pt>
                <c:pt idx="8">
                  <c:v>9</c:v>
                </c:pt>
                <c:pt idx="9">
                  <c:v>10</c:v>
                </c:pt>
                <c:pt idx="10">
                  <c:v>11</c:v>
                </c:pt>
                <c:pt idx="11">
                  <c:v>12</c:v>
                </c:pt>
                <c:pt idx="12">
                  <c:v>(blank)</c:v>
                </c:pt>
              </c:strCache>
            </c:strRef>
          </c:cat>
          <c:val>
            <c:numRef>
              <c:f>'pivot 3'!$C$21:$C$34</c:f>
              <c:numCache>
                <c:formatCode>General</c:formatCode>
                <c:ptCount val="13"/>
                <c:pt idx="0">
                  <c:v>1159261.1392698991</c:v>
                </c:pt>
                <c:pt idx="1">
                  <c:v>1057766.7370843221</c:v>
                </c:pt>
                <c:pt idx="2">
                  <c:v>955511.12688235356</c:v>
                </c:pt>
                <c:pt idx="3">
                  <c:v>852488.59960387019</c:v>
                </c:pt>
                <c:pt idx="4">
                  <c:v>748693.40337079833</c:v>
                </c:pt>
                <c:pt idx="5">
                  <c:v>644119.74316597823</c:v>
                </c:pt>
                <c:pt idx="6">
                  <c:v>538761.78050962207</c:v>
                </c:pt>
                <c:pt idx="7">
                  <c:v>432613.63313334319</c:v>
                </c:pt>
                <c:pt idx="8">
                  <c:v>325669.37465174228</c:v>
                </c:pt>
                <c:pt idx="9">
                  <c:v>217923.03423152934</c:v>
                </c:pt>
                <c:pt idx="10">
                  <c:v>109368.59625816485</c:v>
                </c:pt>
                <c:pt idx="11">
                  <c:v>0</c:v>
                </c:pt>
                <c:pt idx="12">
                  <c:v>0</c:v>
                </c:pt>
              </c:numCache>
            </c:numRef>
          </c:val>
          <c:extLst>
            <c:ext xmlns:c16="http://schemas.microsoft.com/office/drawing/2014/chart" uri="{C3380CC4-5D6E-409C-BE32-E72D297353CC}">
              <c16:uniqueId val="{00000001-88E2-40B1-99B8-A57B4C8AA149}"/>
            </c:ext>
          </c:extLst>
        </c:ser>
        <c:dLbls>
          <c:showLegendKey val="0"/>
          <c:showVal val="0"/>
          <c:showCatName val="0"/>
          <c:showSerName val="0"/>
          <c:showPercent val="0"/>
          <c:showBubbleSize val="0"/>
        </c:dLbls>
        <c:gapWidth val="164"/>
        <c:overlap val="-22"/>
        <c:axId val="1557673743"/>
        <c:axId val="1557693423"/>
      </c:barChart>
      <c:catAx>
        <c:axId val="1557673743"/>
        <c:scaling>
          <c:orientation val="minMax"/>
        </c:scaling>
        <c:delete val="0"/>
        <c:axPos val="b"/>
        <c:numFmt formatCode="General" sourceLinked="1"/>
        <c:majorTickMark val="none"/>
        <c:minorTickMark val="none"/>
        <c:tickLblPos val="nextTo"/>
        <c:spPr>
          <a:noFill/>
          <a:ln w="19050"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57693423"/>
        <c:crosses val="autoZero"/>
        <c:auto val="1"/>
        <c:lblAlgn val="ctr"/>
        <c:lblOffset val="100"/>
        <c:noMultiLvlLbl val="0"/>
      </c:catAx>
      <c:valAx>
        <c:axId val="1557693423"/>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57673743"/>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[Subhayan_Debtanu.xlsm]pivot 3!PivotTable16</c:name>
    <c:fmtId val="3"/>
  </c:pivotSource>
  <c:chart>
    <c:title>
      <c:tx>
        <c:rich>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r>
              <a:rPr lang="en-IN"/>
              <a:t>Cumulative Interest Growth</a:t>
            </a:r>
            <a:endParaRPr lang="en-US"/>
          </a:p>
        </c:rich>
      </c:tx>
      <c:overlay val="0"/>
      <c:spPr>
        <a:noFill/>
        <a:ln>
          <a:noFill/>
        </a:ln>
        <a:effectLst/>
      </c:spPr>
      <c:txPr>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alpha val="85000"/>
            </a:schemeClr>
          </a:solidFill>
          <a:ln>
            <a:noFill/>
          </a:ln>
          <a:effectLst>
            <a:innerShdw dist="12700" dir="16200000">
              <a:schemeClr val="lt1"/>
            </a:innerShdw>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view3D>
      <c:rotX val="15"/>
      <c:rotY val="20"/>
      <c:depthPercent val="100"/>
      <c:rAngAx val="0"/>
    </c:view3D>
    <c:floor>
      <c:thickness val="0"/>
      <c:spPr>
        <a:solidFill>
          <a:schemeClr val="lt1"/>
        </a:solidFill>
        <a:ln>
          <a:noFill/>
        </a:ln>
        <a:effectLst/>
        <a:sp3d/>
      </c:spPr>
    </c:floor>
    <c:sideWall>
      <c:thickness val="0"/>
      <c:spPr>
        <a:noFill/>
        <a:ln>
          <a:noFill/>
        </a:ln>
        <a:effectLst/>
        <a:sp3d/>
      </c:spPr>
    </c:sideWall>
    <c:backWall>
      <c:thickness val="0"/>
      <c:spPr>
        <a:noFill/>
        <a:ln>
          <a:noFill/>
        </a:ln>
        <a:effectLst/>
        <a:sp3d/>
      </c:spPr>
    </c:backWall>
    <c:plotArea>
      <c:layout>
        <c:manualLayout>
          <c:layoutTarget val="inner"/>
          <c:xMode val="edge"/>
          <c:yMode val="edge"/>
          <c:x val="0.14262339855779946"/>
          <c:y val="0.25273906440439664"/>
          <c:w val="0.75990636474844164"/>
          <c:h val="0.28554152280841366"/>
        </c:manualLayout>
      </c:layout>
      <c:area3DChart>
        <c:grouping val="standard"/>
        <c:varyColors val="0"/>
        <c:ser>
          <c:idx val="0"/>
          <c:order val="0"/>
          <c:tx>
            <c:strRef>
              <c:f>'pivot 3'!$N$2</c:f>
              <c:strCache>
                <c:ptCount val="1"/>
                <c:pt idx="0">
                  <c:v>Total</c:v>
                </c:pt>
              </c:strCache>
            </c:strRef>
          </c:tx>
          <c:spPr>
            <a:solidFill>
              <a:schemeClr val="accent1">
                <a:alpha val="85000"/>
              </a:schemeClr>
            </a:solidFill>
            <a:ln>
              <a:noFill/>
            </a:ln>
            <a:effectLst>
              <a:innerShdw dist="12700" dir="16200000">
                <a:schemeClr val="lt1"/>
              </a:innerShdw>
            </a:effectLst>
            <a:sp3d/>
          </c:spPr>
          <c:cat>
            <c:strRef>
              <c:f>'pivot 3'!$M$3:$M$16</c:f>
              <c:strCache>
                <c:ptCount val="13"/>
                <c:pt idx="0">
                  <c:v>1</c:v>
                </c:pt>
                <c:pt idx="1">
                  <c:v>2</c:v>
                </c:pt>
                <c:pt idx="2">
                  <c:v>3</c:v>
                </c:pt>
                <c:pt idx="3">
                  <c:v>4</c:v>
                </c:pt>
                <c:pt idx="4">
                  <c:v>5</c:v>
                </c:pt>
                <c:pt idx="5">
                  <c:v>6</c:v>
                </c:pt>
                <c:pt idx="6">
                  <c:v>7</c:v>
                </c:pt>
                <c:pt idx="7">
                  <c:v>8</c:v>
                </c:pt>
                <c:pt idx="8">
                  <c:v>9</c:v>
                </c:pt>
                <c:pt idx="9">
                  <c:v>10</c:v>
                </c:pt>
                <c:pt idx="10">
                  <c:v>11</c:v>
                </c:pt>
                <c:pt idx="11">
                  <c:v>12</c:v>
                </c:pt>
                <c:pt idx="12">
                  <c:v>(blank)</c:v>
                </c:pt>
              </c:strCache>
            </c:strRef>
          </c:cat>
          <c:val>
            <c:numRef>
              <c:f>'pivot 3'!$N$3:$N$16</c:f>
              <c:numCache>
                <c:formatCode>General</c:formatCode>
                <c:ptCount val="13"/>
                <c:pt idx="0">
                  <c:v>9450</c:v>
                </c:pt>
                <c:pt idx="1">
                  <c:v>18144.458544524241</c:v>
                </c:pt>
                <c:pt idx="2">
                  <c:v>26077.709072656653</c:v>
                </c:pt>
                <c:pt idx="3">
                  <c:v>33244.042524274308</c:v>
                </c:pt>
                <c:pt idx="4">
                  <c:v>39637.707021303344</c:v>
                </c:pt>
                <c:pt idx="5">
                  <c:v>45252.907546584334</c:v>
                </c:pt>
                <c:pt idx="6">
                  <c:v>50083.805620329178</c:v>
                </c:pt>
                <c:pt idx="7">
                  <c:v>54124.518974151331</c:v>
                </c:pt>
                <c:pt idx="8">
                  <c:v>57369.121222651404</c:v>
                </c:pt>
                <c:pt idx="9">
                  <c:v>59811.641532539477</c:v>
                </c:pt>
                <c:pt idx="10">
                  <c:v>61446.064289275935</c:v>
                </c:pt>
                <c:pt idx="11">
                  <c:v>62266.328761212164</c:v>
                </c:pt>
                <c:pt idx="12">
                  <c:v>14196722.957556427</c:v>
                </c:pt>
              </c:numCache>
            </c:numRef>
          </c:val>
          <c:extLst>
            <c:ext xmlns:c16="http://schemas.microsoft.com/office/drawing/2014/chart" uri="{C3380CC4-5D6E-409C-BE32-E72D297353CC}">
              <c16:uniqueId val="{00000000-22DB-4687-A2F8-927AC2A2C44F}"/>
            </c:ext>
          </c:extLst>
        </c:ser>
        <c:dLbls>
          <c:showLegendKey val="0"/>
          <c:showVal val="0"/>
          <c:showCatName val="0"/>
          <c:showSerName val="0"/>
          <c:showPercent val="0"/>
          <c:showBubbleSize val="0"/>
        </c:dLbls>
        <c:axId val="1381387647"/>
        <c:axId val="1381381887"/>
        <c:axId val="1322598159"/>
      </c:area3DChart>
      <c:catAx>
        <c:axId val="1381387647"/>
        <c:scaling>
          <c:orientation val="minMax"/>
        </c:scaling>
        <c:delete val="0"/>
        <c:axPos val="b"/>
        <c:numFmt formatCode="General" sourceLinked="1"/>
        <c:majorTickMark val="none"/>
        <c:minorTickMark val="none"/>
        <c:tickLblPos val="nextTo"/>
        <c:spPr>
          <a:noFill/>
          <a:ln w="19050" cap="flat" cmpd="sng" algn="ctr">
            <a:solidFill>
              <a:schemeClr val="dk1">
                <a:lumMod val="75000"/>
                <a:lumOff val="25000"/>
              </a:schemeClr>
            </a:solidFill>
            <a:round/>
          </a:ln>
          <a:effectLst/>
        </c:spPr>
        <c:txPr>
          <a:bodyPr rot="-60000000" spcFirstLastPara="1" vertOverflow="ellipsis" vert="horz" wrap="square" anchor="ctr" anchorCtr="1"/>
          <a:lstStyle/>
          <a:p>
            <a:pPr>
              <a:defRPr sz="900" b="0" i="0" u="none" strike="noStrike" kern="1200" cap="all" baseline="0">
                <a:solidFill>
                  <a:schemeClr val="dk1">
                    <a:lumMod val="75000"/>
                    <a:lumOff val="25000"/>
                  </a:schemeClr>
                </a:solidFill>
                <a:latin typeface="+mn-lt"/>
                <a:ea typeface="+mn-ea"/>
                <a:cs typeface="+mn-cs"/>
              </a:defRPr>
            </a:pPr>
            <a:endParaRPr lang="en-US"/>
          </a:p>
        </c:txPr>
        <c:crossAx val="1381381887"/>
        <c:crosses val="autoZero"/>
        <c:auto val="1"/>
        <c:lblAlgn val="ctr"/>
        <c:lblOffset val="100"/>
        <c:noMultiLvlLbl val="0"/>
      </c:catAx>
      <c:valAx>
        <c:axId val="1381381887"/>
        <c:scaling>
          <c:orientation val="minMax"/>
        </c:scaling>
        <c:delete val="0"/>
        <c:axPos val="l"/>
        <c:majorGridlines>
          <c:spPr>
            <a:ln w="6350" cap="flat" cmpd="sng" algn="ctr">
              <a:solidFill>
                <a:schemeClr val="dk1">
                  <a:lumMod val="15000"/>
                  <a:lumOff val="85000"/>
                </a:schemeClr>
              </a:solidFill>
              <a:round/>
            </a:ln>
            <a:effectLst/>
          </c:spPr>
        </c:majorGridlines>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crossAx val="1381387647"/>
        <c:crosses val="autoZero"/>
        <c:crossBetween val="midCat"/>
      </c:valAx>
      <c:serAx>
        <c:axId val="1322598159"/>
        <c:scaling>
          <c:orientation val="minMax"/>
        </c:scaling>
        <c:delete val="0"/>
        <c:axPos val="b"/>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crossAx val="1381381887"/>
        <c:crosses val="autoZero"/>
      </c:serAx>
      <c:dTable>
        <c:showHorzBorder val="1"/>
        <c:showVertBorder val="1"/>
        <c:showOutline val="1"/>
        <c:showKeys val="1"/>
        <c:spPr>
          <a:noFill/>
          <a:ln w="9525">
            <a:solidFill>
              <a:schemeClr val="dk1">
                <a:lumMod val="35000"/>
                <a:lumOff val="65000"/>
              </a:schemeClr>
            </a:solidFill>
          </a:ln>
          <a:effectLst/>
        </c:spPr>
        <c:txPr>
          <a:bodyPr rot="0" spcFirstLastPara="1" vertOverflow="ellipsis" vert="horz" wrap="square" anchor="ctr" anchorCtr="1"/>
          <a:lstStyle/>
          <a:p>
            <a:pPr rtl="0">
              <a:defRPr sz="900" b="0" i="0" u="none" strike="noStrike" kern="1200" baseline="0">
                <a:solidFill>
                  <a:schemeClr val="dk1">
                    <a:lumMod val="75000"/>
                    <a:lumOff val="25000"/>
                  </a:schemeClr>
                </a:solidFill>
                <a:latin typeface="+mn-lt"/>
                <a:ea typeface="+mn-ea"/>
                <a:cs typeface="+mn-cs"/>
              </a:defRPr>
            </a:pPr>
            <a:endParaRPr lang="en-US"/>
          </a:p>
        </c:txPr>
      </c:dTable>
      <c:spPr>
        <a:noFill/>
        <a:ln>
          <a:noFill/>
        </a:ln>
        <a:effectLst/>
      </c:spPr>
    </c:plotArea>
    <c:plotVisOnly val="1"/>
    <c:dispBlanksAs val="zero"/>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3"/>
    </mc:Choice>
    <mc:Fallback>
      <c:style val="3"/>
    </mc:Fallback>
  </mc:AlternateContent>
  <c:chart>
    <c:title>
      <c:tx>
        <c:rich>
          <a:bodyPr rot="0" spcFirstLastPara="1" vertOverflow="ellipsis" vert="horz" wrap="square" anchor="ctr" anchorCtr="1"/>
          <a:lstStyle/>
          <a:p>
            <a:pPr>
              <a:defRPr sz="1800" b="1" i="0" u="none" strike="noStrike" kern="1200" cap="all" spc="150" baseline="0">
                <a:solidFill>
                  <a:schemeClr val="tx1">
                    <a:lumMod val="50000"/>
                    <a:lumOff val="50000"/>
                  </a:schemeClr>
                </a:solidFill>
                <a:latin typeface="+mn-lt"/>
                <a:ea typeface="+mn-ea"/>
                <a:cs typeface="+mn-cs"/>
              </a:defRPr>
            </a:pPr>
            <a:r>
              <a:rPr lang="en-IN"/>
              <a:t>Ratio</a:t>
            </a:r>
          </a:p>
          <a:p>
            <a:pPr>
              <a:defRPr/>
            </a:pPr>
            <a:endParaRPr lang="en-IN"/>
          </a:p>
        </c:rich>
      </c:tx>
      <c:overlay val="0"/>
      <c:spPr>
        <a:noFill/>
        <a:ln>
          <a:noFill/>
        </a:ln>
        <a:effectLst/>
      </c:spPr>
      <c:txPr>
        <a:bodyPr rot="0" spcFirstLastPara="1" vertOverflow="ellipsis" vert="horz" wrap="square" anchor="ctr" anchorCtr="1"/>
        <a:lstStyle/>
        <a:p>
          <a:pPr>
            <a:defRPr sz="1800" b="1" i="0" u="none" strike="noStrike" kern="1200" cap="all" spc="150" baseline="0">
              <a:solidFill>
                <a:schemeClr val="tx1">
                  <a:lumMod val="50000"/>
                  <a:lumOff val="50000"/>
                </a:schemeClr>
              </a:solidFill>
              <a:latin typeface="+mn-lt"/>
              <a:ea typeface="+mn-ea"/>
              <a:cs typeface="+mn-cs"/>
            </a:defRPr>
          </a:pPr>
          <a:endParaRPr lang="en-US"/>
        </a:p>
      </c:txPr>
    </c:title>
    <c:autoTitleDeleted val="0"/>
    <c:plotArea>
      <c:layout/>
      <c:barChart>
        <c:barDir val="col"/>
        <c:grouping val="clustered"/>
        <c:varyColors val="0"/>
        <c:ser>
          <c:idx val="1"/>
          <c:order val="1"/>
          <c:spPr>
            <a:pattFill prst="narHorz">
              <a:fgClr>
                <a:schemeClr val="accent1">
                  <a:tint val="77000"/>
                </a:schemeClr>
              </a:fgClr>
              <a:bgClr>
                <a:schemeClr val="accent1">
                  <a:tint val="77000"/>
                  <a:lumMod val="20000"/>
                  <a:lumOff val="80000"/>
                </a:schemeClr>
              </a:bgClr>
            </a:pattFill>
            <a:ln>
              <a:noFill/>
            </a:ln>
            <a:effectLst>
              <a:innerShdw blurRad="114300">
                <a:schemeClr val="accent1">
                  <a:tint val="77000"/>
                </a:schemeClr>
              </a:innerShdw>
            </a:effectLst>
          </c:spPr>
          <c:invertIfNegative val="0"/>
          <c:cat>
            <c:strRef>
              <c:f>'EMI &amp; Amortization'!$H$4:$H$6</c:f>
              <c:strCache>
                <c:ptCount val="3"/>
                <c:pt idx="0">
                  <c:v>EMI</c:v>
                </c:pt>
                <c:pt idx="1">
                  <c:v>Total Payble</c:v>
                </c:pt>
                <c:pt idx="2">
                  <c:v>Total Interest to pay</c:v>
                </c:pt>
              </c:strCache>
            </c:strRef>
          </c:cat>
          <c:val>
            <c:numRef>
              <c:f>'EMI &amp; Amortization'!$J$4:$J$6</c:f>
              <c:numCache>
                <c:formatCode>"₹"#,##0.00_);[Red]\("₹"#,##0.00\)</c:formatCode>
                <c:ptCount val="3"/>
                <c:pt idx="0">
                  <c:v>27957.848216544564</c:v>
                </c:pt>
                <c:pt idx="1">
                  <c:v>3354941.7859853478</c:v>
                </c:pt>
                <c:pt idx="2">
                  <c:v>1444941.7859853478</c:v>
                </c:pt>
              </c:numCache>
            </c:numRef>
          </c:val>
          <c:extLst>
            <c:ext xmlns:c16="http://schemas.microsoft.com/office/drawing/2014/chart" uri="{C3380CC4-5D6E-409C-BE32-E72D297353CC}">
              <c16:uniqueId val="{00000001-65B7-4D11-AFDC-00FBBFDBDAB3}"/>
            </c:ext>
          </c:extLst>
        </c:ser>
        <c:dLbls>
          <c:showLegendKey val="0"/>
          <c:showVal val="0"/>
          <c:showCatName val="0"/>
          <c:showSerName val="0"/>
          <c:showPercent val="0"/>
          <c:showBubbleSize val="0"/>
        </c:dLbls>
        <c:gapWidth val="164"/>
        <c:overlap val="-22"/>
        <c:axId val="789220047"/>
        <c:axId val="789212847"/>
        <c:extLst>
          <c:ext xmlns:c15="http://schemas.microsoft.com/office/drawing/2012/chart" uri="{02D57815-91ED-43cb-92C2-25804820EDAC}">
            <c15:filteredBarSeries>
              <c15:ser>
                <c:idx val="0"/>
                <c:order val="0"/>
                <c:spPr>
                  <a:pattFill prst="narHorz">
                    <a:fgClr>
                      <a:schemeClr val="accent1">
                        <a:shade val="76000"/>
                      </a:schemeClr>
                    </a:fgClr>
                    <a:bgClr>
                      <a:schemeClr val="accent1">
                        <a:shade val="76000"/>
                        <a:lumMod val="20000"/>
                        <a:lumOff val="80000"/>
                      </a:schemeClr>
                    </a:bgClr>
                  </a:pattFill>
                  <a:ln>
                    <a:noFill/>
                  </a:ln>
                  <a:effectLst>
                    <a:innerShdw blurRad="114300">
                      <a:schemeClr val="accent1">
                        <a:shade val="76000"/>
                      </a:schemeClr>
                    </a:innerShdw>
                  </a:effectLst>
                </c:spPr>
                <c:invertIfNegative val="0"/>
                <c:cat>
                  <c:strRef>
                    <c:extLst>
                      <c:ext uri="{02D57815-91ED-43cb-92C2-25804820EDAC}">
                        <c15:formulaRef>
                          <c15:sqref>'EMI &amp; Amortization'!$H$4:$H$6</c15:sqref>
                        </c15:formulaRef>
                      </c:ext>
                    </c:extLst>
                    <c:strCache>
                      <c:ptCount val="3"/>
                      <c:pt idx="0">
                        <c:v>EMI</c:v>
                      </c:pt>
                      <c:pt idx="1">
                        <c:v>Total Payble</c:v>
                      </c:pt>
                      <c:pt idx="2">
                        <c:v>Total Interest to pay</c:v>
                      </c:pt>
                    </c:strCache>
                  </c:strRef>
                </c:cat>
                <c:val>
                  <c:numRef>
                    <c:extLst>
                      <c:ext uri="{02D57815-91ED-43cb-92C2-25804820EDAC}">
                        <c15:formulaRef>
                          <c15:sqref>'EMI &amp; Amortization'!$I$4:$I$6</c15:sqref>
                        </c15:formulaRef>
                      </c:ext>
                    </c:extLst>
                    <c:numCache>
                      <c:formatCode>General</c:formatCode>
                      <c:ptCount val="3"/>
                    </c:numCache>
                  </c:numRef>
                </c:val>
                <c:extLst>
                  <c:ext xmlns:c16="http://schemas.microsoft.com/office/drawing/2014/chart" uri="{C3380CC4-5D6E-409C-BE32-E72D297353CC}">
                    <c16:uniqueId val="{00000000-65B7-4D11-AFDC-00FBBFDBDAB3}"/>
                  </c:ext>
                </c:extLst>
              </c15:ser>
            </c15:filteredBarSeries>
          </c:ext>
        </c:extLst>
      </c:barChart>
      <c:catAx>
        <c:axId val="789220047"/>
        <c:scaling>
          <c:orientation val="minMax"/>
        </c:scaling>
        <c:delete val="0"/>
        <c:axPos val="b"/>
        <c:numFmt formatCode="General" sourceLinked="1"/>
        <c:majorTickMark val="none"/>
        <c:minorTickMark val="none"/>
        <c:tickLblPos val="nextTo"/>
        <c:spPr>
          <a:noFill/>
          <a:ln w="19050"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89212847"/>
        <c:crosses val="autoZero"/>
        <c:auto val="1"/>
        <c:lblAlgn val="ctr"/>
        <c:lblOffset val="100"/>
        <c:noMultiLvlLbl val="0"/>
      </c:catAx>
      <c:valAx>
        <c:axId val="789212847"/>
        <c:scaling>
          <c:orientation val="minMax"/>
        </c:scaling>
        <c:delete val="0"/>
        <c:axPos val="l"/>
        <c:numFmt formatCode="&quot;₹&quot;#,##0.00_);[Red]\(&quot;₹&quot;#,##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89220047"/>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[Subhayan_Debtanu.xlsm]PIVOT 1!PivotTable2</c:name>
    <c:fmtId val="0"/>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'PIVOT 1'!$B$3:$B$4</c:f>
              <c:strCache>
                <c:ptCount val="1"/>
                <c:pt idx="0">
                  <c:v>active</c:v>
                </c:pt>
              </c:strCache>
            </c:strRef>
          </c:tx>
          <c:spPr>
            <a:solidFill>
              <a:schemeClr val="accent1"/>
            </a:solidFill>
            <a:ln>
              <a:noFill/>
            </a:ln>
            <a:effectLst/>
          </c:spPr>
          <c:invertIfNegative val="0"/>
          <c:cat>
            <c:strRef>
              <c:f>'PIVOT 1'!$A$5:$A$12</c:f>
              <c:strCache>
                <c:ptCount val="7"/>
                <c:pt idx="0">
                  <c:v>Business loan</c:v>
                </c:pt>
                <c:pt idx="1">
                  <c:v>Car loan</c:v>
                </c:pt>
                <c:pt idx="2">
                  <c:v>Education loan</c:v>
                </c:pt>
                <c:pt idx="3">
                  <c:v>Gold loan</c:v>
                </c:pt>
                <c:pt idx="4">
                  <c:v>Home loan</c:v>
                </c:pt>
                <c:pt idx="5">
                  <c:v>Personal loan</c:v>
                </c:pt>
                <c:pt idx="6">
                  <c:v>Student loan</c:v>
                </c:pt>
              </c:strCache>
            </c:strRef>
          </c:cat>
          <c:val>
            <c:numRef>
              <c:f>'PIVOT 1'!$B$5:$B$12</c:f>
              <c:numCache>
                <c:formatCode>General</c:formatCode>
                <c:ptCount val="7"/>
                <c:pt idx="1">
                  <c:v>17758.217916258742</c:v>
                </c:pt>
                <c:pt idx="2">
                  <c:v>20651.351885270593</c:v>
                </c:pt>
                <c:pt idx="3">
                  <c:v>12102.689086911691</c:v>
                </c:pt>
                <c:pt idx="6">
                  <c:v>29204.751403117862</c:v>
                </c:pt>
              </c:numCache>
            </c:numRef>
          </c:val>
          <c:extLst>
            <c:ext xmlns:c16="http://schemas.microsoft.com/office/drawing/2014/chart" uri="{C3380CC4-5D6E-409C-BE32-E72D297353CC}">
              <c16:uniqueId val="{00000000-6B38-4674-835B-260CA66DCE6D}"/>
            </c:ext>
          </c:extLst>
        </c:ser>
        <c:ser>
          <c:idx val="1"/>
          <c:order val="1"/>
          <c:tx>
            <c:strRef>
              <c:f>'PIVOT 1'!$C$3:$C$4</c:f>
              <c:strCache>
                <c:ptCount val="1"/>
                <c:pt idx="0">
                  <c:v>closed</c:v>
                </c:pt>
              </c:strCache>
            </c:strRef>
          </c:tx>
          <c:spPr>
            <a:solidFill>
              <a:schemeClr val="accent2"/>
            </a:solidFill>
            <a:ln>
              <a:noFill/>
            </a:ln>
            <a:effectLst/>
          </c:spPr>
          <c:invertIfNegative val="0"/>
          <c:cat>
            <c:strRef>
              <c:f>'PIVOT 1'!$A$5:$A$12</c:f>
              <c:strCache>
                <c:ptCount val="7"/>
                <c:pt idx="0">
                  <c:v>Business loan</c:v>
                </c:pt>
                <c:pt idx="1">
                  <c:v>Car loan</c:v>
                </c:pt>
                <c:pt idx="2">
                  <c:v>Education loan</c:v>
                </c:pt>
                <c:pt idx="3">
                  <c:v>Gold loan</c:v>
                </c:pt>
                <c:pt idx="4">
                  <c:v>Home loan</c:v>
                </c:pt>
                <c:pt idx="5">
                  <c:v>Personal loan</c:v>
                </c:pt>
                <c:pt idx="6">
                  <c:v>Student loan</c:v>
                </c:pt>
              </c:strCache>
            </c:strRef>
          </c:cat>
          <c:val>
            <c:numRef>
              <c:f>'PIVOT 1'!$C$5:$C$12</c:f>
              <c:numCache>
                <c:formatCode>General</c:formatCode>
                <c:ptCount val="7"/>
                <c:pt idx="0">
                  <c:v>62113.724464265986</c:v>
                </c:pt>
                <c:pt idx="1">
                  <c:v>48636.095900858425</c:v>
                </c:pt>
                <c:pt idx="2">
                  <c:v>16839.046440527647</c:v>
                </c:pt>
                <c:pt idx="3">
                  <c:v>6001.9291510050989</c:v>
                </c:pt>
                <c:pt idx="4">
                  <c:v>153560.08696069676</c:v>
                </c:pt>
                <c:pt idx="5">
                  <c:v>7046.9512548455041</c:v>
                </c:pt>
                <c:pt idx="6">
                  <c:v>6991.6508612717125</c:v>
                </c:pt>
              </c:numCache>
            </c:numRef>
          </c:val>
          <c:extLst>
            <c:ext xmlns:c16="http://schemas.microsoft.com/office/drawing/2014/chart" uri="{C3380CC4-5D6E-409C-BE32-E72D297353CC}">
              <c16:uniqueId val="{00000001-6B38-4674-835B-260CA66DCE6D}"/>
            </c:ext>
          </c:extLst>
        </c:ser>
        <c:ser>
          <c:idx val="2"/>
          <c:order val="2"/>
          <c:tx>
            <c:strRef>
              <c:f>'PIVOT 1'!$D$3:$D$4</c:f>
              <c:strCache>
                <c:ptCount val="1"/>
                <c:pt idx="0">
                  <c:v>defaulted</c:v>
                </c:pt>
              </c:strCache>
            </c:strRef>
          </c:tx>
          <c:spPr>
            <a:solidFill>
              <a:schemeClr val="accent3"/>
            </a:solidFill>
            <a:ln>
              <a:noFill/>
            </a:ln>
            <a:effectLst/>
          </c:spPr>
          <c:invertIfNegative val="0"/>
          <c:cat>
            <c:strRef>
              <c:f>'PIVOT 1'!$A$5:$A$12</c:f>
              <c:strCache>
                <c:ptCount val="7"/>
                <c:pt idx="0">
                  <c:v>Business loan</c:v>
                </c:pt>
                <c:pt idx="1">
                  <c:v>Car loan</c:v>
                </c:pt>
                <c:pt idx="2">
                  <c:v>Education loan</c:v>
                </c:pt>
                <c:pt idx="3">
                  <c:v>Gold loan</c:v>
                </c:pt>
                <c:pt idx="4">
                  <c:v>Home loan</c:v>
                </c:pt>
                <c:pt idx="5">
                  <c:v>Personal loan</c:v>
                </c:pt>
                <c:pt idx="6">
                  <c:v>Student loan</c:v>
                </c:pt>
              </c:strCache>
            </c:strRef>
          </c:cat>
          <c:val>
            <c:numRef>
              <c:f>'PIVOT 1'!$D$5:$D$12</c:f>
              <c:numCache>
                <c:formatCode>General</c:formatCode>
                <c:ptCount val="7"/>
                <c:pt idx="0">
                  <c:v>74789.597383664324</c:v>
                </c:pt>
                <c:pt idx="1">
                  <c:v>12614.607513160639</c:v>
                </c:pt>
                <c:pt idx="4">
                  <c:v>89868.717482406617</c:v>
                </c:pt>
                <c:pt idx="5">
                  <c:v>4773.3959674777834</c:v>
                </c:pt>
              </c:numCache>
            </c:numRef>
          </c:val>
          <c:extLst>
            <c:ext xmlns:c16="http://schemas.microsoft.com/office/drawing/2014/chart" uri="{C3380CC4-5D6E-409C-BE32-E72D297353CC}">
              <c16:uniqueId val="{00000002-6B38-4674-835B-260CA66DCE6D}"/>
            </c:ext>
          </c:extLst>
        </c:ser>
        <c:dLbls>
          <c:showLegendKey val="0"/>
          <c:showVal val="0"/>
          <c:showCatName val="0"/>
          <c:showSerName val="0"/>
          <c:showPercent val="0"/>
          <c:showBubbleSize val="0"/>
        </c:dLbls>
        <c:gapWidth val="219"/>
        <c:overlap val="-27"/>
        <c:axId val="1120552879"/>
        <c:axId val="1120547599"/>
      </c:barChart>
      <c:catAx>
        <c:axId val="112055287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20547599"/>
        <c:crosses val="autoZero"/>
        <c:auto val="1"/>
        <c:lblAlgn val="ctr"/>
        <c:lblOffset val="100"/>
        <c:noMultiLvlLbl val="0"/>
      </c:catAx>
      <c:valAx>
        <c:axId val="1120547599"/>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20552879"/>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[Subhayan_Debtanu.xlsm]PIVOT 1!PivotTable1</c:name>
    <c:fmtId val="0"/>
  </c:pivotSource>
  <c:chart>
    <c:title>
      <c:overlay val="0"/>
      <c:spPr>
        <a:noFill/>
        <a:ln>
          <a:noFill/>
        </a:ln>
        <a:effectLst/>
      </c:spPr>
      <c:txPr>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endParaRPr lang="en-US"/>
        </a:p>
      </c:txPr>
    </c:title>
    <c:autoTitleDeleted val="0"/>
    <c:pivotFmts>
      <c:pivotFmt>
        <c:idx val="0"/>
        <c:spPr>
          <a:solidFill>
            <a:schemeClr val="accent1"/>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1"/>
        <c:spPr>
          <a:solidFill>
            <a:schemeClr val="accent1"/>
          </a:solidFill>
          <a:ln>
            <a:noFill/>
          </a:ln>
          <a:effectLst>
            <a:outerShdw blurRad="254000" sx="102000" sy="102000" algn="ctr" rotWithShape="0">
              <a:prstClr val="black">
                <a:alpha val="20000"/>
              </a:prstClr>
            </a:outerShdw>
          </a:effectLst>
        </c:spPr>
      </c:pivotFmt>
      <c:pivotFmt>
        <c:idx val="2"/>
        <c:spPr>
          <a:solidFill>
            <a:schemeClr val="accent1"/>
          </a:solidFill>
          <a:ln>
            <a:noFill/>
          </a:ln>
          <a:effectLst>
            <a:outerShdw blurRad="254000" sx="102000" sy="102000" algn="ctr" rotWithShape="0">
              <a:prstClr val="black">
                <a:alpha val="20000"/>
              </a:prstClr>
            </a:outerShdw>
          </a:effectLst>
        </c:spPr>
      </c:pivotFmt>
      <c:pivotFmt>
        <c:idx val="3"/>
        <c:spPr>
          <a:solidFill>
            <a:schemeClr val="accent1"/>
          </a:solidFill>
          <a:ln>
            <a:noFill/>
          </a:ln>
          <a:effectLst>
            <a:outerShdw blurRad="254000" sx="102000" sy="102000" algn="ctr" rotWithShape="0">
              <a:prstClr val="black">
                <a:alpha val="20000"/>
              </a:prstClr>
            </a:outerShdw>
          </a:effectLst>
        </c:spPr>
      </c:pivotFmt>
      <c:pivotFmt>
        <c:idx val="4"/>
        <c:spPr>
          <a:solidFill>
            <a:schemeClr val="accent1"/>
          </a:solidFill>
          <a:ln>
            <a:noFill/>
          </a:ln>
          <a:effectLst>
            <a:outerShdw blurRad="254000" sx="102000" sy="102000" algn="ctr" rotWithShape="0">
              <a:prstClr val="black">
                <a:alpha val="20000"/>
              </a:prstClr>
            </a:outerShdw>
          </a:effectLst>
        </c:spPr>
      </c:pivotFmt>
      <c:pivotFmt>
        <c:idx val="5"/>
        <c:spPr>
          <a:solidFill>
            <a:schemeClr val="accent1"/>
          </a:solidFill>
          <a:ln>
            <a:noFill/>
          </a:ln>
          <a:effectLst>
            <a:outerShdw blurRad="254000" sx="102000" sy="102000" algn="ctr" rotWithShape="0">
              <a:prstClr val="black">
                <a:alpha val="20000"/>
              </a:prstClr>
            </a:outerShdw>
          </a:effectLst>
        </c:spPr>
      </c:pivotFmt>
      <c:pivotFmt>
        <c:idx val="6"/>
        <c:spPr>
          <a:solidFill>
            <a:schemeClr val="accent1"/>
          </a:solidFill>
          <a:ln>
            <a:noFill/>
          </a:ln>
          <a:effectLst>
            <a:outerShdw blurRad="254000" sx="102000" sy="102000" algn="ctr" rotWithShape="0">
              <a:prstClr val="black">
                <a:alpha val="20000"/>
              </a:prstClr>
            </a:outerShdw>
          </a:effectLst>
        </c:spPr>
      </c:pivotFmt>
      <c:pivotFmt>
        <c:idx val="7"/>
        <c:spPr>
          <a:solidFill>
            <a:schemeClr val="accent1"/>
          </a:solidFill>
          <a:ln>
            <a:noFill/>
          </a:ln>
          <a:effectLst>
            <a:outerShdw blurRad="254000" sx="102000" sy="102000" algn="ctr" rotWithShape="0">
              <a:prstClr val="black">
                <a:alpha val="20000"/>
              </a:prstClr>
            </a:outerShdw>
          </a:effectLst>
        </c:spPr>
      </c:pivotFmt>
    </c:pivotFmts>
    <c:plotArea>
      <c:layout/>
      <c:pieChart>
        <c:varyColors val="1"/>
        <c:ser>
          <c:idx val="0"/>
          <c:order val="0"/>
          <c:tx>
            <c:strRef>
              <c:f>'PIVOT 1'!$B$23</c:f>
              <c:strCache>
                <c:ptCount val="1"/>
                <c:pt idx="0">
                  <c:v>Total</c:v>
                </c:pt>
              </c:strCache>
            </c:strRef>
          </c:tx>
          <c:dPt>
            <c:idx val="0"/>
            <c:bubble3D val="0"/>
            <c:spPr>
              <a:solidFill>
                <a:schemeClr val="accent1"/>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1-7630-494C-8F50-FF83C35A1F85}"/>
              </c:ext>
            </c:extLst>
          </c:dPt>
          <c:dPt>
            <c:idx val="1"/>
            <c:bubble3D val="0"/>
            <c:spPr>
              <a:solidFill>
                <a:schemeClr val="accent2"/>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3-7630-494C-8F50-FF83C35A1F85}"/>
              </c:ext>
            </c:extLst>
          </c:dPt>
          <c:dPt>
            <c:idx val="2"/>
            <c:bubble3D val="0"/>
            <c:spPr>
              <a:solidFill>
                <a:schemeClr val="accent3"/>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5-7630-494C-8F50-FF83C35A1F85}"/>
              </c:ext>
            </c:extLst>
          </c:dPt>
          <c:dPt>
            <c:idx val="3"/>
            <c:bubble3D val="0"/>
            <c:spPr>
              <a:solidFill>
                <a:schemeClr val="accent4"/>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7-7630-494C-8F50-FF83C35A1F85}"/>
              </c:ext>
            </c:extLst>
          </c:dPt>
          <c:dPt>
            <c:idx val="4"/>
            <c:bubble3D val="0"/>
            <c:spPr>
              <a:solidFill>
                <a:schemeClr val="accent5"/>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9-7630-494C-8F50-FF83C35A1F85}"/>
              </c:ext>
            </c:extLst>
          </c:dPt>
          <c:dPt>
            <c:idx val="5"/>
            <c:bubble3D val="0"/>
            <c:spPr>
              <a:solidFill>
                <a:schemeClr val="accent6"/>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B-7630-494C-8F50-FF83C35A1F85}"/>
              </c:ext>
            </c:extLst>
          </c:dPt>
          <c:dPt>
            <c:idx val="6"/>
            <c:bubble3D val="0"/>
            <c:spPr>
              <a:solidFill>
                <a:schemeClr val="accent1">
                  <a:lumMod val="6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D-A78B-45CF-B30B-1E0C1DCADC95}"/>
              </c:ext>
            </c:extLst>
          </c:dPt>
          <c:dLbls>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strRef>
              <c:f>'PIVOT 1'!$A$24:$A$31</c:f>
              <c:strCache>
                <c:ptCount val="7"/>
                <c:pt idx="0">
                  <c:v>Business loan</c:v>
                </c:pt>
                <c:pt idx="1">
                  <c:v>Car loan</c:v>
                </c:pt>
                <c:pt idx="2">
                  <c:v>Education loan</c:v>
                </c:pt>
                <c:pt idx="3">
                  <c:v>Gold loan</c:v>
                </c:pt>
                <c:pt idx="4">
                  <c:v>Home loan</c:v>
                </c:pt>
                <c:pt idx="5">
                  <c:v>Personal loan</c:v>
                </c:pt>
                <c:pt idx="6">
                  <c:v>Student loan</c:v>
                </c:pt>
              </c:strCache>
            </c:strRef>
          </c:cat>
          <c:val>
            <c:numRef>
              <c:f>'PIVOT 1'!$B$24:$B$31</c:f>
              <c:numCache>
                <c:formatCode>General</c:formatCode>
                <c:ptCount val="7"/>
                <c:pt idx="0">
                  <c:v>6</c:v>
                </c:pt>
                <c:pt idx="1">
                  <c:v>1</c:v>
                </c:pt>
                <c:pt idx="2">
                  <c:v>4</c:v>
                </c:pt>
                <c:pt idx="3">
                  <c:v>5</c:v>
                </c:pt>
                <c:pt idx="4">
                  <c:v>7</c:v>
                </c:pt>
                <c:pt idx="5">
                  <c:v>4</c:v>
                </c:pt>
                <c:pt idx="6">
                  <c:v>1</c:v>
                </c:pt>
              </c:numCache>
            </c:numRef>
          </c:val>
          <c:extLst>
            <c:ext xmlns:c16="http://schemas.microsoft.com/office/drawing/2014/chart" uri="{C3380CC4-5D6E-409C-BE32-E72D297353CC}">
              <c16:uniqueId val="{00000000-44C6-4E11-84C0-571AEBA32C8B}"/>
            </c:ext>
          </c:extLst>
        </c:ser>
        <c:dLbls>
          <c:dLblPos val="ctr"/>
          <c:showLegendKey val="0"/>
          <c:showVal val="0"/>
          <c:showCatName val="0"/>
          <c:showSerName val="0"/>
          <c:showPercent val="1"/>
          <c:showBubbleSize val="0"/>
          <c:showLeaderLines val="1"/>
        </c:dLbls>
        <c:firstSliceAng val="0"/>
      </c:pieChart>
      <c:spPr>
        <a:noFill/>
        <a:ln>
          <a:noFill/>
        </a:ln>
        <a:effectLst/>
      </c:spPr>
    </c:plotArea>
    <c:legend>
      <c:legendPos val="r"/>
      <c:overlay val="0"/>
      <c:spPr>
        <a:solidFill>
          <a:schemeClr val="lt1">
            <a:lumMod val="95000"/>
            <a:alpha val="39000"/>
          </a:schemeClr>
        </a:solidFill>
        <a:ln>
          <a:noFill/>
        </a:ln>
        <a:effectLst/>
      </c:spPr>
      <c:txPr>
        <a:bodyPr rot="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[Subhayan_Debtanu.xlsm]PIVOT 1!PivotTable1</c:name>
    <c:fmtId val="6"/>
  </c:pivotSource>
  <c:chart>
    <c:title>
      <c:tx>
        <c:rich>
          <a:bodyPr rot="0" spcFirstLastPara="1" vertOverflow="ellipsis" vert="horz" wrap="square" anchor="ctr" anchorCtr="1"/>
          <a:lstStyle/>
          <a:p>
            <a:pPr>
              <a:defRPr b="0" i="0" u="none" strike="noStrike" kern="1200" baseline="0">
                <a:solidFill>
                  <a:schemeClr val="dk1">
                    <a:lumMod val="65000"/>
                    <a:lumOff val="35000"/>
                  </a:schemeClr>
                </a:solidFill>
                <a:effectLst/>
                <a:latin typeface="+mn-lt"/>
                <a:ea typeface="+mn-ea"/>
                <a:cs typeface="+mn-cs"/>
              </a:defRPr>
            </a:pPr>
            <a:r>
              <a:rPr lang="en-IN"/>
              <a:t>Types</a:t>
            </a:r>
            <a:r>
              <a:rPr lang="en-IN" baseline="0"/>
              <a:t> of Loan</a:t>
            </a:r>
          </a:p>
          <a:p>
            <a:pPr>
              <a:defRPr/>
            </a:pPr>
            <a:endParaRPr lang="en-IN"/>
          </a:p>
        </c:rich>
      </c:tx>
      <c:overlay val="0"/>
      <c:spPr>
        <a:noFill/>
        <a:ln>
          <a:noFill/>
        </a:ln>
        <a:effectLst/>
      </c:spPr>
      <c:txPr>
        <a:bodyPr rot="0" spcFirstLastPara="1" vertOverflow="ellipsis" vert="horz" wrap="square" anchor="ctr" anchorCtr="1"/>
        <a:lstStyle/>
        <a:p>
          <a:pPr>
            <a:defRPr b="0" i="0" u="none" strike="noStrike" kern="1200" baseline="0">
              <a:solidFill>
                <a:schemeClr val="dk1">
                  <a:lumMod val="65000"/>
                  <a:lumOff val="35000"/>
                </a:schemeClr>
              </a:solidFill>
              <a:effectLst/>
              <a:latin typeface="+mn-lt"/>
              <a:ea typeface="+mn-ea"/>
              <a:cs typeface="+mn-cs"/>
            </a:defRPr>
          </a:pPr>
          <a:endParaRPr lang="en-US"/>
        </a:p>
      </c:txPr>
    </c:title>
    <c:autoTitleDeleted val="0"/>
    <c:pivotFmts>
      <c:pivotFmt>
        <c:idx val="0"/>
        <c:spPr>
          <a:gradFill>
            <a:gsLst>
              <a:gs pos="0">
                <a:schemeClr val="accent1"/>
              </a:gs>
              <a:gs pos="100000">
                <a:schemeClr val="accent1">
                  <a:lumMod val="84000"/>
                </a:schemeClr>
              </a:gs>
            </a:gsLst>
            <a:lin ang="5400000" scaled="1"/>
          </a:gradFill>
          <a:ln>
            <a:noFill/>
          </a:ln>
          <a:effectLst>
            <a:outerShdw blurRad="76200" dir="18900000" sy="23000" kx="-1200000" algn="bl" rotWithShape="0">
              <a:prstClr val="black">
                <a:alpha val="20000"/>
              </a:prst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'PIVOT 1'!$B$23</c:f>
              <c:strCache>
                <c:ptCount val="1"/>
                <c:pt idx="0">
                  <c:v>Total</c:v>
                </c:pt>
              </c:strCache>
            </c:strRef>
          </c:tx>
          <c:spPr>
            <a:gradFill>
              <a:gsLst>
                <a:gs pos="0">
                  <a:schemeClr val="accent1"/>
                </a:gs>
                <a:gs pos="100000">
                  <a:schemeClr val="accent1">
                    <a:lumMod val="84000"/>
                  </a:schemeClr>
                </a:gs>
              </a:gsLst>
              <a:lin ang="5400000" scaled="1"/>
            </a:gradFill>
            <a:ln>
              <a:noFill/>
            </a:ln>
            <a:effectLst>
              <a:outerShdw blurRad="76200" dir="18900000" sy="23000" kx="-1200000" algn="bl" rotWithShape="0">
                <a:prstClr val="black">
                  <a:alpha val="20000"/>
                </a:prst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strRef>
              <c:f>'PIVOT 1'!$A$24:$A$31</c:f>
              <c:strCache>
                <c:ptCount val="7"/>
                <c:pt idx="0">
                  <c:v>Business loan</c:v>
                </c:pt>
                <c:pt idx="1">
                  <c:v>Car loan</c:v>
                </c:pt>
                <c:pt idx="2">
                  <c:v>Education loan</c:v>
                </c:pt>
                <c:pt idx="3">
                  <c:v>Gold loan</c:v>
                </c:pt>
                <c:pt idx="4">
                  <c:v>Home loan</c:v>
                </c:pt>
                <c:pt idx="5">
                  <c:v>Personal loan</c:v>
                </c:pt>
                <c:pt idx="6">
                  <c:v>Student loan</c:v>
                </c:pt>
              </c:strCache>
            </c:strRef>
          </c:cat>
          <c:val>
            <c:numRef>
              <c:f>'PIVOT 1'!$B$24:$B$31</c:f>
              <c:numCache>
                <c:formatCode>General</c:formatCode>
                <c:ptCount val="7"/>
                <c:pt idx="0">
                  <c:v>6</c:v>
                </c:pt>
                <c:pt idx="1">
                  <c:v>1</c:v>
                </c:pt>
                <c:pt idx="2">
                  <c:v>4</c:v>
                </c:pt>
                <c:pt idx="3">
                  <c:v>5</c:v>
                </c:pt>
                <c:pt idx="4">
                  <c:v>7</c:v>
                </c:pt>
                <c:pt idx="5">
                  <c:v>4</c:v>
                </c:pt>
                <c:pt idx="6">
                  <c:v>1</c:v>
                </c:pt>
              </c:numCache>
            </c:numRef>
          </c:val>
          <c:extLst>
            <c:ext xmlns:c16="http://schemas.microsoft.com/office/drawing/2014/chart" uri="{C3380CC4-5D6E-409C-BE32-E72D297353CC}">
              <c16:uniqueId val="{00000000-8DE3-409B-9A9A-D5DCFEFE769E}"/>
            </c:ext>
          </c:extLst>
        </c:ser>
        <c:dLbls>
          <c:dLblPos val="inEnd"/>
          <c:showLegendKey val="0"/>
          <c:showVal val="1"/>
          <c:showCatName val="0"/>
          <c:showSerName val="0"/>
          <c:showPercent val="0"/>
          <c:showBubbleSize val="0"/>
        </c:dLbls>
        <c:gapWidth val="41"/>
        <c:axId val="198438511"/>
        <c:axId val="198438991"/>
      </c:barChart>
      <c:catAx>
        <c:axId val="198438511"/>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dk1">
                    <a:lumMod val="65000"/>
                    <a:lumOff val="35000"/>
                  </a:schemeClr>
                </a:solidFill>
                <a:effectLst/>
                <a:latin typeface="+mn-lt"/>
                <a:ea typeface="+mn-ea"/>
                <a:cs typeface="+mn-cs"/>
              </a:defRPr>
            </a:pPr>
            <a:endParaRPr lang="en-US"/>
          </a:p>
        </c:txPr>
        <c:crossAx val="198438991"/>
        <c:crosses val="autoZero"/>
        <c:auto val="1"/>
        <c:lblAlgn val="ctr"/>
        <c:lblOffset val="100"/>
        <c:noMultiLvlLbl val="0"/>
      </c:catAx>
      <c:valAx>
        <c:axId val="198438991"/>
        <c:scaling>
          <c:orientation val="minMax"/>
        </c:scaling>
        <c:delete val="1"/>
        <c:axPos val="l"/>
        <c:numFmt formatCode="General" sourceLinked="1"/>
        <c:majorTickMark val="none"/>
        <c:minorTickMark val="none"/>
        <c:tickLblPos val="nextTo"/>
        <c:crossAx val="198438511"/>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dk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lt1"/>
        </a:gs>
        <a:gs pos="68000">
          <a:schemeClr val="lt1">
            <a:lumMod val="85000"/>
          </a:schemeClr>
        </a:gs>
        <a:gs pos="100000">
          <a:schemeClr val="lt1"/>
        </a:gs>
      </a:gsLst>
      <a:lin ang="5400000" scaled="1"/>
      <a:tileRect/>
    </a:gra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[Subhayan_Debtanu.xlsm]pivot 2!PivotTable9</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sz="1400" b="0" i="0" u="none" strike="noStrike" baseline="0"/>
              <a:t>Loan Type vs Total Loan Amount</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'pivot 2'!$B$4</c:f>
              <c:strCache>
                <c:ptCount val="1"/>
                <c:pt idx="0">
                  <c:v>Total</c:v>
                </c:pt>
              </c:strCache>
            </c:strRef>
          </c:tx>
          <c:spPr>
            <a:solidFill>
              <a:schemeClr val="accent1"/>
            </a:solidFill>
            <a:ln>
              <a:noFill/>
            </a:ln>
            <a:effectLst/>
          </c:spPr>
          <c:invertIfNegative val="0"/>
          <c:cat>
            <c:strRef>
              <c:f>'pivot 2'!$A$5:$A$12</c:f>
              <c:strCache>
                <c:ptCount val="7"/>
                <c:pt idx="0">
                  <c:v>Business loan</c:v>
                </c:pt>
                <c:pt idx="1">
                  <c:v>Car loan</c:v>
                </c:pt>
                <c:pt idx="2">
                  <c:v>Education loan</c:v>
                </c:pt>
                <c:pt idx="3">
                  <c:v>Gold loan</c:v>
                </c:pt>
                <c:pt idx="4">
                  <c:v>Home loan</c:v>
                </c:pt>
                <c:pt idx="5">
                  <c:v>Personal loan</c:v>
                </c:pt>
                <c:pt idx="6">
                  <c:v>Student loan</c:v>
                </c:pt>
              </c:strCache>
            </c:strRef>
          </c:cat>
          <c:val>
            <c:numRef>
              <c:f>'pivot 2'!$B$5:$B$12</c:f>
              <c:numCache>
                <c:formatCode>General</c:formatCode>
                <c:ptCount val="7"/>
                <c:pt idx="0">
                  <c:v>423820000</c:v>
                </c:pt>
                <c:pt idx="1">
                  <c:v>135950000</c:v>
                </c:pt>
                <c:pt idx="2">
                  <c:v>147150000</c:v>
                </c:pt>
                <c:pt idx="3">
                  <c:v>40350000</c:v>
                </c:pt>
                <c:pt idx="4">
                  <c:v>780240000</c:v>
                </c:pt>
                <c:pt idx="5">
                  <c:v>84650000</c:v>
                </c:pt>
                <c:pt idx="6">
                  <c:v>136060000</c:v>
                </c:pt>
              </c:numCache>
            </c:numRef>
          </c:val>
          <c:extLst>
            <c:ext xmlns:c16="http://schemas.microsoft.com/office/drawing/2014/chart" uri="{C3380CC4-5D6E-409C-BE32-E72D297353CC}">
              <c16:uniqueId val="{00000000-0751-4CC5-BF2F-DD45AA3645F8}"/>
            </c:ext>
          </c:extLst>
        </c:ser>
        <c:dLbls>
          <c:showLegendKey val="0"/>
          <c:showVal val="0"/>
          <c:showCatName val="0"/>
          <c:showSerName val="0"/>
          <c:showPercent val="0"/>
          <c:showBubbleSize val="0"/>
        </c:dLbls>
        <c:gapWidth val="219"/>
        <c:overlap val="-27"/>
        <c:axId val="1557674223"/>
        <c:axId val="1557676623"/>
      </c:barChart>
      <c:catAx>
        <c:axId val="1557674223"/>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57676623"/>
        <c:crosses val="autoZero"/>
        <c:auto val="1"/>
        <c:lblAlgn val="ctr"/>
        <c:lblOffset val="100"/>
        <c:noMultiLvlLbl val="0"/>
      </c:catAx>
      <c:valAx>
        <c:axId val="1557676623"/>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57674223"/>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[Subhayan_Debtanu.xlsm]pivot 2!PivotTable10</c:name>
    <c:fmtId val="0"/>
  </c:pivotSource>
  <c:chart>
    <c:title>
      <c:tx>
        <c:rich>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r>
              <a:rPr lang="en-IN"/>
              <a:t>Loan Status Distribution</a:t>
            </a:r>
          </a:p>
        </c:rich>
      </c:tx>
      <c:overlay val="0"/>
      <c:spPr>
        <a:noFill/>
        <a:ln>
          <a:noFill/>
        </a:ln>
        <a:effectLst/>
      </c:spPr>
      <c:txPr>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endParaRPr lang="en-US"/>
        </a:p>
      </c:txPr>
    </c:title>
    <c:autoTitleDeleted val="0"/>
    <c:pivotFmts>
      <c:pivotFmt>
        <c:idx val="0"/>
        <c:spPr>
          <a:solidFill>
            <a:schemeClr val="accent1"/>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1"/>
        <c:spPr>
          <a:solidFill>
            <a:schemeClr val="accent1"/>
          </a:solidFill>
          <a:ln>
            <a:noFill/>
          </a:ln>
          <a:effectLst>
            <a:outerShdw blurRad="254000" sx="102000" sy="102000" algn="ctr" rotWithShape="0">
              <a:prstClr val="black">
                <a:alpha val="20000"/>
              </a:prstClr>
            </a:outerShdw>
          </a:effectLst>
        </c:spPr>
      </c:pivotFmt>
      <c:pivotFmt>
        <c:idx val="2"/>
        <c:spPr>
          <a:solidFill>
            <a:schemeClr val="accent1"/>
          </a:solidFill>
          <a:ln>
            <a:noFill/>
          </a:ln>
          <a:effectLst>
            <a:outerShdw blurRad="254000" sx="102000" sy="102000" algn="ctr" rotWithShape="0">
              <a:prstClr val="black">
                <a:alpha val="20000"/>
              </a:prstClr>
            </a:outerShdw>
          </a:effectLst>
        </c:spPr>
      </c:pivotFmt>
      <c:pivotFmt>
        <c:idx val="3"/>
        <c:spPr>
          <a:solidFill>
            <a:schemeClr val="accent1"/>
          </a:solidFill>
          <a:ln>
            <a:noFill/>
          </a:ln>
          <a:effectLst>
            <a:outerShdw blurRad="254000" sx="102000" sy="102000" algn="ctr" rotWithShape="0">
              <a:prstClr val="black">
                <a:alpha val="20000"/>
              </a:prstClr>
            </a:outerShdw>
          </a:effectLst>
        </c:spPr>
      </c:pivotFmt>
      <c:pivotFmt>
        <c:idx val="4"/>
        <c:spPr>
          <a:solidFill>
            <a:schemeClr val="accent1"/>
          </a:solidFill>
          <a:ln>
            <a:noFill/>
          </a:ln>
          <a:effectLst>
            <a:outerShdw blurRad="254000" sx="102000" sy="102000" algn="ctr" rotWithShape="0">
              <a:prstClr val="black">
                <a:alpha val="20000"/>
              </a:prstClr>
            </a:outerShdw>
          </a:effectLst>
        </c:spPr>
      </c:pivotFmt>
    </c:pivotFmts>
    <c:plotArea>
      <c:layout/>
      <c:doughnutChart>
        <c:varyColors val="1"/>
        <c:ser>
          <c:idx val="0"/>
          <c:order val="0"/>
          <c:tx>
            <c:strRef>
              <c:f>'pivot 2'!$B$19</c:f>
              <c:strCache>
                <c:ptCount val="1"/>
                <c:pt idx="0">
                  <c:v>Total</c:v>
                </c:pt>
              </c:strCache>
            </c:strRef>
          </c:tx>
          <c:dPt>
            <c:idx val="0"/>
            <c:bubble3D val="0"/>
            <c:spPr>
              <a:solidFill>
                <a:schemeClr val="accent1"/>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1-F212-465C-8569-C74DAB0F878D}"/>
              </c:ext>
            </c:extLst>
          </c:dPt>
          <c:dPt>
            <c:idx val="1"/>
            <c:bubble3D val="0"/>
            <c:spPr>
              <a:solidFill>
                <a:schemeClr val="accent2"/>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3-F212-465C-8569-C74DAB0F878D}"/>
              </c:ext>
            </c:extLst>
          </c:dPt>
          <c:dPt>
            <c:idx val="2"/>
            <c:bubble3D val="0"/>
            <c:spPr>
              <a:solidFill>
                <a:schemeClr val="accent3"/>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5-F212-465C-8569-C74DAB0F878D}"/>
              </c:ext>
            </c:extLst>
          </c:dPt>
          <c:dPt>
            <c:idx val="3"/>
            <c:bubble3D val="0"/>
            <c:spPr>
              <a:solidFill>
                <a:schemeClr val="accent4"/>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7-F212-465C-8569-C74DAB0F878D}"/>
              </c:ext>
            </c:extLst>
          </c:dPt>
          <c:dLbls>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showLegendKey val="0"/>
            <c:showVal val="0"/>
            <c:showCatName val="0"/>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strRef>
              <c:f>'pivot 2'!$A$20:$A$24</c:f>
              <c:strCache>
                <c:ptCount val="4"/>
                <c:pt idx="0">
                  <c:v>active</c:v>
                </c:pt>
                <c:pt idx="1">
                  <c:v>closed</c:v>
                </c:pt>
                <c:pt idx="2">
                  <c:v>defaulted</c:v>
                </c:pt>
                <c:pt idx="3">
                  <c:v>pending</c:v>
                </c:pt>
              </c:strCache>
            </c:strRef>
          </c:cat>
          <c:val>
            <c:numRef>
              <c:f>'pivot 2'!$B$20:$B$24</c:f>
              <c:numCache>
                <c:formatCode>General</c:formatCode>
                <c:ptCount val="4"/>
                <c:pt idx="0">
                  <c:v>10</c:v>
                </c:pt>
                <c:pt idx="1">
                  <c:v>8</c:v>
                </c:pt>
                <c:pt idx="2">
                  <c:v>2</c:v>
                </c:pt>
                <c:pt idx="3">
                  <c:v>3</c:v>
                </c:pt>
              </c:numCache>
            </c:numRef>
          </c:val>
          <c:extLst>
            <c:ext xmlns:c16="http://schemas.microsoft.com/office/drawing/2014/chart" uri="{C3380CC4-5D6E-409C-BE32-E72D297353CC}">
              <c16:uniqueId val="{00000000-A504-4525-8B26-5E1592BE8BFA}"/>
            </c:ext>
          </c:extLst>
        </c:ser>
        <c:dLbls>
          <c:showLegendKey val="0"/>
          <c:showVal val="0"/>
          <c:showCatName val="0"/>
          <c:showSerName val="0"/>
          <c:showPercent val="1"/>
          <c:showBubbleSize val="0"/>
          <c:showLeaderLines val="1"/>
        </c:dLbls>
        <c:firstSliceAng val="0"/>
        <c:holeSize val="50"/>
      </c:doughnutChart>
      <c:spPr>
        <a:noFill/>
        <a:ln>
          <a:noFill/>
        </a:ln>
        <a:effectLst/>
      </c:spPr>
    </c:plotArea>
    <c:legend>
      <c:legendPos val="r"/>
      <c:overlay val="0"/>
      <c:spPr>
        <a:solidFill>
          <a:schemeClr val="lt1">
            <a:lumMod val="95000"/>
            <a:alpha val="39000"/>
          </a:schemeClr>
        </a:solidFill>
        <a:ln>
          <a:noFill/>
        </a:ln>
        <a:effectLst/>
      </c:spPr>
      <c:txPr>
        <a:bodyPr rot="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[Subhayan_Debtanu.xlsm]pivot 2!PivotTable11</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sz="1400" b="0" i="0" u="none" strike="noStrike" baseline="0"/>
              <a:t>City-wise Loan Analysis</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'pivot 2'!$B$35</c:f>
              <c:strCache>
                <c:ptCount val="1"/>
                <c:pt idx="0">
                  <c:v>Total</c:v>
                </c:pt>
              </c:strCache>
            </c:strRef>
          </c:tx>
          <c:spPr>
            <a:solidFill>
              <a:schemeClr val="accent1"/>
            </a:solidFill>
            <a:ln>
              <a:noFill/>
            </a:ln>
            <a:effectLst/>
          </c:spPr>
          <c:invertIfNegative val="0"/>
          <c:cat>
            <c:strRef>
              <c:f>'pivot 2'!$A$36:$A$74</c:f>
              <c:strCache>
                <c:ptCount val="38"/>
                <c:pt idx="0">
                  <c:v>Arambagh</c:v>
                </c:pt>
                <c:pt idx="1">
                  <c:v>Asansol</c:v>
                </c:pt>
                <c:pt idx="2">
                  <c:v>Baharampur</c:v>
                </c:pt>
                <c:pt idx="3">
                  <c:v>Balurghat</c:v>
                </c:pt>
                <c:pt idx="4">
                  <c:v>Bangaon</c:v>
                </c:pt>
                <c:pt idx="5">
                  <c:v>Bankura</c:v>
                </c:pt>
                <c:pt idx="6">
                  <c:v>Barasat</c:v>
                </c:pt>
                <c:pt idx="7">
                  <c:v>Bardhaman</c:v>
                </c:pt>
                <c:pt idx="8">
                  <c:v>Basirhat</c:v>
                </c:pt>
                <c:pt idx="9">
                  <c:v>Bishnupur</c:v>
                </c:pt>
                <c:pt idx="10">
                  <c:v>Bolpur</c:v>
                </c:pt>
                <c:pt idx="11">
                  <c:v>Bongaon</c:v>
                </c:pt>
                <c:pt idx="12">
                  <c:v>Chandannagar</c:v>
                </c:pt>
                <c:pt idx="13">
                  <c:v>Cooch Behar</c:v>
                </c:pt>
                <c:pt idx="14">
                  <c:v>Darjeeling</c:v>
                </c:pt>
                <c:pt idx="15">
                  <c:v>Diamond Harbour</c:v>
                </c:pt>
                <c:pt idx="16">
                  <c:v>Durgapur</c:v>
                </c:pt>
                <c:pt idx="17">
                  <c:v>Habra</c:v>
                </c:pt>
                <c:pt idx="18">
                  <c:v>Haldia</c:v>
                </c:pt>
                <c:pt idx="19">
                  <c:v>Howrah</c:v>
                </c:pt>
                <c:pt idx="20">
                  <c:v>Jalpaiguri</c:v>
                </c:pt>
                <c:pt idx="21">
                  <c:v>Kalimpong</c:v>
                </c:pt>
                <c:pt idx="22">
                  <c:v>Kalyani</c:v>
                </c:pt>
                <c:pt idx="23">
                  <c:v>Katwa</c:v>
                </c:pt>
                <c:pt idx="24">
                  <c:v>Kharagpur</c:v>
                </c:pt>
                <c:pt idx="25">
                  <c:v>Kolkata</c:v>
                </c:pt>
                <c:pt idx="26">
                  <c:v>Krishnanagar</c:v>
                </c:pt>
                <c:pt idx="27">
                  <c:v>Malda</c:v>
                </c:pt>
                <c:pt idx="28">
                  <c:v>Medinipur</c:v>
                </c:pt>
                <c:pt idx="29">
                  <c:v>Nabadwip</c:v>
                </c:pt>
                <c:pt idx="30">
                  <c:v>Purulia</c:v>
                </c:pt>
                <c:pt idx="31">
                  <c:v>Raiganj</c:v>
                </c:pt>
                <c:pt idx="32">
                  <c:v>Ranaghat</c:v>
                </c:pt>
                <c:pt idx="33">
                  <c:v>Serampore</c:v>
                </c:pt>
                <c:pt idx="34">
                  <c:v>Siliguri</c:v>
                </c:pt>
                <c:pt idx="35">
                  <c:v>Suri</c:v>
                </c:pt>
                <c:pt idx="36">
                  <c:v>Tamluk</c:v>
                </c:pt>
                <c:pt idx="37">
                  <c:v>Uluberia</c:v>
                </c:pt>
              </c:strCache>
            </c:strRef>
          </c:cat>
          <c:val>
            <c:numRef>
              <c:f>'pivot 2'!$B$36:$B$74</c:f>
              <c:numCache>
                <c:formatCode>General</c:formatCode>
                <c:ptCount val="38"/>
                <c:pt idx="0">
                  <c:v>73200000</c:v>
                </c:pt>
                <c:pt idx="1">
                  <c:v>28020000</c:v>
                </c:pt>
                <c:pt idx="2">
                  <c:v>45370000</c:v>
                </c:pt>
                <c:pt idx="3">
                  <c:v>51710000</c:v>
                </c:pt>
                <c:pt idx="4">
                  <c:v>29260000</c:v>
                </c:pt>
                <c:pt idx="5">
                  <c:v>52730000</c:v>
                </c:pt>
                <c:pt idx="6">
                  <c:v>60100000</c:v>
                </c:pt>
                <c:pt idx="7">
                  <c:v>67900000</c:v>
                </c:pt>
                <c:pt idx="8">
                  <c:v>54560000</c:v>
                </c:pt>
                <c:pt idx="9">
                  <c:v>31640000</c:v>
                </c:pt>
                <c:pt idx="10">
                  <c:v>31660000</c:v>
                </c:pt>
                <c:pt idx="11">
                  <c:v>43020000</c:v>
                </c:pt>
                <c:pt idx="12">
                  <c:v>52720000</c:v>
                </c:pt>
                <c:pt idx="13">
                  <c:v>51470000</c:v>
                </c:pt>
                <c:pt idx="14">
                  <c:v>52800000</c:v>
                </c:pt>
                <c:pt idx="15">
                  <c:v>45640000</c:v>
                </c:pt>
                <c:pt idx="16">
                  <c:v>54730000</c:v>
                </c:pt>
                <c:pt idx="17">
                  <c:v>32060000</c:v>
                </c:pt>
                <c:pt idx="18">
                  <c:v>34350000</c:v>
                </c:pt>
                <c:pt idx="19">
                  <c:v>61090000</c:v>
                </c:pt>
                <c:pt idx="20">
                  <c:v>35200000</c:v>
                </c:pt>
                <c:pt idx="21">
                  <c:v>47550000</c:v>
                </c:pt>
                <c:pt idx="22">
                  <c:v>33750000</c:v>
                </c:pt>
                <c:pt idx="23">
                  <c:v>47650000</c:v>
                </c:pt>
                <c:pt idx="24">
                  <c:v>37470000</c:v>
                </c:pt>
                <c:pt idx="25">
                  <c:v>45580000</c:v>
                </c:pt>
                <c:pt idx="26">
                  <c:v>45160000</c:v>
                </c:pt>
                <c:pt idx="27">
                  <c:v>22050000</c:v>
                </c:pt>
                <c:pt idx="28">
                  <c:v>87530000</c:v>
                </c:pt>
                <c:pt idx="29">
                  <c:v>36120000</c:v>
                </c:pt>
                <c:pt idx="30">
                  <c:v>52120000</c:v>
                </c:pt>
                <c:pt idx="31">
                  <c:v>37380000</c:v>
                </c:pt>
                <c:pt idx="32">
                  <c:v>39870000</c:v>
                </c:pt>
                <c:pt idx="33">
                  <c:v>51020000</c:v>
                </c:pt>
                <c:pt idx="34">
                  <c:v>44460000</c:v>
                </c:pt>
                <c:pt idx="35">
                  <c:v>43190000</c:v>
                </c:pt>
                <c:pt idx="36">
                  <c:v>39010000</c:v>
                </c:pt>
                <c:pt idx="37">
                  <c:v>49080000</c:v>
                </c:pt>
              </c:numCache>
            </c:numRef>
          </c:val>
          <c:extLst>
            <c:ext xmlns:c16="http://schemas.microsoft.com/office/drawing/2014/chart" uri="{C3380CC4-5D6E-409C-BE32-E72D297353CC}">
              <c16:uniqueId val="{00000000-F6A0-4525-91F3-16122227248B}"/>
            </c:ext>
          </c:extLst>
        </c:ser>
        <c:dLbls>
          <c:showLegendKey val="0"/>
          <c:showVal val="0"/>
          <c:showCatName val="0"/>
          <c:showSerName val="0"/>
          <c:showPercent val="0"/>
          <c:showBubbleSize val="0"/>
        </c:dLbls>
        <c:gapWidth val="182"/>
        <c:axId val="1557690063"/>
        <c:axId val="1557690543"/>
      </c:barChart>
      <c:catAx>
        <c:axId val="1557690063"/>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57690543"/>
        <c:crosses val="autoZero"/>
        <c:auto val="1"/>
        <c:lblAlgn val="ctr"/>
        <c:lblOffset val="100"/>
        <c:noMultiLvlLbl val="0"/>
      </c:catAx>
      <c:valAx>
        <c:axId val="1557690543"/>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57690063"/>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[Subhayan_Debtanu.xlsm]pivot 2!PivotTable12</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sz="1400" b="0" i="0" u="none" strike="noStrike" baseline="0"/>
              <a:t>CIBIL Score Analysis</a:t>
            </a:r>
            <a:endParaRPr lang="en-IN"/>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'pivot 2'!$T$3</c:f>
              <c:strCache>
                <c:ptCount val="1"/>
                <c:pt idx="0">
                  <c:v>Total</c:v>
                </c:pt>
              </c:strCache>
            </c:strRef>
          </c:tx>
          <c:spPr>
            <a:solidFill>
              <a:schemeClr val="accent1"/>
            </a:solidFill>
            <a:ln>
              <a:noFill/>
            </a:ln>
            <a:effectLst/>
          </c:spPr>
          <c:invertIfNegative val="0"/>
          <c:cat>
            <c:strRef>
              <c:f>'pivot 2'!$S$4:$S$11</c:f>
              <c:strCache>
                <c:ptCount val="7"/>
                <c:pt idx="0">
                  <c:v>Business loan</c:v>
                </c:pt>
                <c:pt idx="1">
                  <c:v>Car loan</c:v>
                </c:pt>
                <c:pt idx="2">
                  <c:v>Education loan</c:v>
                </c:pt>
                <c:pt idx="3">
                  <c:v>Gold loan</c:v>
                </c:pt>
                <c:pt idx="4">
                  <c:v>Home loan</c:v>
                </c:pt>
                <c:pt idx="5">
                  <c:v>Personal loan</c:v>
                </c:pt>
                <c:pt idx="6">
                  <c:v>Student loan</c:v>
                </c:pt>
              </c:strCache>
            </c:strRef>
          </c:cat>
          <c:val>
            <c:numRef>
              <c:f>'pivot 2'!$T$4:$T$11</c:f>
              <c:numCache>
                <c:formatCode>General</c:formatCode>
                <c:ptCount val="7"/>
                <c:pt idx="0">
                  <c:v>112706</c:v>
                </c:pt>
                <c:pt idx="1">
                  <c:v>101843</c:v>
                </c:pt>
                <c:pt idx="2">
                  <c:v>96734</c:v>
                </c:pt>
                <c:pt idx="3">
                  <c:v>104552</c:v>
                </c:pt>
                <c:pt idx="4">
                  <c:v>101360</c:v>
                </c:pt>
                <c:pt idx="5">
                  <c:v>115358</c:v>
                </c:pt>
                <c:pt idx="6">
                  <c:v>92586</c:v>
                </c:pt>
              </c:numCache>
            </c:numRef>
          </c:val>
          <c:extLst>
            <c:ext xmlns:c16="http://schemas.microsoft.com/office/drawing/2014/chart" uri="{C3380CC4-5D6E-409C-BE32-E72D297353CC}">
              <c16:uniqueId val="{00000000-8A11-4FFC-BB14-7D905AF4BE5D}"/>
            </c:ext>
          </c:extLst>
        </c:ser>
        <c:dLbls>
          <c:showLegendKey val="0"/>
          <c:showVal val="0"/>
          <c:showCatName val="0"/>
          <c:showSerName val="0"/>
          <c:showPercent val="0"/>
          <c:showBubbleSize val="0"/>
        </c:dLbls>
        <c:gapWidth val="219"/>
        <c:overlap val="-27"/>
        <c:axId val="1038635807"/>
        <c:axId val="1038632927"/>
      </c:barChart>
      <c:catAx>
        <c:axId val="1038635807"/>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38632927"/>
        <c:crosses val="autoZero"/>
        <c:auto val="1"/>
        <c:lblAlgn val="ctr"/>
        <c:lblOffset val="100"/>
        <c:noMultiLvlLbl val="0"/>
      </c:catAx>
      <c:valAx>
        <c:axId val="1038632927"/>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38635807"/>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[Subhayan_Debtanu.xlsm]pivot 2!PivotTable13</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sz="1400" b="0" i="0" u="none" strike="noStrike" baseline="0"/>
              <a:t>Interest Rate vs Loan Amount</a:t>
            </a:r>
            <a:endParaRPr lang="en-IN"/>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'pivot 2'!$T$21</c:f>
              <c:strCache>
                <c:ptCount val="1"/>
                <c:pt idx="0">
                  <c:v>Total</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'pivot 2'!$S$22:$S$34</c:f>
              <c:strCache>
                <c:ptCount val="12"/>
                <c:pt idx="0">
                  <c:v>0.075</c:v>
                </c:pt>
                <c:pt idx="1">
                  <c:v>0.08</c:v>
                </c:pt>
                <c:pt idx="2">
                  <c:v>0.085</c:v>
                </c:pt>
                <c:pt idx="3">
                  <c:v>0.09</c:v>
                </c:pt>
                <c:pt idx="4">
                  <c:v>0.095</c:v>
                </c:pt>
                <c:pt idx="5">
                  <c:v>0.1</c:v>
                </c:pt>
                <c:pt idx="6">
                  <c:v>0.105</c:v>
                </c:pt>
                <c:pt idx="7">
                  <c:v>0.11</c:v>
                </c:pt>
                <c:pt idx="8">
                  <c:v>0.115</c:v>
                </c:pt>
                <c:pt idx="9">
                  <c:v>0.12</c:v>
                </c:pt>
                <c:pt idx="10">
                  <c:v>0.125</c:v>
                </c:pt>
                <c:pt idx="11">
                  <c:v>0.13</c:v>
                </c:pt>
              </c:strCache>
            </c:strRef>
          </c:cat>
          <c:val>
            <c:numRef>
              <c:f>'pivot 2'!$T$22:$T$34</c:f>
              <c:numCache>
                <c:formatCode>General</c:formatCode>
                <c:ptCount val="12"/>
                <c:pt idx="0">
                  <c:v>42170000</c:v>
                </c:pt>
                <c:pt idx="1">
                  <c:v>66640000</c:v>
                </c:pt>
                <c:pt idx="2">
                  <c:v>45220000</c:v>
                </c:pt>
                <c:pt idx="3">
                  <c:v>49750000</c:v>
                </c:pt>
                <c:pt idx="4">
                  <c:v>60090000</c:v>
                </c:pt>
                <c:pt idx="5">
                  <c:v>72320000</c:v>
                </c:pt>
                <c:pt idx="6">
                  <c:v>65220000</c:v>
                </c:pt>
                <c:pt idx="7">
                  <c:v>62590000</c:v>
                </c:pt>
                <c:pt idx="8">
                  <c:v>71900000</c:v>
                </c:pt>
                <c:pt idx="9">
                  <c:v>71880000</c:v>
                </c:pt>
                <c:pt idx="10">
                  <c:v>68310000</c:v>
                </c:pt>
                <c:pt idx="11">
                  <c:v>104150000</c:v>
                </c:pt>
              </c:numCache>
            </c:numRef>
          </c:val>
          <c:smooth val="0"/>
          <c:extLst>
            <c:ext xmlns:c16="http://schemas.microsoft.com/office/drawing/2014/chart" uri="{C3380CC4-5D6E-409C-BE32-E72D297353CC}">
              <c16:uniqueId val="{00000000-32CA-47A7-AC2D-8527CBE8E7A7}"/>
            </c:ext>
          </c:extLst>
        </c:ser>
        <c:dLbls>
          <c:showLegendKey val="0"/>
          <c:showVal val="0"/>
          <c:showCatName val="0"/>
          <c:showSerName val="0"/>
          <c:showPercent val="0"/>
          <c:showBubbleSize val="0"/>
        </c:dLbls>
        <c:marker val="1"/>
        <c:smooth val="0"/>
        <c:axId val="1299784143"/>
        <c:axId val="1299794223"/>
      </c:lineChart>
      <c:catAx>
        <c:axId val="1299784143"/>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99794223"/>
        <c:crosses val="autoZero"/>
        <c:auto val="1"/>
        <c:lblAlgn val="ctr"/>
        <c:lblOffset val="100"/>
        <c:noMultiLvlLbl val="0"/>
      </c:catAx>
      <c:valAx>
        <c:axId val="1299794223"/>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99784143"/>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[Subhayan_Debtanu.xlsm]pivot 3!PivotTable14</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sz="1400" b="0" i="0" u="none" strike="noStrike" baseline="0"/>
              <a:t>Outstanding Loan Balance Decline</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'pivot 3'!$B$3</c:f>
              <c:strCache>
                <c:ptCount val="1"/>
                <c:pt idx="0">
                  <c:v>Total</c:v>
                </c:pt>
              </c:strCache>
            </c:strRef>
          </c:tx>
          <c:spPr>
            <a:ln w="28575" cap="rnd">
              <a:solidFill>
                <a:schemeClr val="accent1"/>
              </a:solidFill>
              <a:round/>
            </a:ln>
            <a:effectLst/>
          </c:spPr>
          <c:marker>
            <c:symbol val="none"/>
          </c:marker>
          <c:cat>
            <c:strRef>
              <c:f>'pivot 3'!$A$4:$A$17</c:f>
              <c:strCache>
                <c:ptCount val="13"/>
                <c:pt idx="0">
                  <c:v>1</c:v>
                </c:pt>
                <c:pt idx="1">
                  <c:v>2</c:v>
                </c:pt>
                <c:pt idx="2">
                  <c:v>3</c:v>
                </c:pt>
                <c:pt idx="3">
                  <c:v>4</c:v>
                </c:pt>
                <c:pt idx="4">
                  <c:v>5</c:v>
                </c:pt>
                <c:pt idx="5">
                  <c:v>6</c:v>
                </c:pt>
                <c:pt idx="6">
                  <c:v>7</c:v>
                </c:pt>
                <c:pt idx="7">
                  <c:v>8</c:v>
                </c:pt>
                <c:pt idx="8">
                  <c:v>9</c:v>
                </c:pt>
                <c:pt idx="9">
                  <c:v>10</c:v>
                </c:pt>
                <c:pt idx="10">
                  <c:v>11</c:v>
                </c:pt>
                <c:pt idx="11">
                  <c:v>12</c:v>
                </c:pt>
                <c:pt idx="12">
                  <c:v>(blank)</c:v>
                </c:pt>
              </c:strCache>
            </c:strRef>
          </c:cat>
          <c:val>
            <c:numRef>
              <c:f>'pivot 3'!$B$4:$B$17</c:f>
              <c:numCache>
                <c:formatCode>General</c:formatCode>
                <c:ptCount val="13"/>
                <c:pt idx="0">
                  <c:v>1159261.1392698991</c:v>
                </c:pt>
                <c:pt idx="1">
                  <c:v>1057766.7370843221</c:v>
                </c:pt>
                <c:pt idx="2">
                  <c:v>955511.12688235356</c:v>
                </c:pt>
                <c:pt idx="3">
                  <c:v>852488.59960387019</c:v>
                </c:pt>
                <c:pt idx="4">
                  <c:v>748693.40337079833</c:v>
                </c:pt>
                <c:pt idx="5">
                  <c:v>644119.74316597823</c:v>
                </c:pt>
                <c:pt idx="6">
                  <c:v>538761.78050962207</c:v>
                </c:pt>
                <c:pt idx="7">
                  <c:v>432613.63313334319</c:v>
                </c:pt>
                <c:pt idx="8">
                  <c:v>325669.37465174228</c:v>
                </c:pt>
                <c:pt idx="9">
                  <c:v>217923.03423152934</c:v>
                </c:pt>
                <c:pt idx="10">
                  <c:v>109368.59625816485</c:v>
                </c:pt>
                <c:pt idx="11">
                  <c:v>0</c:v>
                </c:pt>
                <c:pt idx="12">
                  <c:v>0</c:v>
                </c:pt>
              </c:numCache>
            </c:numRef>
          </c:val>
          <c:smooth val="0"/>
          <c:extLst>
            <c:ext xmlns:c16="http://schemas.microsoft.com/office/drawing/2014/chart" uri="{C3380CC4-5D6E-409C-BE32-E72D297353CC}">
              <c16:uniqueId val="{00000000-53AC-428F-AEC9-57BA5EF1F4B9}"/>
            </c:ext>
          </c:extLst>
        </c:ser>
        <c:dLbls>
          <c:showLegendKey val="0"/>
          <c:showVal val="0"/>
          <c:showCatName val="0"/>
          <c:showSerName val="0"/>
          <c:showPercent val="0"/>
          <c:showBubbleSize val="0"/>
        </c:dLbls>
        <c:smooth val="0"/>
        <c:axId val="1295760367"/>
        <c:axId val="1295760847"/>
      </c:lineChart>
      <c:catAx>
        <c:axId val="1295760367"/>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95760847"/>
        <c:crosses val="autoZero"/>
        <c:auto val="1"/>
        <c:lblAlgn val="ctr"/>
        <c:lblOffset val="100"/>
        <c:noMultiLvlLbl val="0"/>
      </c:catAx>
      <c:valAx>
        <c:axId val="1295760847"/>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95760367"/>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[Subhayan_Debtanu.xlsm]pivot 3!PivotTable15</c:name>
    <c:fmtId val="0"/>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'pivot 3'!$B$20</c:f>
              <c:strCache>
                <c:ptCount val="1"/>
                <c:pt idx="0">
                  <c:v>Sum of Opening 
Balance</c:v>
                </c:pt>
              </c:strCache>
            </c:strRef>
          </c:tx>
          <c:spPr>
            <a:solidFill>
              <a:schemeClr val="accent1"/>
            </a:solidFill>
            <a:ln>
              <a:noFill/>
            </a:ln>
            <a:effectLst/>
          </c:spPr>
          <c:invertIfNegative val="0"/>
          <c:cat>
            <c:strRef>
              <c:f>'pivot 3'!$A$21:$A$34</c:f>
              <c:strCache>
                <c:ptCount val="13"/>
                <c:pt idx="0">
                  <c:v>1</c:v>
                </c:pt>
                <c:pt idx="1">
                  <c:v>2</c:v>
                </c:pt>
                <c:pt idx="2">
                  <c:v>3</c:v>
                </c:pt>
                <c:pt idx="3">
                  <c:v>4</c:v>
                </c:pt>
                <c:pt idx="4">
                  <c:v>5</c:v>
                </c:pt>
                <c:pt idx="5">
                  <c:v>6</c:v>
                </c:pt>
                <c:pt idx="6">
                  <c:v>7</c:v>
                </c:pt>
                <c:pt idx="7">
                  <c:v>8</c:v>
                </c:pt>
                <c:pt idx="8">
                  <c:v>9</c:v>
                </c:pt>
                <c:pt idx="9">
                  <c:v>10</c:v>
                </c:pt>
                <c:pt idx="10">
                  <c:v>11</c:v>
                </c:pt>
                <c:pt idx="11">
                  <c:v>12</c:v>
                </c:pt>
                <c:pt idx="12">
                  <c:v>(blank)</c:v>
                </c:pt>
              </c:strCache>
            </c:strRef>
          </c:cat>
          <c:val>
            <c:numRef>
              <c:f>'pivot 3'!$B$21:$B$34</c:f>
              <c:numCache>
                <c:formatCode>General</c:formatCode>
                <c:ptCount val="13"/>
                <c:pt idx="0">
                  <c:v>1260000</c:v>
                </c:pt>
                <c:pt idx="1">
                  <c:v>1159261.1392698991</c:v>
                </c:pt>
                <c:pt idx="2">
                  <c:v>1057766.7370843221</c:v>
                </c:pt>
                <c:pt idx="3">
                  <c:v>955511.12688235356</c:v>
                </c:pt>
                <c:pt idx="4">
                  <c:v>852488.59960387019</c:v>
                </c:pt>
                <c:pt idx="5">
                  <c:v>748693.40337079833</c:v>
                </c:pt>
                <c:pt idx="6">
                  <c:v>644119.74316597823</c:v>
                </c:pt>
                <c:pt idx="7">
                  <c:v>538761.78050962207</c:v>
                </c:pt>
                <c:pt idx="8">
                  <c:v>432613.63313334319</c:v>
                </c:pt>
                <c:pt idx="9">
                  <c:v>325669.37465174228</c:v>
                </c:pt>
                <c:pt idx="10">
                  <c:v>217923.03423152934</c:v>
                </c:pt>
                <c:pt idx="11">
                  <c:v>109368.59625816485</c:v>
                </c:pt>
                <c:pt idx="12">
                  <c:v>0</c:v>
                </c:pt>
              </c:numCache>
            </c:numRef>
          </c:val>
          <c:extLst>
            <c:ext xmlns:c16="http://schemas.microsoft.com/office/drawing/2014/chart" uri="{C3380CC4-5D6E-409C-BE32-E72D297353CC}">
              <c16:uniqueId val="{00000000-467F-450B-871C-B8DB51EC25E4}"/>
            </c:ext>
          </c:extLst>
        </c:ser>
        <c:ser>
          <c:idx val="1"/>
          <c:order val="1"/>
          <c:tx>
            <c:strRef>
              <c:f>'pivot 3'!$C$20</c:f>
              <c:strCache>
                <c:ptCount val="1"/>
                <c:pt idx="0">
                  <c:v>Sum of Closing 
Balance</c:v>
                </c:pt>
              </c:strCache>
            </c:strRef>
          </c:tx>
          <c:spPr>
            <a:solidFill>
              <a:schemeClr val="accent2"/>
            </a:solidFill>
            <a:ln>
              <a:noFill/>
            </a:ln>
            <a:effectLst/>
          </c:spPr>
          <c:invertIfNegative val="0"/>
          <c:cat>
            <c:strRef>
              <c:f>'pivot 3'!$A$21:$A$34</c:f>
              <c:strCache>
                <c:ptCount val="13"/>
                <c:pt idx="0">
                  <c:v>1</c:v>
                </c:pt>
                <c:pt idx="1">
                  <c:v>2</c:v>
                </c:pt>
                <c:pt idx="2">
                  <c:v>3</c:v>
                </c:pt>
                <c:pt idx="3">
                  <c:v>4</c:v>
                </c:pt>
                <c:pt idx="4">
                  <c:v>5</c:v>
                </c:pt>
                <c:pt idx="5">
                  <c:v>6</c:v>
                </c:pt>
                <c:pt idx="6">
                  <c:v>7</c:v>
                </c:pt>
                <c:pt idx="7">
                  <c:v>8</c:v>
                </c:pt>
                <c:pt idx="8">
                  <c:v>9</c:v>
                </c:pt>
                <c:pt idx="9">
                  <c:v>10</c:v>
                </c:pt>
                <c:pt idx="10">
                  <c:v>11</c:v>
                </c:pt>
                <c:pt idx="11">
                  <c:v>12</c:v>
                </c:pt>
                <c:pt idx="12">
                  <c:v>(blank)</c:v>
                </c:pt>
              </c:strCache>
            </c:strRef>
          </c:cat>
          <c:val>
            <c:numRef>
              <c:f>'pivot 3'!$C$21:$C$34</c:f>
              <c:numCache>
                <c:formatCode>General</c:formatCode>
                <c:ptCount val="13"/>
                <c:pt idx="0">
                  <c:v>1159261.1392698991</c:v>
                </c:pt>
                <c:pt idx="1">
                  <c:v>1057766.7370843221</c:v>
                </c:pt>
                <c:pt idx="2">
                  <c:v>955511.12688235356</c:v>
                </c:pt>
                <c:pt idx="3">
                  <c:v>852488.59960387019</c:v>
                </c:pt>
                <c:pt idx="4">
                  <c:v>748693.40337079833</c:v>
                </c:pt>
                <c:pt idx="5">
                  <c:v>644119.74316597823</c:v>
                </c:pt>
                <c:pt idx="6">
                  <c:v>538761.78050962207</c:v>
                </c:pt>
                <c:pt idx="7">
                  <c:v>432613.63313334319</c:v>
                </c:pt>
                <c:pt idx="8">
                  <c:v>325669.37465174228</c:v>
                </c:pt>
                <c:pt idx="9">
                  <c:v>217923.03423152934</c:v>
                </c:pt>
                <c:pt idx="10">
                  <c:v>109368.59625816485</c:v>
                </c:pt>
                <c:pt idx="11">
                  <c:v>0</c:v>
                </c:pt>
                <c:pt idx="12">
                  <c:v>0</c:v>
                </c:pt>
              </c:numCache>
            </c:numRef>
          </c:val>
          <c:extLst>
            <c:ext xmlns:c16="http://schemas.microsoft.com/office/drawing/2014/chart" uri="{C3380CC4-5D6E-409C-BE32-E72D297353CC}">
              <c16:uniqueId val="{00000001-467F-450B-871C-B8DB51EC25E4}"/>
            </c:ext>
          </c:extLst>
        </c:ser>
        <c:dLbls>
          <c:showLegendKey val="0"/>
          <c:showVal val="0"/>
          <c:showCatName val="0"/>
          <c:showSerName val="0"/>
          <c:showPercent val="0"/>
          <c:showBubbleSize val="0"/>
        </c:dLbls>
        <c:gapWidth val="219"/>
        <c:overlap val="-27"/>
        <c:axId val="1557673743"/>
        <c:axId val="1557693423"/>
      </c:barChart>
      <c:catAx>
        <c:axId val="1557673743"/>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57693423"/>
        <c:crosses val="autoZero"/>
        <c:auto val="1"/>
        <c:lblAlgn val="ctr"/>
        <c:lblOffset val="100"/>
        <c:noMultiLvlLbl val="0"/>
      </c:catAx>
      <c:valAx>
        <c:axId val="1557693423"/>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57673743"/>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[Subhayan_Debtanu.xlsm]pivot 3!PivotTable16</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sz="1400" b="0" i="0" u="none" strike="noStrike" baseline="0"/>
              <a:t>Cumulative Interest Growth</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view3D>
      <c:rotX val="15"/>
      <c:rotY val="20"/>
      <c:depthPercent val="100"/>
      <c:rAngAx val="0"/>
    </c:view3D>
    <c:floor>
      <c:thickness val="0"/>
      <c:spPr>
        <a:noFill/>
        <a:ln w="9525" cap="flat" cmpd="sng" algn="ctr">
          <a:solidFill>
            <a:schemeClr val="tx1">
              <a:lumMod val="15000"/>
              <a:lumOff val="85000"/>
            </a:schemeClr>
          </a:solidFill>
          <a:round/>
        </a:ln>
        <a:effectLst/>
        <a:sp3d contourW="9525">
          <a:contourClr>
            <a:schemeClr val="tx1">
              <a:lumMod val="15000"/>
              <a:lumOff val="85000"/>
            </a:schemeClr>
          </a:contourClr>
        </a:sp3d>
      </c:spPr>
    </c:floor>
    <c:sideWall>
      <c:thickness val="0"/>
      <c:spPr>
        <a:noFill/>
        <a:ln>
          <a:noFill/>
        </a:ln>
        <a:effectLst/>
        <a:sp3d/>
      </c:spPr>
    </c:sideWall>
    <c:backWall>
      <c:thickness val="0"/>
      <c:spPr>
        <a:noFill/>
        <a:ln>
          <a:noFill/>
        </a:ln>
        <a:effectLst/>
        <a:sp3d/>
      </c:spPr>
    </c:backWall>
    <c:plotArea>
      <c:layout/>
      <c:area3DChart>
        <c:grouping val="standard"/>
        <c:varyColors val="0"/>
        <c:ser>
          <c:idx val="0"/>
          <c:order val="0"/>
          <c:tx>
            <c:strRef>
              <c:f>'pivot 3'!$N$2</c:f>
              <c:strCache>
                <c:ptCount val="1"/>
                <c:pt idx="0">
                  <c:v>Total</c:v>
                </c:pt>
              </c:strCache>
            </c:strRef>
          </c:tx>
          <c:spPr>
            <a:solidFill>
              <a:schemeClr val="accent1"/>
            </a:solidFill>
            <a:ln>
              <a:noFill/>
            </a:ln>
            <a:effectLst/>
            <a:sp3d/>
          </c:spPr>
          <c:cat>
            <c:strRef>
              <c:f>'pivot 3'!$M$3:$M$16</c:f>
              <c:strCache>
                <c:ptCount val="13"/>
                <c:pt idx="0">
                  <c:v>1</c:v>
                </c:pt>
                <c:pt idx="1">
                  <c:v>2</c:v>
                </c:pt>
                <c:pt idx="2">
                  <c:v>3</c:v>
                </c:pt>
                <c:pt idx="3">
                  <c:v>4</c:v>
                </c:pt>
                <c:pt idx="4">
                  <c:v>5</c:v>
                </c:pt>
                <c:pt idx="5">
                  <c:v>6</c:v>
                </c:pt>
                <c:pt idx="6">
                  <c:v>7</c:v>
                </c:pt>
                <c:pt idx="7">
                  <c:v>8</c:v>
                </c:pt>
                <c:pt idx="8">
                  <c:v>9</c:v>
                </c:pt>
                <c:pt idx="9">
                  <c:v>10</c:v>
                </c:pt>
                <c:pt idx="10">
                  <c:v>11</c:v>
                </c:pt>
                <c:pt idx="11">
                  <c:v>12</c:v>
                </c:pt>
                <c:pt idx="12">
                  <c:v>(blank)</c:v>
                </c:pt>
              </c:strCache>
            </c:strRef>
          </c:cat>
          <c:val>
            <c:numRef>
              <c:f>'pivot 3'!$N$3:$N$16</c:f>
              <c:numCache>
                <c:formatCode>General</c:formatCode>
                <c:ptCount val="13"/>
                <c:pt idx="0">
                  <c:v>9450</c:v>
                </c:pt>
                <c:pt idx="1">
                  <c:v>18144.458544524241</c:v>
                </c:pt>
                <c:pt idx="2">
                  <c:v>26077.709072656653</c:v>
                </c:pt>
                <c:pt idx="3">
                  <c:v>33244.042524274308</c:v>
                </c:pt>
                <c:pt idx="4">
                  <c:v>39637.707021303344</c:v>
                </c:pt>
                <c:pt idx="5">
                  <c:v>45252.907546584334</c:v>
                </c:pt>
                <c:pt idx="6">
                  <c:v>50083.805620329178</c:v>
                </c:pt>
                <c:pt idx="7">
                  <c:v>54124.518974151331</c:v>
                </c:pt>
                <c:pt idx="8">
                  <c:v>57369.121222651404</c:v>
                </c:pt>
                <c:pt idx="9">
                  <c:v>59811.641532539477</c:v>
                </c:pt>
                <c:pt idx="10">
                  <c:v>61446.064289275935</c:v>
                </c:pt>
                <c:pt idx="11">
                  <c:v>62266.328761212164</c:v>
                </c:pt>
                <c:pt idx="12">
                  <c:v>14196722.957556427</c:v>
                </c:pt>
              </c:numCache>
            </c:numRef>
          </c:val>
          <c:extLst>
            <c:ext xmlns:c16="http://schemas.microsoft.com/office/drawing/2014/chart" uri="{C3380CC4-5D6E-409C-BE32-E72D297353CC}">
              <c16:uniqueId val="{00000000-657E-45C5-8AB8-6EC1861EEF89}"/>
            </c:ext>
          </c:extLst>
        </c:ser>
        <c:dLbls>
          <c:showLegendKey val="0"/>
          <c:showVal val="0"/>
          <c:showCatName val="0"/>
          <c:showSerName val="0"/>
          <c:showPercent val="0"/>
          <c:showBubbleSize val="0"/>
        </c:dLbls>
        <c:axId val="1381387647"/>
        <c:axId val="1381381887"/>
        <c:axId val="1322598159"/>
      </c:area3DChart>
      <c:catAx>
        <c:axId val="1381387647"/>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81381887"/>
        <c:crosses val="autoZero"/>
        <c:auto val="1"/>
        <c:lblAlgn val="ctr"/>
        <c:lblOffset val="100"/>
        <c:noMultiLvlLbl val="0"/>
      </c:catAx>
      <c:valAx>
        <c:axId val="1381381887"/>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81387647"/>
        <c:crosses val="autoZero"/>
        <c:crossBetween val="midCat"/>
      </c:valAx>
      <c:serAx>
        <c:axId val="1322598159"/>
        <c:scaling>
          <c:orientation val="minMax"/>
        </c:scaling>
        <c:delete val="0"/>
        <c:axPos val="b"/>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81381887"/>
        <c:crosses val="autoZero"/>
      </c:ser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[Subhayan_Debtanu.xlsm]pivot 3!PivotTable17</c:name>
    <c:fmtId val="0"/>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'pivot 3'!$N$20</c:f>
              <c:strCache>
                <c:ptCount val="1"/>
                <c:pt idx="0">
                  <c:v>Sum of Principal (Monthly)</c:v>
                </c:pt>
              </c:strCache>
            </c:strRef>
          </c:tx>
          <c:spPr>
            <a:solidFill>
              <a:schemeClr val="accent1"/>
            </a:solidFill>
            <a:ln>
              <a:noFill/>
            </a:ln>
            <a:effectLst/>
          </c:spPr>
          <c:invertIfNegative val="0"/>
          <c:cat>
            <c:strRef>
              <c:f>'pivot 3'!$M$21:$M$34</c:f>
              <c:strCache>
                <c:ptCount val="13"/>
                <c:pt idx="0">
                  <c:v>1</c:v>
                </c:pt>
                <c:pt idx="1">
                  <c:v>2</c:v>
                </c:pt>
                <c:pt idx="2">
                  <c:v>3</c:v>
                </c:pt>
                <c:pt idx="3">
                  <c:v>4</c:v>
                </c:pt>
                <c:pt idx="4">
                  <c:v>5</c:v>
                </c:pt>
                <c:pt idx="5">
                  <c:v>6</c:v>
                </c:pt>
                <c:pt idx="6">
                  <c:v>7</c:v>
                </c:pt>
                <c:pt idx="7">
                  <c:v>8</c:v>
                </c:pt>
                <c:pt idx="8">
                  <c:v>9</c:v>
                </c:pt>
                <c:pt idx="9">
                  <c:v>10</c:v>
                </c:pt>
                <c:pt idx="10">
                  <c:v>11</c:v>
                </c:pt>
                <c:pt idx="11">
                  <c:v>12</c:v>
                </c:pt>
                <c:pt idx="12">
                  <c:v>(blank)</c:v>
                </c:pt>
              </c:strCache>
            </c:strRef>
          </c:cat>
          <c:val>
            <c:numRef>
              <c:f>'pivot 3'!$N$21:$N$34</c:f>
              <c:numCache>
                <c:formatCode>General</c:formatCode>
                <c:ptCount val="13"/>
                <c:pt idx="0">
                  <c:v>100738.86073010099</c:v>
                </c:pt>
                <c:pt idx="1">
                  <c:v>101494.40218557678</c:v>
                </c:pt>
                <c:pt idx="2">
                  <c:v>102255.61020196859</c:v>
                </c:pt>
                <c:pt idx="3">
                  <c:v>103022.52727848337</c:v>
                </c:pt>
                <c:pt idx="4">
                  <c:v>103795.19623307195</c:v>
                </c:pt>
                <c:pt idx="5">
                  <c:v>104573.66020482003</c:v>
                </c:pt>
                <c:pt idx="6">
                  <c:v>105357.96265635616</c:v>
                </c:pt>
                <c:pt idx="7">
                  <c:v>106148.14737627885</c:v>
                </c:pt>
                <c:pt idx="8">
                  <c:v>106944.25848160092</c:v>
                </c:pt>
                <c:pt idx="9">
                  <c:v>107746.34042021295</c:v>
                </c:pt>
                <c:pt idx="10">
                  <c:v>108554.43797336455</c:v>
                </c:pt>
                <c:pt idx="11">
                  <c:v>109368.59625816485</c:v>
                </c:pt>
                <c:pt idx="12">
                  <c:v>0</c:v>
                </c:pt>
              </c:numCache>
            </c:numRef>
          </c:val>
          <c:extLst>
            <c:ext xmlns:c16="http://schemas.microsoft.com/office/drawing/2014/chart" uri="{C3380CC4-5D6E-409C-BE32-E72D297353CC}">
              <c16:uniqueId val="{00000000-6476-486C-AF6F-23E7F5F9D8C7}"/>
            </c:ext>
          </c:extLst>
        </c:ser>
        <c:ser>
          <c:idx val="1"/>
          <c:order val="1"/>
          <c:tx>
            <c:strRef>
              <c:f>'pivot 3'!$O$20</c:f>
              <c:strCache>
                <c:ptCount val="1"/>
                <c:pt idx="0">
                  <c:v>Sum of Interest (Monthly)</c:v>
                </c:pt>
              </c:strCache>
            </c:strRef>
          </c:tx>
          <c:spPr>
            <a:solidFill>
              <a:schemeClr val="accent2"/>
            </a:solidFill>
            <a:ln>
              <a:noFill/>
            </a:ln>
            <a:effectLst/>
          </c:spPr>
          <c:invertIfNegative val="0"/>
          <c:cat>
            <c:strRef>
              <c:f>'pivot 3'!$M$21:$M$34</c:f>
              <c:strCache>
                <c:ptCount val="13"/>
                <c:pt idx="0">
                  <c:v>1</c:v>
                </c:pt>
                <c:pt idx="1">
                  <c:v>2</c:v>
                </c:pt>
                <c:pt idx="2">
                  <c:v>3</c:v>
                </c:pt>
                <c:pt idx="3">
                  <c:v>4</c:v>
                </c:pt>
                <c:pt idx="4">
                  <c:v>5</c:v>
                </c:pt>
                <c:pt idx="5">
                  <c:v>6</c:v>
                </c:pt>
                <c:pt idx="6">
                  <c:v>7</c:v>
                </c:pt>
                <c:pt idx="7">
                  <c:v>8</c:v>
                </c:pt>
                <c:pt idx="8">
                  <c:v>9</c:v>
                </c:pt>
                <c:pt idx="9">
                  <c:v>10</c:v>
                </c:pt>
                <c:pt idx="10">
                  <c:v>11</c:v>
                </c:pt>
                <c:pt idx="11">
                  <c:v>12</c:v>
                </c:pt>
                <c:pt idx="12">
                  <c:v>(blank)</c:v>
                </c:pt>
              </c:strCache>
            </c:strRef>
          </c:cat>
          <c:val>
            <c:numRef>
              <c:f>'pivot 3'!$O$21:$O$34</c:f>
              <c:numCache>
                <c:formatCode>General</c:formatCode>
                <c:ptCount val="13"/>
                <c:pt idx="0">
                  <c:v>9450</c:v>
                </c:pt>
                <c:pt idx="1">
                  <c:v>8694.458544524241</c:v>
                </c:pt>
                <c:pt idx="2">
                  <c:v>7933.250528132412</c:v>
                </c:pt>
                <c:pt idx="3">
                  <c:v>7166.3334516176546</c:v>
                </c:pt>
                <c:pt idx="4">
                  <c:v>6393.6644970290363</c:v>
                </c:pt>
                <c:pt idx="5">
                  <c:v>5615.2005252809904</c:v>
                </c:pt>
                <c:pt idx="6">
                  <c:v>4830.8980737448437</c:v>
                </c:pt>
                <c:pt idx="7">
                  <c:v>4040.7133538221533</c:v>
                </c:pt>
                <c:pt idx="8">
                  <c:v>3244.6022485000722</c:v>
                </c:pt>
                <c:pt idx="9">
                  <c:v>2442.5203098880738</c:v>
                </c:pt>
                <c:pt idx="10">
                  <c:v>1634.4227567364578</c:v>
                </c:pt>
                <c:pt idx="11">
                  <c:v>820.2644719362288</c:v>
                </c:pt>
                <c:pt idx="12">
                  <c:v>0</c:v>
                </c:pt>
              </c:numCache>
            </c:numRef>
          </c:val>
          <c:extLst>
            <c:ext xmlns:c16="http://schemas.microsoft.com/office/drawing/2014/chart" uri="{C3380CC4-5D6E-409C-BE32-E72D297353CC}">
              <c16:uniqueId val="{00000001-6476-486C-AF6F-23E7F5F9D8C7}"/>
            </c:ext>
          </c:extLst>
        </c:ser>
        <c:dLbls>
          <c:showLegendKey val="0"/>
          <c:showVal val="0"/>
          <c:showCatName val="0"/>
          <c:showSerName val="0"/>
          <c:showPercent val="0"/>
          <c:showBubbleSize val="0"/>
        </c:dLbls>
        <c:gapWidth val="219"/>
        <c:overlap val="-27"/>
        <c:axId val="1381396767"/>
        <c:axId val="1381397727"/>
      </c:barChart>
      <c:lineChart>
        <c:grouping val="standard"/>
        <c:varyColors val="0"/>
        <c:ser>
          <c:idx val="2"/>
          <c:order val="2"/>
          <c:tx>
            <c:strRef>
              <c:f>'pivot 3'!$P$20</c:f>
              <c:strCache>
                <c:ptCount val="1"/>
                <c:pt idx="0">
                  <c:v>Sum of Closing 
Balance</c:v>
                </c:pt>
              </c:strCache>
            </c:strRef>
          </c:tx>
          <c:spPr>
            <a:ln w="28575" cap="rnd">
              <a:solidFill>
                <a:schemeClr val="accent3"/>
              </a:solidFill>
              <a:round/>
            </a:ln>
            <a:effectLst/>
          </c:spPr>
          <c:marker>
            <c:symbol val="none"/>
          </c:marker>
          <c:cat>
            <c:strRef>
              <c:f>'pivot 3'!$M$21:$M$34</c:f>
              <c:strCache>
                <c:ptCount val="13"/>
                <c:pt idx="0">
                  <c:v>1</c:v>
                </c:pt>
                <c:pt idx="1">
                  <c:v>2</c:v>
                </c:pt>
                <c:pt idx="2">
                  <c:v>3</c:v>
                </c:pt>
                <c:pt idx="3">
                  <c:v>4</c:v>
                </c:pt>
                <c:pt idx="4">
                  <c:v>5</c:v>
                </c:pt>
                <c:pt idx="5">
                  <c:v>6</c:v>
                </c:pt>
                <c:pt idx="6">
                  <c:v>7</c:v>
                </c:pt>
                <c:pt idx="7">
                  <c:v>8</c:v>
                </c:pt>
                <c:pt idx="8">
                  <c:v>9</c:v>
                </c:pt>
                <c:pt idx="9">
                  <c:v>10</c:v>
                </c:pt>
                <c:pt idx="10">
                  <c:v>11</c:v>
                </c:pt>
                <c:pt idx="11">
                  <c:v>12</c:v>
                </c:pt>
                <c:pt idx="12">
                  <c:v>(blank)</c:v>
                </c:pt>
              </c:strCache>
            </c:strRef>
          </c:cat>
          <c:val>
            <c:numRef>
              <c:f>'pivot 3'!$P$21:$P$34</c:f>
              <c:numCache>
                <c:formatCode>General</c:formatCode>
                <c:ptCount val="13"/>
                <c:pt idx="0">
                  <c:v>1159261.1392698991</c:v>
                </c:pt>
                <c:pt idx="1">
                  <c:v>1057766.7370843221</c:v>
                </c:pt>
                <c:pt idx="2">
                  <c:v>955511.12688235356</c:v>
                </c:pt>
                <c:pt idx="3">
                  <c:v>852488.59960387019</c:v>
                </c:pt>
                <c:pt idx="4">
                  <c:v>748693.40337079833</c:v>
                </c:pt>
                <c:pt idx="5">
                  <c:v>644119.74316597823</c:v>
                </c:pt>
                <c:pt idx="6">
                  <c:v>538761.78050962207</c:v>
                </c:pt>
                <c:pt idx="7">
                  <c:v>432613.63313334319</c:v>
                </c:pt>
                <c:pt idx="8">
                  <c:v>325669.37465174228</c:v>
                </c:pt>
                <c:pt idx="9">
                  <c:v>217923.03423152934</c:v>
                </c:pt>
                <c:pt idx="10">
                  <c:v>109368.59625816485</c:v>
                </c:pt>
                <c:pt idx="11">
                  <c:v>0</c:v>
                </c:pt>
                <c:pt idx="12">
                  <c:v>0</c:v>
                </c:pt>
              </c:numCache>
            </c:numRef>
          </c:val>
          <c:smooth val="0"/>
          <c:extLst>
            <c:ext xmlns:c16="http://schemas.microsoft.com/office/drawing/2014/chart" uri="{C3380CC4-5D6E-409C-BE32-E72D297353CC}">
              <c16:uniqueId val="{00000002-6476-486C-AF6F-23E7F5F9D8C7}"/>
            </c:ext>
          </c:extLst>
        </c:ser>
        <c:dLbls>
          <c:showLegendKey val="0"/>
          <c:showVal val="0"/>
          <c:showCatName val="0"/>
          <c:showSerName val="0"/>
          <c:showPercent val="0"/>
          <c:showBubbleSize val="0"/>
        </c:dLbls>
        <c:marker val="1"/>
        <c:smooth val="0"/>
        <c:axId val="1381402047"/>
        <c:axId val="1381401087"/>
      </c:lineChart>
      <c:catAx>
        <c:axId val="1381396767"/>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81397727"/>
        <c:crosses val="autoZero"/>
        <c:auto val="1"/>
        <c:lblAlgn val="ctr"/>
        <c:lblOffset val="100"/>
        <c:noMultiLvlLbl val="0"/>
      </c:catAx>
      <c:valAx>
        <c:axId val="1381397727"/>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81396767"/>
        <c:crosses val="autoZero"/>
        <c:crossBetween val="between"/>
      </c:valAx>
      <c:valAx>
        <c:axId val="1381401087"/>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81402047"/>
        <c:crosses val="max"/>
        <c:crossBetween val="between"/>
      </c:valAx>
      <c:catAx>
        <c:axId val="1381402047"/>
        <c:scaling>
          <c:orientation val="minMax"/>
        </c:scaling>
        <c:delete val="1"/>
        <c:axPos val="b"/>
        <c:numFmt formatCode="General" sourceLinked="1"/>
        <c:majorTickMark val="out"/>
        <c:minorTickMark val="none"/>
        <c:tickLblPos val="nextTo"/>
        <c:crossAx val="1381401087"/>
        <c:crosses val="autoZero"/>
        <c:auto val="1"/>
        <c:lblAlgn val="ctr"/>
        <c:lblOffset val="100"/>
        <c:noMultiLvlLbl val="0"/>
      </c:cat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Ex1.xml><?xml version="1.0" encoding="utf-8"?>
<cx:chartSpace xmlns:a="http://schemas.openxmlformats.org/drawingml/2006/main" xmlns:r="http://schemas.openxmlformats.org/officeDocument/2006/relationships" xmlns:cx="http://schemas.microsoft.com/office/drawing/2014/chartex">
  <cx:chartData>
    <cx:data id="0">
      <cx:numDim type="val">
        <cx:f>_xlchart.v1.0</cx:f>
      </cx:numDim>
    </cx:data>
    <cx:data id="1">
      <cx:numDim type="val">
        <cx:f>_xlchart.v1.1</cx:f>
      </cx:numDim>
    </cx:data>
    <cx:data id="2">
      <cx:numDim type="val">
        <cx:f>_xlchart.v1.2</cx:f>
      </cx:numDim>
    </cx:data>
    <cx:data id="3">
      <cx:numDim type="val">
        <cx:f>_xlchart.v1.3</cx:f>
      </cx:numDim>
    </cx:data>
    <cx:data id="4">
      <cx:numDim type="val">
        <cx:f>_xlchart.v1.4</cx:f>
      </cx:numDim>
    </cx:data>
    <cx:data id="5">
      <cx:numDim type="val">
        <cx:f>_xlchart.v1.5</cx:f>
      </cx:numDim>
    </cx:data>
    <cx:data id="6">
      <cx:numDim type="val">
        <cx:f>_xlchart.v1.6</cx:f>
      </cx:numDim>
    </cx:data>
    <cx:data id="7">
      <cx:numDim type="val">
        <cx:f>_xlchart.v1.7</cx:f>
      </cx:numDim>
    </cx:data>
  </cx:chartData>
  <cx:chart>
    <cx:title pos="t" align="ctr" overlay="0">
      <cx:tx>
        <cx:rich>
          <a:bodyPr spcFirstLastPara="1" vertOverflow="ellipsis" horzOverflow="overflow" wrap="square" lIns="0" tIns="0" rIns="0" bIns="0" anchor="ctr" anchorCtr="1"/>
          <a:lstStyle/>
          <a:p>
            <a:pPr algn="ctr" rtl="0">
              <a:defRPr/>
            </a:pPr>
            <a:r>
              <a:rPr lang="en-GB" sz="1400" b="0" i="0" u="none" strike="noStrike" baseline="0">
                <a:solidFill>
                  <a:sysClr val="windowText" lastClr="000000">
                    <a:lumMod val="65000"/>
                    <a:lumOff val="35000"/>
                  </a:sysClr>
                </a:solidFill>
                <a:latin typeface="Rockwell" panose="02060603020205020403"/>
              </a:rPr>
              <a:t>Repayment Graph</a:t>
            </a:r>
          </a:p>
          <a:p>
            <a:pPr algn="ctr" rtl="0">
              <a:defRPr/>
            </a:pPr>
            <a:endParaRPr lang="en-GB" sz="1400" b="0" i="0" u="none" strike="noStrike" baseline="0">
              <a:solidFill>
                <a:sysClr val="windowText" lastClr="000000">
                  <a:lumMod val="65000"/>
                  <a:lumOff val="35000"/>
                </a:sysClr>
              </a:solidFill>
              <a:latin typeface="Rockwell" panose="02060603020205020403"/>
            </a:endParaRPr>
          </a:p>
        </cx:rich>
      </cx:tx>
    </cx:title>
    <cx:plotArea>
      <cx:plotAreaRegion>
        <cx:series layoutId="clusteredColumn" uniqueId="{AF2B05EA-0EA3-4D85-9EEB-1CE5FC7A0136}" formatIdx="0">
          <cx:dataLabels pos="inEnd">
            <cx:visibility seriesName="0" categoryName="0" value="1"/>
          </cx:dataLabels>
          <cx:dataId val="0"/>
          <cx:layoutPr>
            <cx:binning intervalClosed="r"/>
          </cx:layoutPr>
          <cx:axisId val="1"/>
        </cx:series>
        <cx:series layoutId="paretoLine" ownerIdx="0" uniqueId="{302A9AA4-64AA-403F-ADF3-DA28CD90F554}" formatIdx="1">
          <cx:axisId val="2"/>
        </cx:series>
        <cx:series layoutId="clusteredColumn" hidden="1" uniqueId="{3C9EFDC7-541C-4FE3-8B29-4F783E100A9A}" formatIdx="2">
          <cx:dataLabels pos="inEnd">
            <cx:visibility seriesName="0" categoryName="0" value="1"/>
          </cx:dataLabels>
          <cx:dataId val="1"/>
          <cx:layoutPr>
            <cx:binning intervalClosed="r"/>
          </cx:layoutPr>
          <cx:axisId val="1"/>
        </cx:series>
        <cx:series layoutId="paretoLine" ownerIdx="2" uniqueId="{38B166B8-BA15-410E-B40D-0D84E713435E}" formatIdx="3">
          <cx:axisId val="2"/>
        </cx:series>
        <cx:series layoutId="clusteredColumn" hidden="1" uniqueId="{5E336762-37C5-48E3-90EE-6E02F7FB9655}" formatIdx="4">
          <cx:dataLabels pos="inEnd">
            <cx:visibility seriesName="0" categoryName="0" value="1"/>
          </cx:dataLabels>
          <cx:dataId val="2"/>
          <cx:layoutPr>
            <cx:binning intervalClosed="r"/>
          </cx:layoutPr>
          <cx:axisId val="1"/>
        </cx:series>
        <cx:series layoutId="paretoLine" ownerIdx="4" uniqueId="{4269B4DA-F8CB-453F-A971-B513E4E46E08}" formatIdx="5">
          <cx:axisId val="2"/>
        </cx:series>
        <cx:series layoutId="clusteredColumn" hidden="1" uniqueId="{33E02ACD-DE8A-4960-9263-8EBBC3C956BC}" formatIdx="6">
          <cx:dataLabels pos="inEnd">
            <cx:visibility seriesName="0" categoryName="0" value="1"/>
          </cx:dataLabels>
          <cx:dataId val="3"/>
          <cx:layoutPr>
            <cx:binning intervalClosed="r"/>
          </cx:layoutPr>
          <cx:axisId val="1"/>
        </cx:series>
        <cx:series layoutId="paretoLine" ownerIdx="6" uniqueId="{F94D808B-ECF6-4E19-9BFE-340B5ABF2888}" formatIdx="7">
          <cx:axisId val="2"/>
        </cx:series>
        <cx:series layoutId="clusteredColumn" hidden="1" uniqueId="{52900FD2-D14D-4103-8449-F621CEA9F2CA}" formatIdx="8">
          <cx:dataLabels pos="inEnd">
            <cx:visibility seriesName="0" categoryName="0" value="1"/>
          </cx:dataLabels>
          <cx:dataId val="4"/>
          <cx:layoutPr>
            <cx:binning intervalClosed="r"/>
          </cx:layoutPr>
          <cx:axisId val="1"/>
        </cx:series>
        <cx:series layoutId="paretoLine" ownerIdx="8" uniqueId="{071A3475-600F-4030-A1C3-F62F149B2783}" formatIdx="9">
          <cx:axisId val="2"/>
        </cx:series>
        <cx:series layoutId="clusteredColumn" hidden="1" uniqueId="{4E3F578A-6C45-4503-B119-4C36AC4F17FD}" formatIdx="10">
          <cx:dataLabels pos="inEnd">
            <cx:visibility seriesName="0" categoryName="0" value="1"/>
          </cx:dataLabels>
          <cx:dataId val="5"/>
          <cx:layoutPr>
            <cx:binning intervalClosed="r"/>
          </cx:layoutPr>
          <cx:axisId val="1"/>
        </cx:series>
        <cx:series layoutId="paretoLine" ownerIdx="10" uniqueId="{BCACC6FF-CBCD-4A8F-9DD0-8E0D9E5D792B}" formatIdx="11">
          <cx:axisId val="2"/>
        </cx:series>
        <cx:series layoutId="clusteredColumn" hidden="1" uniqueId="{5E238562-B76B-4605-80F8-D46BDBB80CFA}" formatIdx="12">
          <cx:dataLabels pos="inEnd">
            <cx:visibility seriesName="0" categoryName="0" value="1"/>
          </cx:dataLabels>
          <cx:dataId val="6"/>
          <cx:layoutPr>
            <cx:binning intervalClosed="r"/>
          </cx:layoutPr>
          <cx:axisId val="1"/>
        </cx:series>
        <cx:series layoutId="paretoLine" ownerIdx="12" uniqueId="{EC41DBF4-9598-44F9-8C55-4001478CC953}" formatIdx="13">
          <cx:axisId val="2"/>
        </cx:series>
        <cx:series layoutId="clusteredColumn" hidden="1" uniqueId="{100930D5-1607-4DE1-8CA5-D5BE7A6DB530}" formatIdx="14">
          <cx:dataLabels pos="inEnd">
            <cx:visibility seriesName="0" categoryName="0" value="1"/>
          </cx:dataLabels>
          <cx:dataId val="7"/>
          <cx:layoutPr>
            <cx:binning intervalClosed="r"/>
          </cx:layoutPr>
          <cx:axisId val="1"/>
        </cx:series>
        <cx:series layoutId="paretoLine" ownerIdx="14" uniqueId="{AAF687B7-2B13-4C43-92EB-D7AD7A04E6EC}" formatIdx="15">
          <cx:axisId val="2"/>
        </cx:series>
      </cx:plotAreaRegion>
      <cx:axis id="0">
        <cx:catScaling gapWidth="0"/>
        <cx:tickLabels/>
      </cx:axis>
      <cx:axis id="1" hidden="1">
        <cx:valScaling/>
        <cx:majorGridlines/>
        <cx:tickLabels/>
      </cx:axis>
      <cx:axis id="2">
        <cx:valScaling max="1" min="0"/>
        <cx:units unit="percentage"/>
        <cx:tickLabels/>
      </cx:axis>
    </cx:plotArea>
  </cx:chart>
</cx: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withinLinear" id="14">
  <a:schemeClr val="accent1"/>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withinLinearReversed" id="21">
  <a:schemeClr val="accent1"/>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withinLinear" id="14">
  <a:schemeClr val="accent1"/>
</cs:colorStyle>
</file>

<file path=xl/charts/colors14.xml><?xml version="1.0" encoding="utf-8"?>
<cs:colorStyle xmlns:cs="http://schemas.microsoft.com/office/drawing/2012/chartStyle" xmlns:a="http://schemas.openxmlformats.org/drawingml/2006/main" meth="withinLinear" id="14">
  <a:schemeClr val="accent1"/>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withinLinear" id="14">
  <a:schemeClr val="accent1"/>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3">
  <cs:axisTitle>
    <cs:lnRef idx="0"/>
    <cs:fillRef idx="0"/>
    <cs:effectRef idx="0"/>
    <cs:fontRef idx="minor">
      <a:schemeClr val="tx1">
        <a:lumMod val="65000"/>
        <a:lumOff val="35000"/>
      </a:schemeClr>
    </cs:fontRef>
    <cs:defRPr sz="900" b="1" kern="1200"/>
  </cs:axisTitle>
  <cs:categoryAxis>
    <cs:lnRef idx="0"/>
    <cs:fillRef idx="0"/>
    <cs:effectRef idx="0"/>
    <cs:fontRef idx="minor">
      <a:schemeClr val="tx1">
        <a:lumMod val="65000"/>
        <a:lumOff val="35000"/>
      </a:schemeClr>
    </cs:fontRef>
    <cs:spPr>
      <a:ln w="19050"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dk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styleClr val="auto"/>
    </cs:effectRef>
    <cs:fontRef idx="minor">
      <a:schemeClr val="dk1"/>
    </cs:fontRef>
    <cs:spPr>
      <a:pattFill prst="narHorz">
        <a:fgClr>
          <a:schemeClr val="phClr"/>
        </a:fgClr>
        <a:bgClr>
          <a:schemeClr val="phClr">
            <a:lumMod val="20000"/>
            <a:lumOff val="80000"/>
          </a:schemeClr>
        </a:bgClr>
      </a:pattFill>
      <a:effectLst>
        <a:innerShdw blurRad="114300">
          <a:schemeClr val="phClr"/>
        </a:innerShdw>
      </a:effectLst>
    </cs:spPr>
  </cs:dataPoint>
  <cs:dataPoint3D>
    <cs:lnRef idx="0"/>
    <cs:fillRef idx="0">
      <cs:styleClr val="auto"/>
    </cs:fillRef>
    <cs:effectRef idx="0"/>
    <cs:fontRef idx="minor">
      <a:schemeClr val="dk1"/>
    </cs:fontRef>
    <cs:spPr>
      <a:pattFill prst="narHorz">
        <a:fgClr>
          <a:schemeClr val="phClr"/>
        </a:fgClr>
        <a:bgClr>
          <a:schemeClr val="phClr">
            <a:lumMod val="20000"/>
            <a:lumOff val="80000"/>
          </a:schemeClr>
        </a:bgClr>
      </a:pattFill>
      <a:effectLst>
        <a:innerShdw blurRad="114300">
          <a:schemeClr val="phClr"/>
        </a:innerShdw>
      </a:effectLst>
    </cs:spPr>
  </cs:dataPoint3D>
  <cs:dataPointLine>
    <cs:lnRef idx="0">
      <cs:styleClr val="auto"/>
    </cs:lnRef>
    <cs:fillRef idx="0"/>
    <cs:effectRef idx="0"/>
    <cs:fontRef idx="minor">
      <a:schemeClr val="dk1"/>
    </cs:fontRef>
    <cs:spPr>
      <a:ln w="28575" cap="rnd">
        <a:solidFill>
          <a:schemeClr val="phClr"/>
        </a:solidFill>
        <a:round/>
      </a:ln>
    </cs:spPr>
  </cs:dataPointLine>
  <cs:dataPointMarker>
    <cs:lnRef idx="0"/>
    <cs:fillRef idx="0">
      <cs:styleClr val="auto"/>
    </cs:fillRef>
    <cs:effectRef idx="0"/>
    <cs:fontRef idx="minor">
      <a:schemeClr val="dk1"/>
    </cs:fontRef>
    <cs:spPr>
      <a:solidFill>
        <a:schemeClr val="ph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50000"/>
            <a:lumOff val="50000"/>
          </a:schemeClr>
        </a:solidFill>
      </a:ln>
    </cs:spPr>
  </cs:downBar>
  <cs:dropLine>
    <cs:lnRef idx="0"/>
    <cs:fillRef idx="0"/>
    <cs:effectRef idx="0"/>
    <cs:fontRef idx="minor">
      <a:schemeClr val="dk1"/>
    </cs:fontRef>
    <cs:spPr>
      <a:ln w="9525">
        <a:solidFill>
          <a:schemeClr val="tx1">
            <a:lumMod val="35000"/>
            <a:lumOff val="65000"/>
          </a:schemeClr>
        </a:solidFill>
        <a:round/>
      </a:ln>
    </cs:spPr>
  </cs:dropLine>
  <cs:errorBar>
    <cs:lnRef idx="0"/>
    <cs:fillRef idx="0"/>
    <cs:effectRef idx="0"/>
    <cs:fontRef idx="minor">
      <a:schemeClr val="dk1"/>
    </cs:fontRef>
    <cs:spPr>
      <a:ln w="9525">
        <a:solidFill>
          <a:schemeClr val="tx1">
            <a:lumMod val="50000"/>
            <a:lumOff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a:solidFill>
          <a:schemeClr val="tx1">
            <a:lumMod val="15000"/>
            <a:lumOff val="85000"/>
          </a:schemeClr>
        </a:solidFill>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35000"/>
            <a:lumOff val="65000"/>
          </a:schemeClr>
        </a:solidFill>
        <a:round/>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inor">
      <a:schemeClr val="tx1">
        <a:lumMod val="50000"/>
        <a:lumOff val="50000"/>
      </a:schemeClr>
    </cs:fontRef>
    <cs:defRPr sz="1800" b="1" kern="1200" cap="all" spc="15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50000"/>
            <a:lumOff val="50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dk1"/>
    </cs:fontRef>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53">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4.xml><?xml version="1.0" encoding="utf-8"?>
<cs:chartStyle xmlns:cs="http://schemas.microsoft.com/office/drawing/2012/chartStyle" xmlns:a="http://schemas.openxmlformats.org/drawingml/2006/main" id="204">
  <cs:axisTitle>
    <cs:lnRef idx="0"/>
    <cs:fillRef idx="0"/>
    <cs:effectRef idx="0"/>
    <cs:fontRef idx="minor">
      <a:schemeClr val="dk1">
        <a:lumMod val="65000"/>
        <a:lumOff val="35000"/>
      </a:schemeClr>
    </cs:fontRef>
    <cs:defRPr sz="900" b="1" kern="1200"/>
  </cs:axisTitle>
  <cs:categoryAxis>
    <cs:lnRef idx="0"/>
    <cs:fillRef idx="0"/>
    <cs:effectRef idx="0"/>
    <cs:fontRef idx="minor">
      <a:schemeClr val="dk1">
        <a:lumMod val="65000"/>
        <a:lumOff val="35000"/>
      </a:schemeClr>
    </cs:fontRef>
    <cs:defRPr sz="900" kern="1200">
      <a:effectLst/>
    </cs:defRPr>
  </cs:categoryAxis>
  <cs:chartArea>
    <cs:lnRef idx="0"/>
    <cs:fillRef idx="0"/>
    <cs:effectRef idx="0"/>
    <cs:fontRef idx="minor">
      <a:schemeClr val="dk1"/>
    </cs:fontRef>
    <cs:spPr>
      <a:gradFill flip="none" rotWithShape="1">
        <a:gsLst>
          <a:gs pos="0">
            <a:schemeClr val="lt1"/>
          </a:gs>
          <a:gs pos="68000">
            <a:schemeClr val="lt1">
              <a:lumMod val="85000"/>
            </a:schemeClr>
          </a:gs>
          <a:gs pos="100000">
            <a:schemeClr val="lt1"/>
          </a:gs>
        </a:gsLst>
        <a:lin ang="5400000" scaled="1"/>
        <a:tileRect/>
      </a:gradFill>
      <a:ln w="9525" cap="flat" cmpd="sng" algn="ctr">
        <a:solidFill>
          <a:schemeClr val="dk1">
            <a:lumMod val="15000"/>
            <a:lumOff val="85000"/>
          </a:schemeClr>
        </a:solidFill>
        <a:round/>
      </a:ln>
    </cs:spPr>
    <cs:defRPr sz="1000" kern="1200"/>
  </cs:chartArea>
  <cs:dataLabel>
    <cs:lnRef idx="0"/>
    <cs:fillRef idx="0"/>
    <cs:effectRef idx="0"/>
    <cs:fontRef idx="minor">
      <a:schemeClr val="lt1"/>
    </cs:fontRef>
    <cs:spPr/>
    <cs:defRPr sz="1000" b="1" i="0" u="none" strike="noStrike" kern="1200" baseline="0"/>
  </cs:dataLabel>
  <cs:dataLabelCallout>
    <cs:lnRef idx="0"/>
    <cs:fillRef idx="0"/>
    <cs:effectRef idx="0"/>
    <cs:fontRef idx="minor">
      <a:schemeClr val="lt1"/>
    </cs:fontRef>
    <cs:spPr>
      <a:solidFill>
        <a:schemeClr val="dk1">
          <a:lumMod val="65000"/>
          <a:lumOff val="35000"/>
          <a:alpha val="75000"/>
        </a:schemeClr>
      </a:solidFill>
    </cs:spPr>
    <cs:defRPr sz="1000" b="1" kern="1200"/>
    <cs:bodyPr rot="0" spcFirstLastPara="1" vertOverflow="clip" horzOverflow="clip" vert="horz" wrap="square" lIns="36576" tIns="18288" rIns="36576" bIns="18288" anchor="ctr" anchorCtr="1">
      <a:spAutoFit/>
    </cs:bodyPr>
  </cs:dataLabelCallout>
  <cs:dataPoint>
    <cs:lnRef idx="0">
      <cs:styleClr val="auto"/>
    </cs:lnRef>
    <cs:fillRef idx="0">
      <cs:styleClr val="auto"/>
    </cs:fillRef>
    <cs:effectRef idx="0"/>
    <cs:fontRef idx="minor">
      <a:schemeClr val="dk1"/>
    </cs:fontRef>
    <cs:spPr>
      <a:gradFill>
        <a:gsLst>
          <a:gs pos="0">
            <a:schemeClr val="phClr"/>
          </a:gs>
          <a:gs pos="100000">
            <a:schemeClr val="phClr">
              <a:lumMod val="84000"/>
            </a:schemeClr>
          </a:gs>
        </a:gsLst>
        <a:lin ang="5400000" scaled="1"/>
      </a:gradFill>
      <a:effectLst>
        <a:outerShdw blurRad="76200" dir="18900000" sy="23000" kx="-1200000" algn="bl" rotWithShape="0">
          <a:prstClr val="black">
            <a:alpha val="20000"/>
          </a:prstClr>
        </a:outerShdw>
      </a:effectLst>
    </cs:spPr>
  </cs:dataPoint>
  <cs:dataPoint3D>
    <cs:lnRef idx="0"/>
    <cs:fillRef idx="0">
      <cs:styleClr val="auto"/>
    </cs:fillRef>
    <cs:effectRef idx="0"/>
    <cs:fontRef idx="minor">
      <a:schemeClr val="dk1"/>
    </cs:fontRef>
    <cs:spPr>
      <a:gradFill>
        <a:gsLst>
          <a:gs pos="0">
            <a:schemeClr val="phClr"/>
          </a:gs>
          <a:gs pos="100000">
            <a:schemeClr val="phClr">
              <a:lumMod val="84000"/>
            </a:schemeClr>
          </a:gs>
        </a:gsLst>
        <a:lin ang="5400000" scaled="1"/>
      </a:gradFill>
      <a:effectLst>
        <a:outerShdw blurRad="76200" dir="18900000" sy="23000" kx="-1200000" algn="bl" rotWithShape="0">
          <a:prstClr val="black">
            <a:alpha val="20000"/>
          </a:prstClr>
        </a:outerShdw>
      </a:effectLst>
    </cs:spPr>
  </cs:dataPoint3D>
  <cs:dataPointLine>
    <cs:lnRef idx="0">
      <cs:styleClr val="auto"/>
    </cs:lnRef>
    <cs:fillRef idx="0"/>
    <cs:effectRef idx="0"/>
    <cs:fontRef idx="minor">
      <a:schemeClr val="dk1"/>
    </cs:fontRef>
    <cs:spPr>
      <a:ln w="28575" cap="rnd">
        <a:gradFill>
          <a:gsLst>
            <a:gs pos="0">
              <a:schemeClr val="phClr"/>
            </a:gs>
            <a:gs pos="100000">
              <a:schemeClr val="phClr">
                <a:lumMod val="84000"/>
              </a:schemeClr>
            </a:gs>
          </a:gsLst>
          <a:lin ang="5400000" scaled="1"/>
        </a:gradFill>
        <a:round/>
      </a:ln>
    </cs:spPr>
  </cs:dataPointLine>
  <cs:dataPointMarker>
    <cs:lnRef idx="0"/>
    <cs:fillRef idx="0">
      <cs:styleClr val="auto"/>
    </cs:fillRef>
    <cs:effectRef idx="0"/>
    <cs:fontRef idx="minor">
      <a:schemeClr val="dk1"/>
    </cs:fontRef>
    <cs:spPr>
      <a:gradFill>
        <a:gsLst>
          <a:gs pos="0">
            <a:schemeClr val="phClr"/>
          </a:gs>
          <a:gs pos="100000">
            <a:schemeClr val="phClr">
              <a:lumMod val="84000"/>
            </a:schemeClr>
          </a:gs>
        </a:gsLst>
        <a:lin ang="5400000" scaled="1"/>
      </a:gradFill>
      <a:effectLst>
        <a:outerShdw blurRad="76200" dir="18900000" sy="23000" kx="-1200000" algn="bl" rotWithShape="0">
          <a:prstClr val="black">
            <a:alpha val="20000"/>
          </a:prstClr>
        </a:outerShdw>
      </a:effectLst>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ln w="9525">
        <a:solidFill>
          <a:schemeClr val="dk1">
            <a:lumMod val="15000"/>
            <a:lumOff val="85000"/>
          </a:schemeClr>
        </a:solidFill>
      </a:ln>
    </cs:spPr>
    <cs:defRPr sz="900" kern="1200"/>
  </cs:dataTable>
  <cs:downBar>
    <cs:lnRef idx="0"/>
    <cs:fillRef idx="0"/>
    <cs:effectRef idx="0"/>
    <cs:fontRef idx="minor">
      <a:schemeClr val="dk1"/>
    </cs:fontRef>
    <cs:spPr>
      <a:solidFill>
        <a:schemeClr val="dk1">
          <a:lumMod val="35000"/>
          <a:lumOff val="65000"/>
        </a:schemeClr>
      </a:solidFill>
      <a:ln w="9525">
        <a:solidFill>
          <a:schemeClr val="dk1">
            <a:lumMod val="50000"/>
            <a:lumOff val="50000"/>
          </a:schemeClr>
        </a:solidFill>
      </a:ln>
    </cs:spPr>
  </cs:downBar>
  <cs:dropLine>
    <cs:lnRef idx="0"/>
    <cs:fillRef idx="0"/>
    <cs:effectRef idx="0"/>
    <cs:fontRef idx="minor">
      <a:schemeClr val="dk1"/>
    </cs:fontRef>
    <cs:spPr>
      <a:ln w="9525">
        <a:solidFill>
          <a:schemeClr val="dk1">
            <a:lumMod val="50000"/>
            <a:lumOff val="50000"/>
          </a:schemeClr>
        </a:solidFill>
        <a:round/>
      </a:ln>
    </cs:spPr>
  </cs:dropLine>
  <cs:errorBar>
    <cs:lnRef idx="0"/>
    <cs:fillRef idx="0"/>
    <cs:effectRef idx="0"/>
    <cs:fontRef idx="minor">
      <a:schemeClr val="dk1"/>
    </cs:fontRef>
    <cs:spPr>
      <a:ln w="9525">
        <a:solidFill>
          <a:schemeClr val="dk1">
            <a:lumMod val="50000"/>
            <a:lumOff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dk1">
            <a:lumMod val="15000"/>
            <a:lumOff val="85000"/>
          </a:schemeClr>
        </a:solidFill>
        <a:round/>
      </a:ln>
    </cs:spPr>
  </cs:gridlineMajor>
  <cs:gridlineMinor>
    <cs:lnRef idx="0"/>
    <cs:fillRef idx="0"/>
    <cs:effectRef idx="0"/>
    <cs:fontRef idx="minor">
      <a:schemeClr val="dk1"/>
    </cs:fontRef>
    <cs:spPr>
      <a:ln>
        <a:solidFill>
          <a:schemeClr val="dk1">
            <a:lumMod val="5000"/>
            <a:lumOff val="95000"/>
          </a:schemeClr>
        </a:solidFill>
      </a:ln>
    </cs:spPr>
  </cs:gridlineMinor>
  <cs:hiLoLine>
    <cs:lnRef idx="0"/>
    <cs:fillRef idx="0"/>
    <cs:effectRef idx="0"/>
    <cs:fontRef idx="minor">
      <a:schemeClr val="dk1"/>
    </cs:fontRef>
    <cs:spPr>
      <a:ln w="9525">
        <a:solidFill>
          <a:schemeClr val="dk1">
            <a:lumMod val="50000"/>
            <a:lumOff val="50000"/>
          </a:schemeClr>
        </a:solidFill>
        <a:round/>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65000"/>
        <a:lumOff val="3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65000"/>
        <a:lumOff val="35000"/>
      </a:schemeClr>
    </cs:fontRef>
    <cs:defRPr kern="1200">
      <a:effectLst/>
    </cs:defRPr>
  </cs:title>
  <cs:trendline>
    <cs:lnRef idx="0">
      <cs:styleClr val="auto"/>
    </cs:lnRef>
    <cs:fillRef idx="0"/>
    <cs:effectRef idx="0"/>
    <cs:fontRef idx="minor">
      <a:schemeClr val="dk1"/>
    </cs:fontRef>
    <cs:spPr>
      <a:ln w="19050" cap="rnd">
        <a:solidFill>
          <a:schemeClr val="phClr"/>
        </a:solidFill>
        <a:prstDash val="sysDash"/>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lumMod val="95000"/>
        </a:schemeClr>
      </a:solidFill>
      <a:ln w="9525">
        <a:solidFill>
          <a:schemeClr val="dk1">
            <a:lumMod val="15000"/>
            <a:lumOff val="85000"/>
          </a:schemeClr>
        </a:solidFill>
      </a:ln>
    </cs:spPr>
  </cs:upBar>
  <cs:valueAxis>
    <cs:lnRef idx="0"/>
    <cs:fillRef idx="0"/>
    <cs:effectRef idx="0"/>
    <cs:fontRef idx="minor">
      <a:schemeClr val="dk1">
        <a:lumMod val="65000"/>
        <a:lumOff val="35000"/>
      </a:schemeClr>
    </cs:fontRef>
    <cs:defRPr sz="900" kern="1200"/>
  </cs:valueAxis>
  <cs:wall>
    <cs:lnRef idx="0"/>
    <cs:fillRef idx="0"/>
    <cs:effectRef idx="0"/>
    <cs:fontRef idx="minor">
      <a:schemeClr val="dk1"/>
    </cs:fontRef>
  </cs:wall>
</cs:chartStyle>
</file>

<file path=xl/charts/style5.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53">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7.xml><?xml version="1.0" encoding="utf-8"?>
<cs:chartStyle xmlns:cs="http://schemas.microsoft.com/office/drawing/2012/chartStyle" xmlns:a="http://schemas.openxmlformats.org/drawingml/2006/main" id="205">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defRPr sz="900" b="1" i="0" u="none" strike="noStrike" kern="1200" baseline="0"/>
  </cs:dataLabel>
  <cs:dataLabelCallout>
    <cs:lnRef idx="0"/>
    <cs:fillRef idx="0"/>
    <cs:effectRef idx="0"/>
    <cs:fontRef idx="minor">
      <a:schemeClr val="lt1"/>
    </cs:fontRef>
    <cs:spPr>
      <a:solidFill>
        <a:schemeClr val="dk1">
          <a:lumMod val="65000"/>
          <a:lumOff val="35000"/>
          <a:alpha val="75000"/>
        </a:schemeClr>
      </a:solidFill>
    </cs:spPr>
    <cs:defRPr sz="900" b="1"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
  <cs:dataPoint3D>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8.xml><?xml version="1.0" encoding="utf-8"?>
<cs:chartStyle xmlns:cs="http://schemas.microsoft.com/office/drawing/2012/chartStyle" xmlns:a="http://schemas.openxmlformats.org/drawingml/2006/main" id="218">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defRPr sz="900" b="1" i="0" u="none" strike="noStrike" kern="1200" baseline="0"/>
  </cs:dataLabel>
  <cs:dataLabelCallout>
    <cs:lnRef idx="0"/>
    <cs:fillRef idx="0"/>
    <cs:effectRef idx="0"/>
    <cs:fontRef idx="minor">
      <a:schemeClr val="lt1"/>
    </cs:fontRef>
    <cs:spPr>
      <a:solidFill>
        <a:schemeClr val="dk1">
          <a:lumMod val="65000"/>
          <a:lumOff val="35000"/>
          <a:alpha val="75000"/>
        </a:schemeClr>
      </a:solidFill>
    </cs:spPr>
    <cs:defRPr sz="900" b="1"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
  <cs:dataPoint3D>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9.xml><?xml version="1.0" encoding="utf-8"?>
<cs:chartStyle xmlns:cs="http://schemas.microsoft.com/office/drawing/2012/chartStyle" xmlns:a="http://schemas.openxmlformats.org/drawingml/2006/main" id="205">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defRPr sz="900" b="1" i="0" u="none" strike="noStrike" kern="1200" baseline="0"/>
  </cs:dataLabel>
  <cs:dataLabelCallout>
    <cs:lnRef idx="0"/>
    <cs:fillRef idx="0"/>
    <cs:effectRef idx="0"/>
    <cs:fontRef idx="minor">
      <a:schemeClr val="lt1"/>
    </cs:fontRef>
    <cs:spPr>
      <a:solidFill>
        <a:schemeClr val="dk1">
          <a:lumMod val="65000"/>
          <a:lumOff val="35000"/>
          <a:alpha val="75000"/>
        </a:schemeClr>
      </a:solidFill>
    </cs:spPr>
    <cs:defRPr sz="900" b="1"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
  <cs:dataPoint3D>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10.xml><?xml version="1.0" encoding="utf-8"?>
<cs:chartStyle xmlns:cs="http://schemas.microsoft.com/office/drawing/2012/chartStyle" xmlns:a="http://schemas.openxmlformats.org/drawingml/2006/main" id="203">
  <cs:axisTitle>
    <cs:lnRef idx="0"/>
    <cs:fillRef idx="0"/>
    <cs:effectRef idx="0"/>
    <cs:fontRef idx="minor">
      <a:schemeClr val="tx1">
        <a:lumMod val="65000"/>
        <a:lumOff val="35000"/>
      </a:schemeClr>
    </cs:fontRef>
    <cs:defRPr sz="900" b="1" kern="1200"/>
  </cs:axisTitle>
  <cs:categoryAxis>
    <cs:lnRef idx="0"/>
    <cs:fillRef idx="0"/>
    <cs:effectRef idx="0"/>
    <cs:fontRef idx="minor">
      <a:schemeClr val="tx1">
        <a:lumMod val="65000"/>
        <a:lumOff val="35000"/>
      </a:schemeClr>
    </cs:fontRef>
    <cs:spPr>
      <a:ln w="19050"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dk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styleClr val="auto"/>
    </cs:effectRef>
    <cs:fontRef idx="minor">
      <a:schemeClr val="dk1"/>
    </cs:fontRef>
    <cs:spPr>
      <a:pattFill prst="narHorz">
        <a:fgClr>
          <a:schemeClr val="phClr"/>
        </a:fgClr>
        <a:bgClr>
          <a:schemeClr val="phClr">
            <a:lumMod val="20000"/>
            <a:lumOff val="80000"/>
          </a:schemeClr>
        </a:bgClr>
      </a:pattFill>
      <a:effectLst>
        <a:innerShdw blurRad="114300">
          <a:schemeClr val="phClr"/>
        </a:innerShdw>
      </a:effectLst>
    </cs:spPr>
  </cs:dataPoint>
  <cs:dataPoint3D>
    <cs:lnRef idx="0"/>
    <cs:fillRef idx="0">
      <cs:styleClr val="auto"/>
    </cs:fillRef>
    <cs:effectRef idx="0"/>
    <cs:fontRef idx="minor">
      <a:schemeClr val="dk1"/>
    </cs:fontRef>
    <cs:spPr>
      <a:pattFill prst="narHorz">
        <a:fgClr>
          <a:schemeClr val="phClr"/>
        </a:fgClr>
        <a:bgClr>
          <a:schemeClr val="phClr">
            <a:lumMod val="20000"/>
            <a:lumOff val="80000"/>
          </a:schemeClr>
        </a:bgClr>
      </a:pattFill>
      <a:effectLst>
        <a:innerShdw blurRad="114300">
          <a:schemeClr val="phClr"/>
        </a:innerShdw>
      </a:effectLst>
    </cs:spPr>
  </cs:dataPoint3D>
  <cs:dataPointLine>
    <cs:lnRef idx="0">
      <cs:styleClr val="auto"/>
    </cs:lnRef>
    <cs:fillRef idx="0"/>
    <cs:effectRef idx="0"/>
    <cs:fontRef idx="minor">
      <a:schemeClr val="dk1"/>
    </cs:fontRef>
    <cs:spPr>
      <a:ln w="28575" cap="rnd">
        <a:solidFill>
          <a:schemeClr val="phClr"/>
        </a:solidFill>
        <a:round/>
      </a:ln>
    </cs:spPr>
  </cs:dataPointLine>
  <cs:dataPointMarker>
    <cs:lnRef idx="0"/>
    <cs:fillRef idx="0">
      <cs:styleClr val="auto"/>
    </cs:fillRef>
    <cs:effectRef idx="0"/>
    <cs:fontRef idx="minor">
      <a:schemeClr val="dk1"/>
    </cs:fontRef>
    <cs:spPr>
      <a:solidFill>
        <a:schemeClr val="ph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50000"/>
            <a:lumOff val="50000"/>
          </a:schemeClr>
        </a:solidFill>
      </a:ln>
    </cs:spPr>
  </cs:downBar>
  <cs:dropLine>
    <cs:lnRef idx="0"/>
    <cs:fillRef idx="0"/>
    <cs:effectRef idx="0"/>
    <cs:fontRef idx="minor">
      <a:schemeClr val="dk1"/>
    </cs:fontRef>
    <cs:spPr>
      <a:ln w="9525">
        <a:solidFill>
          <a:schemeClr val="tx1">
            <a:lumMod val="35000"/>
            <a:lumOff val="65000"/>
          </a:schemeClr>
        </a:solidFill>
        <a:round/>
      </a:ln>
    </cs:spPr>
  </cs:dropLine>
  <cs:errorBar>
    <cs:lnRef idx="0"/>
    <cs:fillRef idx="0"/>
    <cs:effectRef idx="0"/>
    <cs:fontRef idx="minor">
      <a:schemeClr val="dk1"/>
    </cs:fontRef>
    <cs:spPr>
      <a:ln w="9525">
        <a:solidFill>
          <a:schemeClr val="tx1">
            <a:lumMod val="50000"/>
            <a:lumOff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a:solidFill>
          <a:schemeClr val="tx1">
            <a:lumMod val="15000"/>
            <a:lumOff val="85000"/>
          </a:schemeClr>
        </a:solidFill>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35000"/>
            <a:lumOff val="65000"/>
          </a:schemeClr>
        </a:solidFill>
        <a:round/>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inor">
      <a:schemeClr val="tx1">
        <a:lumMod val="50000"/>
        <a:lumOff val="50000"/>
      </a:schemeClr>
    </cs:fontRef>
    <cs:defRPr sz="1800" b="1" kern="1200" cap="all" spc="15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50000"/>
            <a:lumOff val="50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dk1"/>
    </cs:fontRef>
  </cs:wall>
</cs:chartStyle>
</file>

<file path=xl/charts/style11.xml><?xml version="1.0" encoding="utf-8"?>
<cs:chartStyle xmlns:cs="http://schemas.microsoft.com/office/drawing/2012/chartStyle" xmlns:a="http://schemas.openxmlformats.org/drawingml/2006/main" id="204">
  <cs:axisTitle>
    <cs:lnRef idx="0"/>
    <cs:fillRef idx="0"/>
    <cs:effectRef idx="0"/>
    <cs:fontRef idx="minor">
      <a:schemeClr val="dk1">
        <a:lumMod val="65000"/>
        <a:lumOff val="35000"/>
      </a:schemeClr>
    </cs:fontRef>
    <cs:defRPr sz="900" b="1" kern="1200"/>
  </cs:axisTitle>
  <cs:categoryAxis>
    <cs:lnRef idx="0"/>
    <cs:fillRef idx="0"/>
    <cs:effectRef idx="0"/>
    <cs:fontRef idx="minor">
      <a:schemeClr val="dk1">
        <a:lumMod val="65000"/>
        <a:lumOff val="35000"/>
      </a:schemeClr>
    </cs:fontRef>
    <cs:defRPr sz="900" kern="1200">
      <a:effectLst/>
    </cs:defRPr>
  </cs:categoryAxis>
  <cs:chartArea>
    <cs:lnRef idx="0"/>
    <cs:fillRef idx="0"/>
    <cs:effectRef idx="0"/>
    <cs:fontRef idx="minor">
      <a:schemeClr val="dk1"/>
    </cs:fontRef>
    <cs:spPr>
      <a:gradFill flip="none" rotWithShape="1">
        <a:gsLst>
          <a:gs pos="0">
            <a:schemeClr val="lt1"/>
          </a:gs>
          <a:gs pos="68000">
            <a:schemeClr val="lt1">
              <a:lumMod val="85000"/>
            </a:schemeClr>
          </a:gs>
          <a:gs pos="100000">
            <a:schemeClr val="lt1"/>
          </a:gs>
        </a:gsLst>
        <a:lin ang="5400000" scaled="1"/>
        <a:tileRect/>
      </a:gradFill>
      <a:ln w="9525" cap="flat" cmpd="sng" algn="ctr">
        <a:solidFill>
          <a:schemeClr val="dk1">
            <a:lumMod val="15000"/>
            <a:lumOff val="85000"/>
          </a:schemeClr>
        </a:solidFill>
        <a:round/>
      </a:ln>
    </cs:spPr>
    <cs:defRPr sz="1000" kern="1200"/>
  </cs:chartArea>
  <cs:dataLabel>
    <cs:lnRef idx="0"/>
    <cs:fillRef idx="0"/>
    <cs:effectRef idx="0"/>
    <cs:fontRef idx="minor">
      <a:schemeClr val="lt1"/>
    </cs:fontRef>
    <cs:spPr/>
    <cs:defRPr sz="1000" b="1" i="0" u="none" strike="noStrike" kern="1200" baseline="0"/>
  </cs:dataLabel>
  <cs:dataLabelCallout>
    <cs:lnRef idx="0"/>
    <cs:fillRef idx="0"/>
    <cs:effectRef idx="0"/>
    <cs:fontRef idx="minor">
      <a:schemeClr val="lt1"/>
    </cs:fontRef>
    <cs:spPr>
      <a:solidFill>
        <a:schemeClr val="dk1">
          <a:lumMod val="65000"/>
          <a:lumOff val="35000"/>
          <a:alpha val="75000"/>
        </a:schemeClr>
      </a:solidFill>
    </cs:spPr>
    <cs:defRPr sz="1000" b="1" kern="1200"/>
    <cs:bodyPr rot="0" spcFirstLastPara="1" vertOverflow="clip" horzOverflow="clip" vert="horz" wrap="square" lIns="36576" tIns="18288" rIns="36576" bIns="18288" anchor="ctr" anchorCtr="1">
      <a:spAutoFit/>
    </cs:bodyPr>
  </cs:dataLabelCallout>
  <cs:dataPoint>
    <cs:lnRef idx="0">
      <cs:styleClr val="auto"/>
    </cs:lnRef>
    <cs:fillRef idx="0">
      <cs:styleClr val="auto"/>
    </cs:fillRef>
    <cs:effectRef idx="0"/>
    <cs:fontRef idx="minor">
      <a:schemeClr val="dk1"/>
    </cs:fontRef>
    <cs:spPr>
      <a:gradFill>
        <a:gsLst>
          <a:gs pos="0">
            <a:schemeClr val="phClr"/>
          </a:gs>
          <a:gs pos="100000">
            <a:schemeClr val="phClr">
              <a:lumMod val="84000"/>
            </a:schemeClr>
          </a:gs>
        </a:gsLst>
        <a:lin ang="5400000" scaled="1"/>
      </a:gradFill>
      <a:effectLst>
        <a:outerShdw blurRad="76200" dir="18900000" sy="23000" kx="-1200000" algn="bl" rotWithShape="0">
          <a:prstClr val="black">
            <a:alpha val="20000"/>
          </a:prstClr>
        </a:outerShdw>
      </a:effectLst>
    </cs:spPr>
  </cs:dataPoint>
  <cs:dataPoint3D>
    <cs:lnRef idx="0"/>
    <cs:fillRef idx="0">
      <cs:styleClr val="auto"/>
    </cs:fillRef>
    <cs:effectRef idx="0"/>
    <cs:fontRef idx="minor">
      <a:schemeClr val="dk1"/>
    </cs:fontRef>
    <cs:spPr>
      <a:gradFill>
        <a:gsLst>
          <a:gs pos="0">
            <a:schemeClr val="phClr"/>
          </a:gs>
          <a:gs pos="100000">
            <a:schemeClr val="phClr">
              <a:lumMod val="84000"/>
            </a:schemeClr>
          </a:gs>
        </a:gsLst>
        <a:lin ang="5400000" scaled="1"/>
      </a:gradFill>
      <a:effectLst>
        <a:outerShdw blurRad="76200" dir="18900000" sy="23000" kx="-1200000" algn="bl" rotWithShape="0">
          <a:prstClr val="black">
            <a:alpha val="20000"/>
          </a:prstClr>
        </a:outerShdw>
      </a:effectLst>
    </cs:spPr>
  </cs:dataPoint3D>
  <cs:dataPointLine>
    <cs:lnRef idx="0">
      <cs:styleClr val="auto"/>
    </cs:lnRef>
    <cs:fillRef idx="0"/>
    <cs:effectRef idx="0"/>
    <cs:fontRef idx="minor">
      <a:schemeClr val="dk1"/>
    </cs:fontRef>
    <cs:spPr>
      <a:ln w="28575" cap="rnd">
        <a:gradFill>
          <a:gsLst>
            <a:gs pos="0">
              <a:schemeClr val="phClr"/>
            </a:gs>
            <a:gs pos="100000">
              <a:schemeClr val="phClr">
                <a:lumMod val="84000"/>
              </a:schemeClr>
            </a:gs>
          </a:gsLst>
          <a:lin ang="5400000" scaled="1"/>
        </a:gradFill>
        <a:round/>
      </a:ln>
    </cs:spPr>
  </cs:dataPointLine>
  <cs:dataPointMarker>
    <cs:lnRef idx="0"/>
    <cs:fillRef idx="0">
      <cs:styleClr val="auto"/>
    </cs:fillRef>
    <cs:effectRef idx="0"/>
    <cs:fontRef idx="minor">
      <a:schemeClr val="dk1"/>
    </cs:fontRef>
    <cs:spPr>
      <a:gradFill>
        <a:gsLst>
          <a:gs pos="0">
            <a:schemeClr val="phClr"/>
          </a:gs>
          <a:gs pos="100000">
            <a:schemeClr val="phClr">
              <a:lumMod val="84000"/>
            </a:schemeClr>
          </a:gs>
        </a:gsLst>
        <a:lin ang="5400000" scaled="1"/>
      </a:gradFill>
      <a:effectLst>
        <a:outerShdw blurRad="76200" dir="18900000" sy="23000" kx="-1200000" algn="bl" rotWithShape="0">
          <a:prstClr val="black">
            <a:alpha val="20000"/>
          </a:prstClr>
        </a:outerShdw>
      </a:effectLst>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ln w="9525">
        <a:solidFill>
          <a:schemeClr val="dk1">
            <a:lumMod val="15000"/>
            <a:lumOff val="85000"/>
          </a:schemeClr>
        </a:solidFill>
      </a:ln>
    </cs:spPr>
    <cs:defRPr sz="900" kern="1200"/>
  </cs:dataTable>
  <cs:downBar>
    <cs:lnRef idx="0"/>
    <cs:fillRef idx="0"/>
    <cs:effectRef idx="0"/>
    <cs:fontRef idx="minor">
      <a:schemeClr val="dk1"/>
    </cs:fontRef>
    <cs:spPr>
      <a:solidFill>
        <a:schemeClr val="dk1">
          <a:lumMod val="35000"/>
          <a:lumOff val="65000"/>
        </a:schemeClr>
      </a:solidFill>
      <a:ln w="9525">
        <a:solidFill>
          <a:schemeClr val="dk1">
            <a:lumMod val="50000"/>
            <a:lumOff val="50000"/>
          </a:schemeClr>
        </a:solidFill>
      </a:ln>
    </cs:spPr>
  </cs:downBar>
  <cs:dropLine>
    <cs:lnRef idx="0"/>
    <cs:fillRef idx="0"/>
    <cs:effectRef idx="0"/>
    <cs:fontRef idx="minor">
      <a:schemeClr val="dk1"/>
    </cs:fontRef>
    <cs:spPr>
      <a:ln w="9525">
        <a:solidFill>
          <a:schemeClr val="dk1">
            <a:lumMod val="50000"/>
            <a:lumOff val="50000"/>
          </a:schemeClr>
        </a:solidFill>
        <a:round/>
      </a:ln>
    </cs:spPr>
  </cs:dropLine>
  <cs:errorBar>
    <cs:lnRef idx="0"/>
    <cs:fillRef idx="0"/>
    <cs:effectRef idx="0"/>
    <cs:fontRef idx="minor">
      <a:schemeClr val="dk1"/>
    </cs:fontRef>
    <cs:spPr>
      <a:ln w="9525">
        <a:solidFill>
          <a:schemeClr val="dk1">
            <a:lumMod val="50000"/>
            <a:lumOff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dk1">
            <a:lumMod val="15000"/>
            <a:lumOff val="85000"/>
          </a:schemeClr>
        </a:solidFill>
        <a:round/>
      </a:ln>
    </cs:spPr>
  </cs:gridlineMajor>
  <cs:gridlineMinor>
    <cs:lnRef idx="0"/>
    <cs:fillRef idx="0"/>
    <cs:effectRef idx="0"/>
    <cs:fontRef idx="minor">
      <a:schemeClr val="dk1"/>
    </cs:fontRef>
    <cs:spPr>
      <a:ln>
        <a:solidFill>
          <a:schemeClr val="dk1">
            <a:lumMod val="5000"/>
            <a:lumOff val="95000"/>
          </a:schemeClr>
        </a:solidFill>
      </a:ln>
    </cs:spPr>
  </cs:gridlineMinor>
  <cs:hiLoLine>
    <cs:lnRef idx="0"/>
    <cs:fillRef idx="0"/>
    <cs:effectRef idx="0"/>
    <cs:fontRef idx="minor">
      <a:schemeClr val="dk1"/>
    </cs:fontRef>
    <cs:spPr>
      <a:ln w="9525">
        <a:solidFill>
          <a:schemeClr val="dk1">
            <a:lumMod val="50000"/>
            <a:lumOff val="50000"/>
          </a:schemeClr>
        </a:solidFill>
        <a:round/>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65000"/>
        <a:lumOff val="3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65000"/>
        <a:lumOff val="35000"/>
      </a:schemeClr>
    </cs:fontRef>
    <cs:defRPr kern="1200">
      <a:effectLst/>
    </cs:defRPr>
  </cs:title>
  <cs:trendline>
    <cs:lnRef idx="0">
      <cs:styleClr val="auto"/>
    </cs:lnRef>
    <cs:fillRef idx="0"/>
    <cs:effectRef idx="0"/>
    <cs:fontRef idx="minor">
      <a:schemeClr val="dk1"/>
    </cs:fontRef>
    <cs:spPr>
      <a:ln w="19050" cap="rnd">
        <a:solidFill>
          <a:schemeClr val="phClr"/>
        </a:solidFill>
        <a:prstDash val="sysDash"/>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lumMod val="95000"/>
        </a:schemeClr>
      </a:solidFill>
      <a:ln w="9525">
        <a:solidFill>
          <a:schemeClr val="dk1">
            <a:lumMod val="15000"/>
            <a:lumOff val="85000"/>
          </a:schemeClr>
        </a:solidFill>
      </a:ln>
    </cs:spPr>
  </cs:upBar>
  <cs:valueAxis>
    <cs:lnRef idx="0"/>
    <cs:fillRef idx="0"/>
    <cs:effectRef idx="0"/>
    <cs:fontRef idx="minor">
      <a:schemeClr val="dk1">
        <a:lumMod val="65000"/>
        <a:lumOff val="35000"/>
      </a:schemeClr>
    </cs:fontRef>
    <cs:defRPr sz="900" kern="1200"/>
  </cs:valueAxis>
  <cs:wall>
    <cs:lnRef idx="0"/>
    <cs:fillRef idx="0"/>
    <cs:effectRef idx="0"/>
    <cs:fontRef idx="minor">
      <a:schemeClr val="dk1"/>
    </cs:fontRef>
  </cs:wall>
</cs:chartStyle>
</file>

<file path=xl/charts/style12.xml><?xml version="1.0" encoding="utf-8"?>
<cs:chartStyle xmlns:cs="http://schemas.microsoft.com/office/drawing/2012/chartStyle" xmlns:a="http://schemas.openxmlformats.org/drawingml/2006/main" id="253">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13.xml><?xml version="1.0" encoding="utf-8"?>
<cs:chartStyle xmlns:cs="http://schemas.microsoft.com/office/drawing/2012/chartStyle" xmlns:a="http://schemas.openxmlformats.org/drawingml/2006/main" id="204">
  <cs:axisTitle>
    <cs:lnRef idx="0"/>
    <cs:fillRef idx="0"/>
    <cs:effectRef idx="0"/>
    <cs:fontRef idx="minor">
      <a:schemeClr val="dk1">
        <a:lumMod val="65000"/>
        <a:lumOff val="35000"/>
      </a:schemeClr>
    </cs:fontRef>
    <cs:defRPr sz="900" b="1" kern="1200"/>
  </cs:axisTitle>
  <cs:categoryAxis>
    <cs:lnRef idx="0"/>
    <cs:fillRef idx="0"/>
    <cs:effectRef idx="0"/>
    <cs:fontRef idx="minor">
      <a:schemeClr val="dk1">
        <a:lumMod val="65000"/>
        <a:lumOff val="35000"/>
      </a:schemeClr>
    </cs:fontRef>
    <cs:defRPr sz="900" kern="1200">
      <a:effectLst/>
    </cs:defRPr>
  </cs:categoryAxis>
  <cs:chartArea>
    <cs:lnRef idx="0"/>
    <cs:fillRef idx="0"/>
    <cs:effectRef idx="0"/>
    <cs:fontRef idx="minor">
      <a:schemeClr val="dk1"/>
    </cs:fontRef>
    <cs:spPr>
      <a:gradFill flip="none" rotWithShape="1">
        <a:gsLst>
          <a:gs pos="0">
            <a:schemeClr val="lt1"/>
          </a:gs>
          <a:gs pos="68000">
            <a:schemeClr val="lt1">
              <a:lumMod val="85000"/>
            </a:schemeClr>
          </a:gs>
          <a:gs pos="100000">
            <a:schemeClr val="lt1"/>
          </a:gs>
        </a:gsLst>
        <a:lin ang="5400000" scaled="1"/>
        <a:tileRect/>
      </a:gradFill>
      <a:ln w="9525" cap="flat" cmpd="sng" algn="ctr">
        <a:solidFill>
          <a:schemeClr val="dk1">
            <a:lumMod val="15000"/>
            <a:lumOff val="85000"/>
          </a:schemeClr>
        </a:solidFill>
        <a:round/>
      </a:ln>
    </cs:spPr>
    <cs:defRPr sz="1000" kern="1200"/>
  </cs:chartArea>
  <cs:dataLabel>
    <cs:lnRef idx="0"/>
    <cs:fillRef idx="0"/>
    <cs:effectRef idx="0"/>
    <cs:fontRef idx="minor">
      <a:schemeClr val="lt1"/>
    </cs:fontRef>
    <cs:spPr/>
    <cs:defRPr sz="1000" b="1" i="0" u="none" strike="noStrike" kern="1200" baseline="0"/>
  </cs:dataLabel>
  <cs:dataLabelCallout>
    <cs:lnRef idx="0"/>
    <cs:fillRef idx="0"/>
    <cs:effectRef idx="0"/>
    <cs:fontRef idx="minor">
      <a:schemeClr val="lt1"/>
    </cs:fontRef>
    <cs:spPr>
      <a:solidFill>
        <a:schemeClr val="dk1">
          <a:lumMod val="65000"/>
          <a:lumOff val="35000"/>
          <a:alpha val="75000"/>
        </a:schemeClr>
      </a:solidFill>
    </cs:spPr>
    <cs:defRPr sz="1000" b="1" kern="1200"/>
    <cs:bodyPr rot="0" spcFirstLastPara="1" vertOverflow="clip" horzOverflow="clip" vert="horz" wrap="square" lIns="36576" tIns="18288" rIns="36576" bIns="18288" anchor="ctr" anchorCtr="1">
      <a:spAutoFit/>
    </cs:bodyPr>
  </cs:dataLabelCallout>
  <cs:dataPoint>
    <cs:lnRef idx="0">
      <cs:styleClr val="auto"/>
    </cs:lnRef>
    <cs:fillRef idx="0">
      <cs:styleClr val="auto"/>
    </cs:fillRef>
    <cs:effectRef idx="0"/>
    <cs:fontRef idx="minor">
      <a:schemeClr val="dk1"/>
    </cs:fontRef>
    <cs:spPr>
      <a:gradFill>
        <a:gsLst>
          <a:gs pos="0">
            <a:schemeClr val="phClr"/>
          </a:gs>
          <a:gs pos="100000">
            <a:schemeClr val="phClr">
              <a:lumMod val="84000"/>
            </a:schemeClr>
          </a:gs>
        </a:gsLst>
        <a:lin ang="5400000" scaled="1"/>
      </a:gradFill>
      <a:effectLst>
        <a:outerShdw blurRad="76200" dir="18900000" sy="23000" kx="-1200000" algn="bl" rotWithShape="0">
          <a:prstClr val="black">
            <a:alpha val="20000"/>
          </a:prstClr>
        </a:outerShdw>
      </a:effectLst>
    </cs:spPr>
  </cs:dataPoint>
  <cs:dataPoint3D>
    <cs:lnRef idx="0"/>
    <cs:fillRef idx="0">
      <cs:styleClr val="auto"/>
    </cs:fillRef>
    <cs:effectRef idx="0"/>
    <cs:fontRef idx="minor">
      <a:schemeClr val="dk1"/>
    </cs:fontRef>
    <cs:spPr>
      <a:gradFill>
        <a:gsLst>
          <a:gs pos="0">
            <a:schemeClr val="phClr"/>
          </a:gs>
          <a:gs pos="100000">
            <a:schemeClr val="phClr">
              <a:lumMod val="84000"/>
            </a:schemeClr>
          </a:gs>
        </a:gsLst>
        <a:lin ang="5400000" scaled="1"/>
      </a:gradFill>
      <a:effectLst>
        <a:outerShdw blurRad="76200" dir="18900000" sy="23000" kx="-1200000" algn="bl" rotWithShape="0">
          <a:prstClr val="black">
            <a:alpha val="20000"/>
          </a:prstClr>
        </a:outerShdw>
      </a:effectLst>
    </cs:spPr>
  </cs:dataPoint3D>
  <cs:dataPointLine>
    <cs:lnRef idx="0">
      <cs:styleClr val="auto"/>
    </cs:lnRef>
    <cs:fillRef idx="0"/>
    <cs:effectRef idx="0"/>
    <cs:fontRef idx="minor">
      <a:schemeClr val="dk1"/>
    </cs:fontRef>
    <cs:spPr>
      <a:ln w="28575" cap="rnd">
        <a:gradFill>
          <a:gsLst>
            <a:gs pos="0">
              <a:schemeClr val="phClr"/>
            </a:gs>
            <a:gs pos="100000">
              <a:schemeClr val="phClr">
                <a:lumMod val="84000"/>
              </a:schemeClr>
            </a:gs>
          </a:gsLst>
          <a:lin ang="5400000" scaled="1"/>
        </a:gradFill>
        <a:round/>
      </a:ln>
    </cs:spPr>
  </cs:dataPointLine>
  <cs:dataPointMarker>
    <cs:lnRef idx="0"/>
    <cs:fillRef idx="0">
      <cs:styleClr val="auto"/>
    </cs:fillRef>
    <cs:effectRef idx="0"/>
    <cs:fontRef idx="minor">
      <a:schemeClr val="dk1"/>
    </cs:fontRef>
    <cs:spPr>
      <a:gradFill>
        <a:gsLst>
          <a:gs pos="0">
            <a:schemeClr val="phClr"/>
          </a:gs>
          <a:gs pos="100000">
            <a:schemeClr val="phClr">
              <a:lumMod val="84000"/>
            </a:schemeClr>
          </a:gs>
        </a:gsLst>
        <a:lin ang="5400000" scaled="1"/>
      </a:gradFill>
      <a:effectLst>
        <a:outerShdw blurRad="76200" dir="18900000" sy="23000" kx="-1200000" algn="bl" rotWithShape="0">
          <a:prstClr val="black">
            <a:alpha val="20000"/>
          </a:prstClr>
        </a:outerShdw>
      </a:effectLst>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ln w="9525">
        <a:solidFill>
          <a:schemeClr val="dk1">
            <a:lumMod val="15000"/>
            <a:lumOff val="85000"/>
          </a:schemeClr>
        </a:solidFill>
      </a:ln>
    </cs:spPr>
    <cs:defRPr sz="900" kern="1200"/>
  </cs:dataTable>
  <cs:downBar>
    <cs:lnRef idx="0"/>
    <cs:fillRef idx="0"/>
    <cs:effectRef idx="0"/>
    <cs:fontRef idx="minor">
      <a:schemeClr val="dk1"/>
    </cs:fontRef>
    <cs:spPr>
      <a:solidFill>
        <a:schemeClr val="dk1">
          <a:lumMod val="35000"/>
          <a:lumOff val="65000"/>
        </a:schemeClr>
      </a:solidFill>
      <a:ln w="9525">
        <a:solidFill>
          <a:schemeClr val="dk1">
            <a:lumMod val="50000"/>
            <a:lumOff val="50000"/>
          </a:schemeClr>
        </a:solidFill>
      </a:ln>
    </cs:spPr>
  </cs:downBar>
  <cs:dropLine>
    <cs:lnRef idx="0"/>
    <cs:fillRef idx="0"/>
    <cs:effectRef idx="0"/>
    <cs:fontRef idx="minor">
      <a:schemeClr val="dk1"/>
    </cs:fontRef>
    <cs:spPr>
      <a:ln w="9525">
        <a:solidFill>
          <a:schemeClr val="dk1">
            <a:lumMod val="50000"/>
            <a:lumOff val="50000"/>
          </a:schemeClr>
        </a:solidFill>
        <a:round/>
      </a:ln>
    </cs:spPr>
  </cs:dropLine>
  <cs:errorBar>
    <cs:lnRef idx="0"/>
    <cs:fillRef idx="0"/>
    <cs:effectRef idx="0"/>
    <cs:fontRef idx="minor">
      <a:schemeClr val="dk1"/>
    </cs:fontRef>
    <cs:spPr>
      <a:ln w="9525">
        <a:solidFill>
          <a:schemeClr val="dk1">
            <a:lumMod val="50000"/>
            <a:lumOff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dk1">
            <a:lumMod val="15000"/>
            <a:lumOff val="85000"/>
          </a:schemeClr>
        </a:solidFill>
        <a:round/>
      </a:ln>
    </cs:spPr>
  </cs:gridlineMajor>
  <cs:gridlineMinor>
    <cs:lnRef idx="0"/>
    <cs:fillRef idx="0"/>
    <cs:effectRef idx="0"/>
    <cs:fontRef idx="minor">
      <a:schemeClr val="dk1"/>
    </cs:fontRef>
    <cs:spPr>
      <a:ln>
        <a:solidFill>
          <a:schemeClr val="dk1">
            <a:lumMod val="5000"/>
            <a:lumOff val="95000"/>
          </a:schemeClr>
        </a:solidFill>
      </a:ln>
    </cs:spPr>
  </cs:gridlineMinor>
  <cs:hiLoLine>
    <cs:lnRef idx="0"/>
    <cs:fillRef idx="0"/>
    <cs:effectRef idx="0"/>
    <cs:fontRef idx="minor">
      <a:schemeClr val="dk1"/>
    </cs:fontRef>
    <cs:spPr>
      <a:ln w="9525">
        <a:solidFill>
          <a:schemeClr val="dk1">
            <a:lumMod val="50000"/>
            <a:lumOff val="50000"/>
          </a:schemeClr>
        </a:solidFill>
        <a:round/>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65000"/>
        <a:lumOff val="3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65000"/>
        <a:lumOff val="35000"/>
      </a:schemeClr>
    </cs:fontRef>
    <cs:defRPr kern="1200">
      <a:effectLst/>
    </cs:defRPr>
  </cs:title>
  <cs:trendline>
    <cs:lnRef idx="0">
      <cs:styleClr val="auto"/>
    </cs:lnRef>
    <cs:fillRef idx="0"/>
    <cs:effectRef idx="0"/>
    <cs:fontRef idx="minor">
      <a:schemeClr val="dk1"/>
    </cs:fontRef>
    <cs:spPr>
      <a:ln w="19050" cap="rnd">
        <a:solidFill>
          <a:schemeClr val="phClr"/>
        </a:solidFill>
        <a:prstDash val="sysDash"/>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lumMod val="95000"/>
        </a:schemeClr>
      </a:solidFill>
      <a:ln w="9525">
        <a:solidFill>
          <a:schemeClr val="dk1">
            <a:lumMod val="15000"/>
            <a:lumOff val="85000"/>
          </a:schemeClr>
        </a:solidFill>
      </a:ln>
    </cs:spPr>
  </cs:upBar>
  <cs:valueAxis>
    <cs:lnRef idx="0"/>
    <cs:fillRef idx="0"/>
    <cs:effectRef idx="0"/>
    <cs:fontRef idx="minor">
      <a:schemeClr val="dk1">
        <a:lumMod val="65000"/>
        <a:lumOff val="35000"/>
      </a:schemeClr>
    </cs:fontRef>
    <cs:defRPr sz="900" kern="1200"/>
  </cs:valueAxis>
  <cs:wall>
    <cs:lnRef idx="0"/>
    <cs:fillRef idx="0"/>
    <cs:effectRef idx="0"/>
    <cs:fontRef idx="minor">
      <a:schemeClr val="dk1"/>
    </cs:fontRef>
  </cs:wall>
</cs:chartStyle>
</file>

<file path=xl/charts/style14.xml><?xml version="1.0" encoding="utf-8"?>
<cs:chartStyle xmlns:cs="http://schemas.microsoft.com/office/drawing/2012/chartStyle" xmlns:a="http://schemas.openxmlformats.org/drawingml/2006/main" id="203">
  <cs:axisTitle>
    <cs:lnRef idx="0"/>
    <cs:fillRef idx="0"/>
    <cs:effectRef idx="0"/>
    <cs:fontRef idx="minor">
      <a:schemeClr val="tx1">
        <a:lumMod val="65000"/>
        <a:lumOff val="35000"/>
      </a:schemeClr>
    </cs:fontRef>
    <cs:defRPr sz="900" b="1" kern="1200"/>
  </cs:axisTitle>
  <cs:categoryAxis>
    <cs:lnRef idx="0"/>
    <cs:fillRef idx="0"/>
    <cs:effectRef idx="0"/>
    <cs:fontRef idx="minor">
      <a:schemeClr val="tx1">
        <a:lumMod val="65000"/>
        <a:lumOff val="35000"/>
      </a:schemeClr>
    </cs:fontRef>
    <cs:spPr>
      <a:ln w="19050"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dk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styleClr val="auto"/>
    </cs:effectRef>
    <cs:fontRef idx="minor">
      <a:schemeClr val="dk1"/>
    </cs:fontRef>
    <cs:spPr>
      <a:pattFill prst="narHorz">
        <a:fgClr>
          <a:schemeClr val="phClr"/>
        </a:fgClr>
        <a:bgClr>
          <a:schemeClr val="phClr">
            <a:lumMod val="20000"/>
            <a:lumOff val="80000"/>
          </a:schemeClr>
        </a:bgClr>
      </a:pattFill>
      <a:effectLst>
        <a:innerShdw blurRad="114300">
          <a:schemeClr val="phClr"/>
        </a:innerShdw>
      </a:effectLst>
    </cs:spPr>
  </cs:dataPoint>
  <cs:dataPoint3D>
    <cs:lnRef idx="0"/>
    <cs:fillRef idx="0">
      <cs:styleClr val="auto"/>
    </cs:fillRef>
    <cs:effectRef idx="0"/>
    <cs:fontRef idx="minor">
      <a:schemeClr val="dk1"/>
    </cs:fontRef>
    <cs:spPr>
      <a:pattFill prst="narHorz">
        <a:fgClr>
          <a:schemeClr val="phClr"/>
        </a:fgClr>
        <a:bgClr>
          <a:schemeClr val="phClr">
            <a:lumMod val="20000"/>
            <a:lumOff val="80000"/>
          </a:schemeClr>
        </a:bgClr>
      </a:pattFill>
      <a:effectLst>
        <a:innerShdw blurRad="114300">
          <a:schemeClr val="phClr"/>
        </a:innerShdw>
      </a:effectLst>
    </cs:spPr>
  </cs:dataPoint3D>
  <cs:dataPointLine>
    <cs:lnRef idx="0">
      <cs:styleClr val="auto"/>
    </cs:lnRef>
    <cs:fillRef idx="0"/>
    <cs:effectRef idx="0"/>
    <cs:fontRef idx="minor">
      <a:schemeClr val="dk1"/>
    </cs:fontRef>
    <cs:spPr>
      <a:ln w="28575" cap="rnd">
        <a:solidFill>
          <a:schemeClr val="phClr"/>
        </a:solidFill>
        <a:round/>
      </a:ln>
    </cs:spPr>
  </cs:dataPointLine>
  <cs:dataPointMarker>
    <cs:lnRef idx="0"/>
    <cs:fillRef idx="0">
      <cs:styleClr val="auto"/>
    </cs:fillRef>
    <cs:effectRef idx="0"/>
    <cs:fontRef idx="minor">
      <a:schemeClr val="dk1"/>
    </cs:fontRef>
    <cs:spPr>
      <a:solidFill>
        <a:schemeClr val="ph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50000"/>
            <a:lumOff val="50000"/>
          </a:schemeClr>
        </a:solidFill>
      </a:ln>
    </cs:spPr>
  </cs:downBar>
  <cs:dropLine>
    <cs:lnRef idx="0"/>
    <cs:fillRef idx="0"/>
    <cs:effectRef idx="0"/>
    <cs:fontRef idx="minor">
      <a:schemeClr val="dk1"/>
    </cs:fontRef>
    <cs:spPr>
      <a:ln w="9525">
        <a:solidFill>
          <a:schemeClr val="tx1">
            <a:lumMod val="35000"/>
            <a:lumOff val="65000"/>
          </a:schemeClr>
        </a:solidFill>
        <a:round/>
      </a:ln>
    </cs:spPr>
  </cs:dropLine>
  <cs:errorBar>
    <cs:lnRef idx="0"/>
    <cs:fillRef idx="0"/>
    <cs:effectRef idx="0"/>
    <cs:fontRef idx="minor">
      <a:schemeClr val="dk1"/>
    </cs:fontRef>
    <cs:spPr>
      <a:ln w="9525">
        <a:solidFill>
          <a:schemeClr val="tx1">
            <a:lumMod val="50000"/>
            <a:lumOff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a:solidFill>
          <a:schemeClr val="tx1">
            <a:lumMod val="15000"/>
            <a:lumOff val="85000"/>
          </a:schemeClr>
        </a:solidFill>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35000"/>
            <a:lumOff val="65000"/>
          </a:schemeClr>
        </a:solidFill>
        <a:round/>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inor">
      <a:schemeClr val="tx1">
        <a:lumMod val="50000"/>
        <a:lumOff val="50000"/>
      </a:schemeClr>
    </cs:fontRef>
    <cs:defRPr sz="1800" b="1" kern="1200" cap="all" spc="15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50000"/>
            <a:lumOff val="50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dk1"/>
    </cs:fontRef>
  </cs:wall>
</cs:chartStyle>
</file>

<file path=xl/charts/style15.xml><?xml version="1.0" encoding="utf-8"?>
<cs:chartStyle xmlns:cs="http://schemas.microsoft.com/office/drawing/2012/chartStyle" xmlns:a="http://schemas.openxmlformats.org/drawingml/2006/main" id="314">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defRPr sz="900" b="1" i="0" u="none" strike="noStrike" kern="1200" baseline="0"/>
  </cs:dataLabel>
  <cs:dataLabelCallout>
    <cs:lnRef idx="0"/>
    <cs:fillRef idx="0"/>
    <cs:effectRef idx="0"/>
    <cs:fontRef idx="minor">
      <a:schemeClr val="lt1"/>
    </cs:fontRef>
    <cs:spPr>
      <a:solidFill>
        <a:schemeClr val="dk1">
          <a:lumMod val="65000"/>
          <a:lumOff val="35000"/>
          <a:alpha val="75000"/>
        </a:schemeClr>
      </a:solidFill>
    </cs:spPr>
    <cs:defRPr sz="900" b="1"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alpha val="85000"/>
        </a:schemeClr>
      </a:solidFill>
      <a:effectLst>
        <a:innerShdw dist="12700" dir="16200000">
          <a:schemeClr val="lt1"/>
        </a:innerShdw>
      </a:effectLst>
    </cs:spPr>
  </cs:dataPoint>
  <cs:dataPoint3D>
    <cs:lnRef idx="0"/>
    <cs:fillRef idx="0">
      <cs:styleClr val="auto"/>
    </cs:fillRef>
    <cs:effectRef idx="0"/>
    <cs:fontRef idx="minor">
      <a:schemeClr val="dk1"/>
    </cs:fontRef>
    <cs:spPr>
      <a:solidFill>
        <a:schemeClr val="phClr">
          <a:alpha val="85000"/>
        </a:schemeClr>
      </a:solidFill>
      <a:effectLst>
        <a:innerShdw dist="12700" dir="16200000">
          <a:schemeClr val="lt1"/>
        </a:inn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spPr>
      <a:solidFill>
        <a:schemeClr val="lt1"/>
      </a:solidFill>
      <a:sp3d/>
    </cs:spPr>
  </cs:floor>
  <cs:gridlineMajor>
    <cs:lnRef idx="0"/>
    <cs:fillRef idx="0"/>
    <cs:effectRef idx="0"/>
    <cs:fontRef idx="minor">
      <a:schemeClr val="dk1"/>
    </cs:fontRef>
    <cs:spPr>
      <a:ln w="6350" cap="flat" cmpd="sng" algn="ctr">
        <a:solidFill>
          <a:schemeClr val="dk1">
            <a:lumMod val="15000"/>
            <a:lumOff val="85000"/>
          </a:schemeClr>
        </a:solidFill>
        <a:round/>
      </a:ln>
    </cs:spPr>
  </cs:gridlineMajor>
  <cs:gridlineMinor>
    <cs:lnRef idx="0"/>
    <cs:fillRef idx="0"/>
    <cs:effectRef idx="0"/>
    <cs:fontRef idx="minor">
      <a:schemeClr val="dk1"/>
    </cs:fontRef>
    <cs:spPr>
      <a:ln w="6350" cap="flat" cmpd="sng" algn="ctr">
        <a:solidFill>
          <a:schemeClr val="dk1">
            <a:lumMod val="5000"/>
            <a:lumOff val="95000"/>
          </a:schemeClr>
        </a:solidFill>
        <a:round/>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16.xml><?xml version="1.0" encoding="utf-8"?>
<cs:chartStyle xmlns:cs="http://schemas.microsoft.com/office/drawing/2012/chartStyle" xmlns:a="http://schemas.openxmlformats.org/drawingml/2006/main" id="368">
  <cs:axisTitle>
    <cs:lnRef idx="0"/>
    <cs:fillRef idx="0"/>
    <cs:effectRef idx="0"/>
    <cs:fontRef idx="minor">
      <a:schemeClr val="dk1">
        <a:lumMod val="75000"/>
        <a:lumOff val="25000"/>
      </a:schemeClr>
    </cs:fontRef>
    <cs:defRPr sz="9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cs:chartArea>
  <cs:dataLabel>
    <cs:lnRef idx="0"/>
    <cs:fillRef idx="0"/>
    <cs:effectRef idx="0"/>
    <cs:fontRef idx="minor">
      <a:schemeClr val="dk1"/>
    </cs:fontRef>
    <cs:defRPr sz="900"/>
  </cs:dataLabel>
  <cs:dataLabelCallout>
    <cs:lnRef idx="0"/>
    <cs:fillRef idx="0"/>
    <cs:effectRef idx="0"/>
    <cs:fontRef idx="minor">
      <a:schemeClr val="lt1"/>
    </cs:fontRef>
    <cs:spPr>
      <a:solidFill>
        <a:schemeClr val="dk1">
          <a:lumMod val="65000"/>
          <a:lumOff val="35000"/>
          <a:alpha val="75000"/>
        </a:schemeClr>
      </a:solidFill>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a:ln w="9525" cap="flat" cmpd="sng" algn="ctr">
        <a:solidFill>
          <a:schemeClr val="lt1">
            <a:alpha val="50000"/>
          </a:schemeClr>
        </a:solidFill>
        <a:round/>
      </a:ln>
    </cs:spPr>
  </cs:dataPoint3D>
  <cs:dataPointLine>
    <cs:lnRef idx="0">
      <cs:styleClr val="auto"/>
    </cs:lnRef>
    <cs:fillRef idx="0"/>
    <cs:effectRef idx="0"/>
    <cs:fontRef idx="minor">
      <a:schemeClr val="dk1"/>
    </cs:fontRef>
    <cs:spPr>
      <a:ln w="28575" cap="rnd">
        <a:solidFill>
          <a:schemeClr val="phClr"/>
        </a:solidFill>
        <a:round/>
      </a:ln>
    </cs:spPr>
  </cs:dataPointLine>
  <cs:dataPointMarker>
    <cs:lnRef idx="0"/>
    <cs:fillRef idx="0">
      <cs:styleClr val="auto"/>
    </cs:fillRef>
    <cs:effectRef idx="0"/>
    <cs:fontRef idx="minor">
      <a:schemeClr val="dk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dk1"/>
    </cs:fontRef>
    <cs:spPr>
      <a:ln w="2857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75000"/>
            <a:lumOff val="25000"/>
          </a:schemeClr>
        </a:solidFill>
      </a:ln>
    </cs:spPr>
    <cs:defRPr sz="9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lumOff val="10000"/>
              </a:schemeClr>
            </a:gs>
            <a:gs pos="0">
              <a:schemeClr val="lt1">
                <a:lumMod val="75000"/>
                <a:alpha val="36000"/>
                <a:lumOff val="10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cap="flat" cmpd="sng" algn="ctr">
        <a:solidFill>
          <a:schemeClr val="dk1">
            <a:lumMod val="35000"/>
            <a:lumOff val="65000"/>
          </a:schemeClr>
        </a:solidFill>
        <a:round/>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cs:seriesAxis>
  <cs:seriesLine>
    <cs:lnRef idx="0"/>
    <cs:fillRef idx="0"/>
    <cs:effectRef idx="0"/>
    <cs:fontRef idx="minor">
      <a:schemeClr val="dk1"/>
    </cs:fontRef>
    <cs:spPr>
      <a:ln w="9525" cap="flat">
        <a:solidFill>
          <a:schemeClr val="bg1">
            <a:lumMod val="50000"/>
          </a:schemeClr>
        </a:solidFill>
        <a:round/>
      </a:ln>
    </cs:spPr>
  </cs:seriesLine>
  <cs:title>
    <cs:lnRef idx="0"/>
    <cs:fillRef idx="0"/>
    <cs:effectRef idx="0"/>
    <cs:fontRef idx="minor">
      <a:schemeClr val="dk1">
        <a:lumMod val="75000"/>
        <a:lumOff val="25000"/>
      </a:schemeClr>
    </cs:fontRef>
    <cs:defRPr sz="1800" b="1"/>
  </cs:title>
  <cs:trendline>
    <cs:lnRef idx="0"/>
    <cs:fillRef idx="0"/>
    <cs:effectRef idx="0"/>
    <cs:fontRef idx="minor">
      <a:schemeClr val="dk1"/>
    </cs:fontRef>
    <cs:spPr>
      <a:ln w="19050" cap="rnd">
        <a:solidFill>
          <a:schemeClr val="phClr"/>
        </a:solidFill>
        <a:prstDash val="sysDash"/>
      </a:ln>
    </cs:spPr>
  </cs:trendline>
  <cs:trendlineLabel>
    <cs:lnRef idx="0"/>
    <cs:fillRef idx="0"/>
    <cs:effectRef idx="0"/>
    <cs:fontRef idx="minor">
      <a:schemeClr val="dk1">
        <a:lumMod val="75000"/>
        <a:lumOff val="25000"/>
      </a:schemeClr>
    </cs:fontRef>
    <cs:defRPr sz="9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defRPr sz="900"/>
  </cs:valueAxis>
  <cs:wall>
    <cs:lnRef idx="0"/>
    <cs:fillRef idx="0"/>
    <cs:effectRef idx="0"/>
    <cs:fontRef idx="minor">
      <a:schemeClr val="dk1"/>
    </cs:fontRef>
  </cs:wall>
</cs:chartStyle>
</file>

<file path=xl/charts/style17.xml><?xml version="1.0" encoding="utf-8"?>
<cs:chartStyle xmlns:cs="http://schemas.microsoft.com/office/drawing/2012/chartStyle" xmlns:a="http://schemas.openxmlformats.org/drawingml/2006/main" id="203">
  <cs:axisTitle>
    <cs:lnRef idx="0"/>
    <cs:fillRef idx="0"/>
    <cs:effectRef idx="0"/>
    <cs:fontRef idx="minor">
      <a:schemeClr val="tx1">
        <a:lumMod val="65000"/>
        <a:lumOff val="35000"/>
      </a:schemeClr>
    </cs:fontRef>
    <cs:defRPr sz="900" b="1" kern="1200"/>
  </cs:axisTitle>
  <cs:categoryAxis>
    <cs:lnRef idx="0"/>
    <cs:fillRef idx="0"/>
    <cs:effectRef idx="0"/>
    <cs:fontRef idx="minor">
      <a:schemeClr val="tx1">
        <a:lumMod val="65000"/>
        <a:lumOff val="35000"/>
      </a:schemeClr>
    </cs:fontRef>
    <cs:spPr>
      <a:ln w="19050"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dk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styleClr val="auto"/>
    </cs:effectRef>
    <cs:fontRef idx="minor">
      <a:schemeClr val="dk1"/>
    </cs:fontRef>
    <cs:spPr>
      <a:pattFill prst="narHorz">
        <a:fgClr>
          <a:schemeClr val="phClr"/>
        </a:fgClr>
        <a:bgClr>
          <a:schemeClr val="phClr">
            <a:lumMod val="20000"/>
            <a:lumOff val="80000"/>
          </a:schemeClr>
        </a:bgClr>
      </a:pattFill>
      <a:effectLst>
        <a:innerShdw blurRad="114300">
          <a:schemeClr val="phClr"/>
        </a:innerShdw>
      </a:effectLst>
    </cs:spPr>
  </cs:dataPoint>
  <cs:dataPoint3D>
    <cs:lnRef idx="0"/>
    <cs:fillRef idx="0">
      <cs:styleClr val="auto"/>
    </cs:fillRef>
    <cs:effectRef idx="0"/>
    <cs:fontRef idx="minor">
      <a:schemeClr val="dk1"/>
    </cs:fontRef>
    <cs:spPr>
      <a:pattFill prst="narHorz">
        <a:fgClr>
          <a:schemeClr val="phClr"/>
        </a:fgClr>
        <a:bgClr>
          <a:schemeClr val="phClr">
            <a:lumMod val="20000"/>
            <a:lumOff val="80000"/>
          </a:schemeClr>
        </a:bgClr>
      </a:pattFill>
      <a:effectLst>
        <a:innerShdw blurRad="114300">
          <a:schemeClr val="phClr"/>
        </a:innerShdw>
      </a:effectLst>
    </cs:spPr>
  </cs:dataPoint3D>
  <cs:dataPointLine>
    <cs:lnRef idx="0">
      <cs:styleClr val="auto"/>
    </cs:lnRef>
    <cs:fillRef idx="0"/>
    <cs:effectRef idx="0"/>
    <cs:fontRef idx="minor">
      <a:schemeClr val="dk1"/>
    </cs:fontRef>
    <cs:spPr>
      <a:ln w="28575" cap="rnd">
        <a:solidFill>
          <a:schemeClr val="phClr"/>
        </a:solidFill>
        <a:round/>
      </a:ln>
    </cs:spPr>
  </cs:dataPointLine>
  <cs:dataPointMarker>
    <cs:lnRef idx="0"/>
    <cs:fillRef idx="0">
      <cs:styleClr val="auto"/>
    </cs:fillRef>
    <cs:effectRef idx="0"/>
    <cs:fontRef idx="minor">
      <a:schemeClr val="dk1"/>
    </cs:fontRef>
    <cs:spPr>
      <a:solidFill>
        <a:schemeClr val="ph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50000"/>
            <a:lumOff val="50000"/>
          </a:schemeClr>
        </a:solidFill>
      </a:ln>
    </cs:spPr>
  </cs:downBar>
  <cs:dropLine>
    <cs:lnRef idx="0"/>
    <cs:fillRef idx="0"/>
    <cs:effectRef idx="0"/>
    <cs:fontRef idx="minor">
      <a:schemeClr val="dk1"/>
    </cs:fontRef>
    <cs:spPr>
      <a:ln w="9525">
        <a:solidFill>
          <a:schemeClr val="tx1">
            <a:lumMod val="35000"/>
            <a:lumOff val="65000"/>
          </a:schemeClr>
        </a:solidFill>
        <a:round/>
      </a:ln>
    </cs:spPr>
  </cs:dropLine>
  <cs:errorBar>
    <cs:lnRef idx="0"/>
    <cs:fillRef idx="0"/>
    <cs:effectRef idx="0"/>
    <cs:fontRef idx="minor">
      <a:schemeClr val="dk1"/>
    </cs:fontRef>
    <cs:spPr>
      <a:ln w="9525">
        <a:solidFill>
          <a:schemeClr val="tx1">
            <a:lumMod val="50000"/>
            <a:lumOff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a:solidFill>
          <a:schemeClr val="tx1">
            <a:lumMod val="15000"/>
            <a:lumOff val="85000"/>
          </a:schemeClr>
        </a:solidFill>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35000"/>
            <a:lumOff val="65000"/>
          </a:schemeClr>
        </a:solidFill>
        <a:round/>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inor">
      <a:schemeClr val="tx1">
        <a:lumMod val="50000"/>
        <a:lumOff val="50000"/>
      </a:schemeClr>
    </cs:fontRef>
    <cs:defRPr sz="1800" b="1" kern="1200" cap="all" spc="15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50000"/>
            <a:lumOff val="50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dk1"/>
    </cs:fontRef>
  </cs:wall>
</cs:chartStyle>
</file>

<file path=xl/charts/style1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9.xml><?xml version="1.0" encoding="utf-8"?>
<cs:chartStyle xmlns:cs="http://schemas.microsoft.com/office/drawing/2012/chartStyle" xmlns:a="http://schemas.openxmlformats.org/drawingml/2006/main" id="253">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20.xml><?xml version="1.0" encoding="utf-8"?>
<cs:chartStyle xmlns:cs="http://schemas.microsoft.com/office/drawing/2012/chartStyle" xmlns:a="http://schemas.openxmlformats.org/drawingml/2006/main" id="204">
  <cs:axisTitle>
    <cs:lnRef idx="0"/>
    <cs:fillRef idx="0"/>
    <cs:effectRef idx="0"/>
    <cs:fontRef idx="minor">
      <a:schemeClr val="dk1">
        <a:lumMod val="65000"/>
        <a:lumOff val="35000"/>
      </a:schemeClr>
    </cs:fontRef>
    <cs:defRPr sz="900" b="1" kern="1200"/>
  </cs:axisTitle>
  <cs:categoryAxis>
    <cs:lnRef idx="0"/>
    <cs:fillRef idx="0"/>
    <cs:effectRef idx="0"/>
    <cs:fontRef idx="minor">
      <a:schemeClr val="dk1">
        <a:lumMod val="65000"/>
        <a:lumOff val="35000"/>
      </a:schemeClr>
    </cs:fontRef>
    <cs:defRPr sz="900" kern="1200">
      <a:effectLst/>
    </cs:defRPr>
  </cs:categoryAxis>
  <cs:chartArea>
    <cs:lnRef idx="0"/>
    <cs:fillRef idx="0"/>
    <cs:effectRef idx="0"/>
    <cs:fontRef idx="minor">
      <a:schemeClr val="dk1"/>
    </cs:fontRef>
    <cs:spPr>
      <a:gradFill flip="none" rotWithShape="1">
        <a:gsLst>
          <a:gs pos="0">
            <a:schemeClr val="lt1"/>
          </a:gs>
          <a:gs pos="68000">
            <a:schemeClr val="lt1">
              <a:lumMod val="85000"/>
            </a:schemeClr>
          </a:gs>
          <a:gs pos="100000">
            <a:schemeClr val="lt1"/>
          </a:gs>
        </a:gsLst>
        <a:lin ang="5400000" scaled="1"/>
        <a:tileRect/>
      </a:gradFill>
      <a:ln w="9525" cap="flat" cmpd="sng" algn="ctr">
        <a:solidFill>
          <a:schemeClr val="dk1">
            <a:lumMod val="15000"/>
            <a:lumOff val="85000"/>
          </a:schemeClr>
        </a:solidFill>
        <a:round/>
      </a:ln>
    </cs:spPr>
    <cs:defRPr sz="1000" kern="1200"/>
  </cs:chartArea>
  <cs:dataLabel>
    <cs:lnRef idx="0"/>
    <cs:fillRef idx="0"/>
    <cs:effectRef idx="0"/>
    <cs:fontRef idx="minor">
      <a:schemeClr val="lt1"/>
    </cs:fontRef>
    <cs:spPr/>
    <cs:defRPr sz="1000" b="1" i="0" u="none" strike="noStrike" kern="1200" baseline="0"/>
  </cs:dataLabel>
  <cs:dataLabelCallout>
    <cs:lnRef idx="0"/>
    <cs:fillRef idx="0"/>
    <cs:effectRef idx="0"/>
    <cs:fontRef idx="minor">
      <a:schemeClr val="lt1"/>
    </cs:fontRef>
    <cs:spPr>
      <a:solidFill>
        <a:schemeClr val="dk1">
          <a:lumMod val="65000"/>
          <a:lumOff val="35000"/>
          <a:alpha val="75000"/>
        </a:schemeClr>
      </a:solidFill>
    </cs:spPr>
    <cs:defRPr sz="1000" b="1" kern="1200"/>
    <cs:bodyPr rot="0" spcFirstLastPara="1" vertOverflow="clip" horzOverflow="clip" vert="horz" wrap="square" lIns="36576" tIns="18288" rIns="36576" bIns="18288" anchor="ctr" anchorCtr="1">
      <a:spAutoFit/>
    </cs:bodyPr>
  </cs:dataLabelCallout>
  <cs:dataPoint>
    <cs:lnRef idx="0">
      <cs:styleClr val="auto"/>
    </cs:lnRef>
    <cs:fillRef idx="0">
      <cs:styleClr val="auto"/>
    </cs:fillRef>
    <cs:effectRef idx="0"/>
    <cs:fontRef idx="minor">
      <a:schemeClr val="dk1"/>
    </cs:fontRef>
    <cs:spPr>
      <a:gradFill>
        <a:gsLst>
          <a:gs pos="0">
            <a:schemeClr val="phClr"/>
          </a:gs>
          <a:gs pos="100000">
            <a:schemeClr val="phClr">
              <a:lumMod val="84000"/>
            </a:schemeClr>
          </a:gs>
        </a:gsLst>
        <a:lin ang="5400000" scaled="1"/>
      </a:gradFill>
      <a:effectLst>
        <a:outerShdw blurRad="76200" dir="18900000" sy="23000" kx="-1200000" algn="bl" rotWithShape="0">
          <a:prstClr val="black">
            <a:alpha val="20000"/>
          </a:prstClr>
        </a:outerShdw>
      </a:effectLst>
    </cs:spPr>
  </cs:dataPoint>
  <cs:dataPoint3D>
    <cs:lnRef idx="0"/>
    <cs:fillRef idx="0">
      <cs:styleClr val="auto"/>
    </cs:fillRef>
    <cs:effectRef idx="0"/>
    <cs:fontRef idx="minor">
      <a:schemeClr val="dk1"/>
    </cs:fontRef>
    <cs:spPr>
      <a:gradFill>
        <a:gsLst>
          <a:gs pos="0">
            <a:schemeClr val="phClr"/>
          </a:gs>
          <a:gs pos="100000">
            <a:schemeClr val="phClr">
              <a:lumMod val="84000"/>
            </a:schemeClr>
          </a:gs>
        </a:gsLst>
        <a:lin ang="5400000" scaled="1"/>
      </a:gradFill>
      <a:effectLst>
        <a:outerShdw blurRad="76200" dir="18900000" sy="23000" kx="-1200000" algn="bl" rotWithShape="0">
          <a:prstClr val="black">
            <a:alpha val="20000"/>
          </a:prstClr>
        </a:outerShdw>
      </a:effectLst>
    </cs:spPr>
  </cs:dataPoint3D>
  <cs:dataPointLine>
    <cs:lnRef idx="0">
      <cs:styleClr val="auto"/>
    </cs:lnRef>
    <cs:fillRef idx="0"/>
    <cs:effectRef idx="0"/>
    <cs:fontRef idx="minor">
      <a:schemeClr val="dk1"/>
    </cs:fontRef>
    <cs:spPr>
      <a:ln w="28575" cap="rnd">
        <a:gradFill>
          <a:gsLst>
            <a:gs pos="0">
              <a:schemeClr val="phClr"/>
            </a:gs>
            <a:gs pos="100000">
              <a:schemeClr val="phClr">
                <a:lumMod val="84000"/>
              </a:schemeClr>
            </a:gs>
          </a:gsLst>
          <a:lin ang="5400000" scaled="1"/>
        </a:gradFill>
        <a:round/>
      </a:ln>
    </cs:spPr>
  </cs:dataPointLine>
  <cs:dataPointMarker>
    <cs:lnRef idx="0"/>
    <cs:fillRef idx="0">
      <cs:styleClr val="auto"/>
    </cs:fillRef>
    <cs:effectRef idx="0"/>
    <cs:fontRef idx="minor">
      <a:schemeClr val="dk1"/>
    </cs:fontRef>
    <cs:spPr>
      <a:gradFill>
        <a:gsLst>
          <a:gs pos="0">
            <a:schemeClr val="phClr"/>
          </a:gs>
          <a:gs pos="100000">
            <a:schemeClr val="phClr">
              <a:lumMod val="84000"/>
            </a:schemeClr>
          </a:gs>
        </a:gsLst>
        <a:lin ang="5400000" scaled="1"/>
      </a:gradFill>
      <a:effectLst>
        <a:outerShdw blurRad="76200" dir="18900000" sy="23000" kx="-1200000" algn="bl" rotWithShape="0">
          <a:prstClr val="black">
            <a:alpha val="20000"/>
          </a:prstClr>
        </a:outerShdw>
      </a:effectLst>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ln w="9525">
        <a:solidFill>
          <a:schemeClr val="dk1">
            <a:lumMod val="15000"/>
            <a:lumOff val="85000"/>
          </a:schemeClr>
        </a:solidFill>
      </a:ln>
    </cs:spPr>
    <cs:defRPr sz="900" kern="1200"/>
  </cs:dataTable>
  <cs:downBar>
    <cs:lnRef idx="0"/>
    <cs:fillRef idx="0"/>
    <cs:effectRef idx="0"/>
    <cs:fontRef idx="minor">
      <a:schemeClr val="dk1"/>
    </cs:fontRef>
    <cs:spPr>
      <a:solidFill>
        <a:schemeClr val="dk1">
          <a:lumMod val="35000"/>
          <a:lumOff val="65000"/>
        </a:schemeClr>
      </a:solidFill>
      <a:ln w="9525">
        <a:solidFill>
          <a:schemeClr val="dk1">
            <a:lumMod val="50000"/>
            <a:lumOff val="50000"/>
          </a:schemeClr>
        </a:solidFill>
      </a:ln>
    </cs:spPr>
  </cs:downBar>
  <cs:dropLine>
    <cs:lnRef idx="0"/>
    <cs:fillRef idx="0"/>
    <cs:effectRef idx="0"/>
    <cs:fontRef idx="minor">
      <a:schemeClr val="dk1"/>
    </cs:fontRef>
    <cs:spPr>
      <a:ln w="9525">
        <a:solidFill>
          <a:schemeClr val="dk1">
            <a:lumMod val="50000"/>
            <a:lumOff val="50000"/>
          </a:schemeClr>
        </a:solidFill>
        <a:round/>
      </a:ln>
    </cs:spPr>
  </cs:dropLine>
  <cs:errorBar>
    <cs:lnRef idx="0"/>
    <cs:fillRef idx="0"/>
    <cs:effectRef idx="0"/>
    <cs:fontRef idx="minor">
      <a:schemeClr val="dk1"/>
    </cs:fontRef>
    <cs:spPr>
      <a:ln w="9525">
        <a:solidFill>
          <a:schemeClr val="dk1">
            <a:lumMod val="50000"/>
            <a:lumOff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dk1">
            <a:lumMod val="15000"/>
            <a:lumOff val="85000"/>
          </a:schemeClr>
        </a:solidFill>
        <a:round/>
      </a:ln>
    </cs:spPr>
  </cs:gridlineMajor>
  <cs:gridlineMinor>
    <cs:lnRef idx="0"/>
    <cs:fillRef idx="0"/>
    <cs:effectRef idx="0"/>
    <cs:fontRef idx="minor">
      <a:schemeClr val="dk1"/>
    </cs:fontRef>
    <cs:spPr>
      <a:ln>
        <a:solidFill>
          <a:schemeClr val="dk1">
            <a:lumMod val="5000"/>
            <a:lumOff val="95000"/>
          </a:schemeClr>
        </a:solidFill>
      </a:ln>
    </cs:spPr>
  </cs:gridlineMinor>
  <cs:hiLoLine>
    <cs:lnRef idx="0"/>
    <cs:fillRef idx="0"/>
    <cs:effectRef idx="0"/>
    <cs:fontRef idx="minor">
      <a:schemeClr val="dk1"/>
    </cs:fontRef>
    <cs:spPr>
      <a:ln w="9525">
        <a:solidFill>
          <a:schemeClr val="dk1">
            <a:lumMod val="50000"/>
            <a:lumOff val="50000"/>
          </a:schemeClr>
        </a:solidFill>
        <a:round/>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65000"/>
        <a:lumOff val="3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65000"/>
        <a:lumOff val="35000"/>
      </a:schemeClr>
    </cs:fontRef>
    <cs:defRPr kern="1200">
      <a:effectLst/>
    </cs:defRPr>
  </cs:title>
  <cs:trendline>
    <cs:lnRef idx="0">
      <cs:styleClr val="auto"/>
    </cs:lnRef>
    <cs:fillRef idx="0"/>
    <cs:effectRef idx="0"/>
    <cs:fontRef idx="minor">
      <a:schemeClr val="dk1"/>
    </cs:fontRef>
    <cs:spPr>
      <a:ln w="19050" cap="rnd">
        <a:solidFill>
          <a:schemeClr val="phClr"/>
        </a:solidFill>
        <a:prstDash val="sysDash"/>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lumMod val="95000"/>
        </a:schemeClr>
      </a:solidFill>
      <a:ln w="9525">
        <a:solidFill>
          <a:schemeClr val="dk1">
            <a:lumMod val="15000"/>
            <a:lumOff val="85000"/>
          </a:schemeClr>
        </a:solidFill>
      </a:ln>
    </cs:spPr>
  </cs:upBar>
  <cs:valueAxis>
    <cs:lnRef idx="0"/>
    <cs:fillRef idx="0"/>
    <cs:effectRef idx="0"/>
    <cs:fontRef idx="minor">
      <a:schemeClr val="dk1">
        <a:lumMod val="65000"/>
        <a:lumOff val="35000"/>
      </a:schemeClr>
    </cs:fontRef>
    <cs:defRPr sz="900" kern="1200"/>
  </cs:valueAxis>
  <cs:wall>
    <cs:lnRef idx="0"/>
    <cs:fillRef idx="0"/>
    <cs:effectRef idx="0"/>
    <cs:fontRef idx="minor">
      <a:schemeClr val="dk1"/>
    </cs:fontRef>
  </cs:wall>
</cs:chartStyle>
</file>

<file path=xl/charts/style2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2.xml><?xml version="1.0" encoding="utf-8"?>
<cs:chartStyle xmlns:cs="http://schemas.microsoft.com/office/drawing/2012/chartStyle" xmlns:a="http://schemas.openxmlformats.org/drawingml/2006/main" id="253">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23.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5.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8.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5" Type="http://schemas.openxmlformats.org/officeDocument/2006/relationships/chart" Target="../charts/chart5.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8" Type="http://schemas.openxmlformats.org/officeDocument/2006/relationships/hyperlink" Target="#'pivot 2'!A1"/><Relationship Id="rId3" Type="http://schemas.openxmlformats.org/officeDocument/2006/relationships/hyperlink" Target="#'Clean Data'!A1"/><Relationship Id="rId7" Type="http://schemas.openxmlformats.org/officeDocument/2006/relationships/hyperlink" Target="#'PIVOT 1'!A1"/><Relationship Id="rId2" Type="http://schemas.openxmlformats.org/officeDocument/2006/relationships/hyperlink" Target="#Dashboardd!A1"/><Relationship Id="rId1" Type="http://schemas.openxmlformats.org/officeDocument/2006/relationships/hyperlink" Target="#Instructions!A1"/><Relationship Id="rId6" Type="http://schemas.openxmlformats.org/officeDocument/2006/relationships/hyperlink" Target="#'EMI &amp; Amortization'!A1"/><Relationship Id="rId5" Type="http://schemas.openxmlformats.org/officeDocument/2006/relationships/hyperlink" Target="#'Cleaning Tasks'!A1"/><Relationship Id="rId4" Type="http://schemas.openxmlformats.org/officeDocument/2006/relationships/hyperlink" Target="#'Raw Data'!A1"/></Relationships>
</file>

<file path=xl/drawings/_rels/drawing3.xml.rels><?xml version="1.0" encoding="UTF-8" standalone="yes"?>
<Relationships xmlns="http://schemas.openxmlformats.org/package/2006/relationships"><Relationship Id="rId8" Type="http://schemas.openxmlformats.org/officeDocument/2006/relationships/chart" Target="../charts/chart13.xml"/><Relationship Id="rId3" Type="http://schemas.openxmlformats.org/officeDocument/2006/relationships/chart" Target="../charts/chart8.xml"/><Relationship Id="rId7" Type="http://schemas.openxmlformats.org/officeDocument/2006/relationships/chart" Target="../charts/chart12.xml"/><Relationship Id="rId2" Type="http://schemas.openxmlformats.org/officeDocument/2006/relationships/chart" Target="../charts/chart7.xml"/><Relationship Id="rId1" Type="http://schemas.openxmlformats.org/officeDocument/2006/relationships/chart" Target="../charts/chart6.xml"/><Relationship Id="rId6" Type="http://schemas.openxmlformats.org/officeDocument/2006/relationships/chart" Target="../charts/chart11.xml"/><Relationship Id="rId11" Type="http://schemas.openxmlformats.org/officeDocument/2006/relationships/chart" Target="../charts/chart16.xml"/><Relationship Id="rId5" Type="http://schemas.openxmlformats.org/officeDocument/2006/relationships/chart" Target="../charts/chart10.xml"/><Relationship Id="rId10" Type="http://schemas.openxmlformats.org/officeDocument/2006/relationships/chart" Target="../charts/chart15.xml"/><Relationship Id="rId4" Type="http://schemas.openxmlformats.org/officeDocument/2006/relationships/chart" Target="../charts/chart9.xml"/><Relationship Id="rId9" Type="http://schemas.openxmlformats.org/officeDocument/2006/relationships/chart" Target="../charts/chart14.xml"/></Relationships>
</file>

<file path=xl/drawings/_rels/drawing4.xml.rels><?xml version="1.0" encoding="UTF-8" standalone="yes"?>
<Relationships xmlns="http://schemas.openxmlformats.org/package/2006/relationships"><Relationship Id="rId1" Type="http://schemas.openxmlformats.org/officeDocument/2006/relationships/hyperlink" Target="#Content!A1"/></Relationships>
</file>

<file path=xl/drawings/_rels/drawing5.xml.rels><?xml version="1.0" encoding="UTF-8" standalone="yes"?>
<Relationships xmlns="http://schemas.openxmlformats.org/package/2006/relationships"><Relationship Id="rId3" Type="http://schemas.openxmlformats.org/officeDocument/2006/relationships/chart" Target="../charts/chart17.xml"/><Relationship Id="rId2" Type="http://schemas.microsoft.com/office/2014/relationships/chartEx" Target="../charts/chartEx1.xml"/><Relationship Id="rId1" Type="http://schemas.openxmlformats.org/officeDocument/2006/relationships/hyperlink" Target="#Content!A1"/></Relationships>
</file>

<file path=xl/drawings/_rels/drawing6.xml.rels><?xml version="1.0" encoding="UTF-8" standalone="yes"?>
<Relationships xmlns="http://schemas.openxmlformats.org/package/2006/relationships"><Relationship Id="rId3" Type="http://schemas.openxmlformats.org/officeDocument/2006/relationships/chart" Target="../charts/chart20.xml"/><Relationship Id="rId2" Type="http://schemas.openxmlformats.org/officeDocument/2006/relationships/chart" Target="../charts/chart19.xml"/><Relationship Id="rId1" Type="http://schemas.openxmlformats.org/officeDocument/2006/relationships/chart" Target="../charts/chart18.xml"/></Relationships>
</file>

<file path=xl/drawings/_rels/drawing7.xml.rels><?xml version="1.0" encoding="UTF-8" standalone="yes"?>
<Relationships xmlns="http://schemas.openxmlformats.org/package/2006/relationships"><Relationship Id="rId3" Type="http://schemas.openxmlformats.org/officeDocument/2006/relationships/chart" Target="../charts/chart23.xml"/><Relationship Id="rId2" Type="http://schemas.openxmlformats.org/officeDocument/2006/relationships/chart" Target="../charts/chart22.xml"/><Relationship Id="rId1" Type="http://schemas.openxmlformats.org/officeDocument/2006/relationships/chart" Target="../charts/chart21.xml"/><Relationship Id="rId5" Type="http://schemas.openxmlformats.org/officeDocument/2006/relationships/chart" Target="../charts/chart25.xml"/><Relationship Id="rId4" Type="http://schemas.openxmlformats.org/officeDocument/2006/relationships/chart" Target="../charts/chart24.xml"/></Relationships>
</file>

<file path=xl/drawings/_rels/drawing8.xml.rels><?xml version="1.0" encoding="UTF-8" standalone="yes"?>
<Relationships xmlns="http://schemas.openxmlformats.org/package/2006/relationships"><Relationship Id="rId3" Type="http://schemas.openxmlformats.org/officeDocument/2006/relationships/chart" Target="../charts/chart28.xml"/><Relationship Id="rId2" Type="http://schemas.openxmlformats.org/officeDocument/2006/relationships/chart" Target="../charts/chart27.xml"/><Relationship Id="rId1" Type="http://schemas.openxmlformats.org/officeDocument/2006/relationships/chart" Target="../charts/chart26.xml"/><Relationship Id="rId4" Type="http://schemas.openxmlformats.org/officeDocument/2006/relationships/chart" Target="../charts/chart29.xml"/></Relationships>
</file>

<file path=xl/drawings/drawing1.xml><?xml version="1.0" encoding="utf-8"?>
<xdr:wsDr xmlns:xdr="http://schemas.openxmlformats.org/drawingml/2006/spreadsheetDrawing" xmlns:a="http://schemas.openxmlformats.org/drawingml/2006/main">
  <xdr:oneCellAnchor>
    <xdr:from>
      <xdr:col>2</xdr:col>
      <xdr:colOff>989277</xdr:colOff>
      <xdr:row>6</xdr:row>
      <xdr:rowOff>12817</xdr:rowOff>
    </xdr:from>
    <xdr:ext cx="4649839" cy="2339569"/>
    <xdr:graphicFrame macro="">
      <xdr:nvGraphicFramePr>
        <xdr:cNvPr id="6" name="Chart 5">
          <a:extLst>
            <a:ext uri="{FF2B5EF4-FFF2-40B4-BE49-F238E27FC236}">
              <a16:creationId xmlns:a16="http://schemas.microsoft.com/office/drawing/2014/main" id="{035FBF0F-7649-41A3-B0D4-1510CAE3EEA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oneCellAnchor>
  <xdr:twoCellAnchor>
    <xdr:from>
      <xdr:col>3</xdr:col>
      <xdr:colOff>68036</xdr:colOff>
      <xdr:row>19</xdr:row>
      <xdr:rowOff>90713</xdr:rowOff>
    </xdr:from>
    <xdr:to>
      <xdr:col>6</xdr:col>
      <xdr:colOff>633781</xdr:colOff>
      <xdr:row>36</xdr:row>
      <xdr:rowOff>68036</xdr:rowOff>
    </xdr:to>
    <xdr:graphicFrame macro="">
      <xdr:nvGraphicFramePr>
        <xdr:cNvPr id="15" name="Chart 14">
          <a:extLst>
            <a:ext uri="{FF2B5EF4-FFF2-40B4-BE49-F238E27FC236}">
              <a16:creationId xmlns:a16="http://schemas.microsoft.com/office/drawing/2014/main" id="{9B39D014-02A2-48BD-8388-AC7E7740D2C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6</xdr:col>
      <xdr:colOff>482842</xdr:colOff>
      <xdr:row>6</xdr:row>
      <xdr:rowOff>2656</xdr:rowOff>
    </xdr:from>
    <xdr:to>
      <xdr:col>7</xdr:col>
      <xdr:colOff>430165</xdr:colOff>
      <xdr:row>19</xdr:row>
      <xdr:rowOff>48234</xdr:rowOff>
    </xdr:to>
    <mc:AlternateContent xmlns:mc="http://schemas.openxmlformats.org/markup-compatibility/2006" xmlns:a14="http://schemas.microsoft.com/office/drawing/2010/main">
      <mc:Choice Requires="a14">
        <xdr:graphicFrame macro="">
          <xdr:nvGraphicFramePr>
            <xdr:cNvPr id="16" name="CITY 5">
              <a:extLst>
                <a:ext uri="{FF2B5EF4-FFF2-40B4-BE49-F238E27FC236}">
                  <a16:creationId xmlns:a16="http://schemas.microsoft.com/office/drawing/2014/main" id="{CDB30798-E996-4C84-AD4E-045C92E21A24}"/>
                </a:ext>
              </a:extLst>
            </xdr:cNvPr>
            <xdr:cNvGraphicFramePr/>
          </xdr:nvGraphicFramePr>
          <xdr:xfrm>
            <a:off x="0" y="0"/>
            <a:ext cx="0" cy="0"/>
          </xdr:xfrm>
          <a:graphic>
            <a:graphicData uri="http://schemas.microsoft.com/office/drawing/2010/slicer">
              <sle:slicer xmlns:sle="http://schemas.microsoft.com/office/drawing/2010/slicer" name="CITY 5"/>
            </a:graphicData>
          </a:graphic>
        </xdr:graphicFrame>
      </mc:Choice>
      <mc:Fallback xmlns="">
        <xdr:sp macro="" textlink="">
          <xdr:nvSpPr>
            <xdr:cNvPr id="0" name=""/>
            <xdr:cNvSpPr>
              <a:spLocks noTextEdit="1"/>
            </xdr:cNvSpPr>
          </xdr:nvSpPr>
          <xdr:spPr>
            <a:xfrm>
              <a:off x="6985712" y="1072749"/>
              <a:ext cx="1381953" cy="2338633"/>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6</xdr:col>
      <xdr:colOff>646335</xdr:colOff>
      <xdr:row>19</xdr:row>
      <xdr:rowOff>102054</xdr:rowOff>
    </xdr:from>
    <xdr:to>
      <xdr:col>10</xdr:col>
      <xdr:colOff>142071</xdr:colOff>
      <xdr:row>36</xdr:row>
      <xdr:rowOff>53429</xdr:rowOff>
    </xdr:to>
    <xdr:graphicFrame macro="">
      <xdr:nvGraphicFramePr>
        <xdr:cNvPr id="17" name="Chart 16">
          <a:extLst>
            <a:ext uri="{FF2B5EF4-FFF2-40B4-BE49-F238E27FC236}">
              <a16:creationId xmlns:a16="http://schemas.microsoft.com/office/drawing/2014/main" id="{4FA639C5-9493-47F9-8B05-52533054DCB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8</xdr:col>
      <xdr:colOff>450648</xdr:colOff>
      <xdr:row>6</xdr:row>
      <xdr:rowOff>14212</xdr:rowOff>
    </xdr:from>
    <xdr:to>
      <xdr:col>9</xdr:col>
      <xdr:colOff>197497</xdr:colOff>
      <xdr:row>19</xdr:row>
      <xdr:rowOff>90713</xdr:rowOff>
    </xdr:to>
    <mc:AlternateContent xmlns:mc="http://schemas.openxmlformats.org/markup-compatibility/2006" xmlns:a14="http://schemas.microsoft.com/office/drawing/2010/main">
      <mc:Choice Requires="a14">
        <xdr:graphicFrame macro="">
          <xdr:nvGraphicFramePr>
            <xdr:cNvPr id="18" name="STATUS 3">
              <a:extLst>
                <a:ext uri="{FF2B5EF4-FFF2-40B4-BE49-F238E27FC236}">
                  <a16:creationId xmlns:a16="http://schemas.microsoft.com/office/drawing/2014/main" id="{AFD40CC4-70BF-44E6-A45D-BA3FB4B32696}"/>
                </a:ext>
              </a:extLst>
            </xdr:cNvPr>
            <xdr:cNvGraphicFramePr/>
          </xdr:nvGraphicFramePr>
          <xdr:xfrm>
            <a:off x="0" y="0"/>
            <a:ext cx="0" cy="0"/>
          </xdr:xfrm>
          <a:graphic>
            <a:graphicData uri="http://schemas.microsoft.com/office/drawing/2010/slicer">
              <sle:slicer xmlns:sle="http://schemas.microsoft.com/office/drawing/2010/slicer" name="STATUS 3"/>
            </a:graphicData>
          </a:graphic>
        </xdr:graphicFrame>
      </mc:Choice>
      <mc:Fallback xmlns="">
        <xdr:sp macro="" textlink="">
          <xdr:nvSpPr>
            <xdr:cNvPr id="0" name=""/>
            <xdr:cNvSpPr>
              <a:spLocks noTextEdit="1"/>
            </xdr:cNvSpPr>
          </xdr:nvSpPr>
          <xdr:spPr>
            <a:xfrm>
              <a:off x="9822778" y="1084305"/>
              <a:ext cx="1181478" cy="2369556"/>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7</xdr:col>
      <xdr:colOff>471129</xdr:colOff>
      <xdr:row>6</xdr:row>
      <xdr:rowOff>11339</xdr:rowOff>
    </xdr:from>
    <xdr:to>
      <xdr:col>8</xdr:col>
      <xdr:colOff>439830</xdr:colOff>
      <xdr:row>19</xdr:row>
      <xdr:rowOff>102052</xdr:rowOff>
    </xdr:to>
    <mc:AlternateContent xmlns:mc="http://schemas.openxmlformats.org/markup-compatibility/2006" xmlns:a14="http://schemas.microsoft.com/office/drawing/2010/main">
      <mc:Choice Requires="a14">
        <xdr:graphicFrame macro="">
          <xdr:nvGraphicFramePr>
            <xdr:cNvPr id="19" name="CITY 6">
              <a:extLst>
                <a:ext uri="{FF2B5EF4-FFF2-40B4-BE49-F238E27FC236}">
                  <a16:creationId xmlns:a16="http://schemas.microsoft.com/office/drawing/2014/main" id="{CC58D4A6-4EC8-4860-A165-5CB780695E04}"/>
                </a:ext>
              </a:extLst>
            </xdr:cNvPr>
            <xdr:cNvGraphicFramePr/>
          </xdr:nvGraphicFramePr>
          <xdr:xfrm>
            <a:off x="0" y="0"/>
            <a:ext cx="0" cy="0"/>
          </xdr:xfrm>
          <a:graphic>
            <a:graphicData uri="http://schemas.microsoft.com/office/drawing/2010/slicer">
              <sle:slicer xmlns:sle="http://schemas.microsoft.com/office/drawing/2010/slicer" name="CITY 6"/>
            </a:graphicData>
          </a:graphic>
        </xdr:graphicFrame>
      </mc:Choice>
      <mc:Fallback xmlns="">
        <xdr:sp macro="" textlink="">
          <xdr:nvSpPr>
            <xdr:cNvPr id="0" name=""/>
            <xdr:cNvSpPr>
              <a:spLocks noTextEdit="1"/>
            </xdr:cNvSpPr>
          </xdr:nvSpPr>
          <xdr:spPr>
            <a:xfrm>
              <a:off x="8408629" y="1081432"/>
              <a:ext cx="1403331" cy="2383768"/>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10</xdr:col>
      <xdr:colOff>147410</xdr:colOff>
      <xdr:row>21</xdr:row>
      <xdr:rowOff>136069</xdr:rowOff>
    </xdr:from>
    <xdr:to>
      <xdr:col>13</xdr:col>
      <xdr:colOff>26103</xdr:colOff>
      <xdr:row>36</xdr:row>
      <xdr:rowOff>73797</xdr:rowOff>
    </xdr:to>
    <xdr:graphicFrame macro="">
      <xdr:nvGraphicFramePr>
        <xdr:cNvPr id="20" name="Chart 19">
          <a:extLst>
            <a:ext uri="{FF2B5EF4-FFF2-40B4-BE49-F238E27FC236}">
              <a16:creationId xmlns:a16="http://schemas.microsoft.com/office/drawing/2014/main" id="{5D971231-5C83-424E-969B-1FCFC3233ED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10</xdr:col>
      <xdr:colOff>147413</xdr:colOff>
      <xdr:row>6</xdr:row>
      <xdr:rowOff>4</xdr:rowOff>
    </xdr:from>
    <xdr:to>
      <xdr:col>13</xdr:col>
      <xdr:colOff>27766</xdr:colOff>
      <xdr:row>21</xdr:row>
      <xdr:rowOff>122798</xdr:rowOff>
    </xdr:to>
    <xdr:graphicFrame macro="">
      <xdr:nvGraphicFramePr>
        <xdr:cNvPr id="21" name="Chart 20">
          <a:extLst>
            <a:ext uri="{FF2B5EF4-FFF2-40B4-BE49-F238E27FC236}">
              <a16:creationId xmlns:a16="http://schemas.microsoft.com/office/drawing/2014/main" id="{90DE9B35-47B8-4D0E-A6AA-355F6969E1C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9</xdr:col>
      <xdr:colOff>204839</xdr:colOff>
      <xdr:row>6</xdr:row>
      <xdr:rowOff>21180</xdr:rowOff>
    </xdr:from>
    <xdr:to>
      <xdr:col>10</xdr:col>
      <xdr:colOff>155365</xdr:colOff>
      <xdr:row>19</xdr:row>
      <xdr:rowOff>102061</xdr:rowOff>
    </xdr:to>
    <mc:AlternateContent xmlns:mc="http://schemas.openxmlformats.org/markup-compatibility/2006" xmlns:a14="http://schemas.microsoft.com/office/drawing/2010/main">
      <mc:Choice Requires="a14">
        <xdr:graphicFrame macro="">
          <xdr:nvGraphicFramePr>
            <xdr:cNvPr id="22" name="LOAN&#10; TYPE 2">
              <a:extLst>
                <a:ext uri="{FF2B5EF4-FFF2-40B4-BE49-F238E27FC236}">
                  <a16:creationId xmlns:a16="http://schemas.microsoft.com/office/drawing/2014/main" id="{D58A834A-A48D-4BEF-B2BC-A27291838C15}"/>
                </a:ext>
              </a:extLst>
            </xdr:cNvPr>
            <xdr:cNvGraphicFramePr/>
          </xdr:nvGraphicFramePr>
          <xdr:xfrm>
            <a:off x="0" y="0"/>
            <a:ext cx="0" cy="0"/>
          </xdr:xfrm>
          <a:graphic>
            <a:graphicData uri="http://schemas.microsoft.com/office/drawing/2010/slicer">
              <sle:slicer xmlns:sle="http://schemas.microsoft.com/office/drawing/2010/slicer" name="LOAN&#10; TYPE 2"/>
            </a:graphicData>
          </a:graphic>
        </xdr:graphicFrame>
      </mc:Choice>
      <mc:Fallback xmlns="">
        <xdr:sp macro="" textlink="">
          <xdr:nvSpPr>
            <xdr:cNvPr id="0" name=""/>
            <xdr:cNvSpPr>
              <a:spLocks noTextEdit="1"/>
            </xdr:cNvSpPr>
          </xdr:nvSpPr>
          <xdr:spPr>
            <a:xfrm>
              <a:off x="11011598" y="1091273"/>
              <a:ext cx="1385156" cy="2373936"/>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2.xml><?xml version="1.0" encoding="utf-8"?>
<xdr:wsDr xmlns:xdr="http://schemas.openxmlformats.org/drawingml/2006/spreadsheetDrawing" xmlns:a="http://schemas.openxmlformats.org/drawingml/2006/main">
  <xdr:twoCellAnchor>
    <xdr:from>
      <xdr:col>3</xdr:col>
      <xdr:colOff>396786</xdr:colOff>
      <xdr:row>9</xdr:row>
      <xdr:rowOff>121908</xdr:rowOff>
    </xdr:from>
    <xdr:to>
      <xdr:col>5</xdr:col>
      <xdr:colOff>155486</xdr:colOff>
      <xdr:row>13</xdr:row>
      <xdr:rowOff>7608</xdr:rowOff>
    </xdr:to>
    <xdr:sp macro="" textlink="">
      <xdr:nvSpPr>
        <xdr:cNvPr id="5" name="Rectangle 4">
          <a:hlinkClick xmlns:r="http://schemas.openxmlformats.org/officeDocument/2006/relationships" r:id="rId1"/>
          <a:extLst>
            <a:ext uri="{FF2B5EF4-FFF2-40B4-BE49-F238E27FC236}">
              <a16:creationId xmlns:a16="http://schemas.microsoft.com/office/drawing/2014/main" id="{C89F7EEE-7D0E-5459-24E0-26BCDBF5CE9D}"/>
            </a:ext>
          </a:extLst>
        </xdr:cNvPr>
        <xdr:cNvSpPr/>
      </xdr:nvSpPr>
      <xdr:spPr>
        <a:xfrm>
          <a:off x="3028318" y="1008620"/>
          <a:ext cx="1074465" cy="595069"/>
        </a:xfrm>
        <a:prstGeom prst="rect">
          <a:avLst/>
        </a:prstGeom>
        <a:solidFill>
          <a:schemeClr val="accent1">
            <a:lumMod val="60000"/>
            <a:lumOff val="40000"/>
          </a:schemeClr>
        </a:solidFill>
        <a:ln>
          <a:solidFill>
            <a:schemeClr val="accent1">
              <a:lumMod val="20000"/>
              <a:lumOff val="80000"/>
            </a:schemeClr>
          </a:solidFill>
        </a:ln>
      </xdr:spPr>
      <xdr:style>
        <a:lnRef idx="2">
          <a:schemeClr val="accent6"/>
        </a:lnRef>
        <a:fillRef idx="1">
          <a:schemeClr val="lt1"/>
        </a:fillRef>
        <a:effectRef idx="0">
          <a:schemeClr val="accent6"/>
        </a:effectRef>
        <a:fontRef idx="minor">
          <a:schemeClr val="dk1"/>
        </a:fontRef>
      </xdr:style>
      <xdr:txBody>
        <a:bodyPr vertOverflow="clip" horzOverflow="clip" rtlCol="0" anchor="ctr"/>
        <a:lstStyle/>
        <a:p>
          <a:pPr algn="ctr"/>
          <a:r>
            <a:rPr lang="en-IN" sz="1200" b="0" cap="none" spc="0">
              <a:ln w="0"/>
              <a:solidFill>
                <a:schemeClr val="tx1"/>
              </a:solidFill>
              <a:effectLst>
                <a:outerShdw blurRad="38100" dist="19050" dir="2700000" algn="tl" rotWithShape="0">
                  <a:schemeClr val="dk1">
                    <a:alpha val="40000"/>
                  </a:schemeClr>
                </a:outerShdw>
              </a:effectLst>
            </a:rPr>
            <a:t>Instructions</a:t>
          </a:r>
        </a:p>
      </xdr:txBody>
    </xdr:sp>
    <xdr:clientData/>
  </xdr:twoCellAnchor>
  <xdr:twoCellAnchor>
    <xdr:from>
      <xdr:col>5</xdr:col>
      <xdr:colOff>416741</xdr:colOff>
      <xdr:row>9</xdr:row>
      <xdr:rowOff>128258</xdr:rowOff>
    </xdr:from>
    <xdr:to>
      <xdr:col>7</xdr:col>
      <xdr:colOff>194504</xdr:colOff>
      <xdr:row>13</xdr:row>
      <xdr:rowOff>13958</xdr:rowOff>
    </xdr:to>
    <xdr:sp macro="" textlink="">
      <xdr:nvSpPr>
        <xdr:cNvPr id="6" name="Rectangle 5">
          <a:hlinkClick xmlns:r="http://schemas.openxmlformats.org/officeDocument/2006/relationships" r:id="rId2"/>
          <a:extLst>
            <a:ext uri="{FF2B5EF4-FFF2-40B4-BE49-F238E27FC236}">
              <a16:creationId xmlns:a16="http://schemas.microsoft.com/office/drawing/2014/main" id="{B54EA042-6EAB-479C-88ED-90899BE114A3}"/>
            </a:ext>
          </a:extLst>
        </xdr:cNvPr>
        <xdr:cNvSpPr/>
      </xdr:nvSpPr>
      <xdr:spPr>
        <a:xfrm>
          <a:off x="4364038" y="1014970"/>
          <a:ext cx="1093529" cy="595069"/>
        </a:xfrm>
        <a:prstGeom prst="rect">
          <a:avLst/>
        </a:prstGeom>
        <a:solidFill>
          <a:schemeClr val="accent1">
            <a:lumMod val="60000"/>
            <a:lumOff val="40000"/>
          </a:schemeClr>
        </a:solidFill>
        <a:ln>
          <a:solidFill>
            <a:schemeClr val="accent1">
              <a:lumMod val="20000"/>
              <a:lumOff val="80000"/>
            </a:schemeClr>
          </a:solidFill>
        </a:ln>
      </xdr:spPr>
      <xdr:style>
        <a:lnRef idx="2">
          <a:schemeClr val="accent6"/>
        </a:lnRef>
        <a:fillRef idx="1">
          <a:schemeClr val="lt1"/>
        </a:fillRef>
        <a:effectRef idx="0">
          <a:schemeClr val="accent6"/>
        </a:effectRef>
        <a:fontRef idx="minor">
          <a:schemeClr val="dk1"/>
        </a:fontRef>
      </xdr:style>
      <xdr:txBody>
        <a:bodyPr vertOverflow="clip" horzOverflow="clip" rtlCol="0" anchor="ctr"/>
        <a:lstStyle/>
        <a:p>
          <a:pPr algn="ctr"/>
          <a:r>
            <a:rPr lang="en-IN" sz="1200" b="0" cap="none" spc="0">
              <a:ln w="0"/>
              <a:solidFill>
                <a:schemeClr val="tx1"/>
              </a:solidFill>
              <a:effectLst>
                <a:outerShdw blurRad="38100" dist="19050" dir="2700000" algn="tl" rotWithShape="0">
                  <a:schemeClr val="dk1">
                    <a:alpha val="40000"/>
                  </a:schemeClr>
                </a:outerShdw>
              </a:effectLst>
            </a:rPr>
            <a:t>Dashboard</a:t>
          </a:r>
        </a:p>
      </xdr:txBody>
    </xdr:sp>
    <xdr:clientData/>
  </xdr:twoCellAnchor>
  <xdr:twoCellAnchor>
    <xdr:from>
      <xdr:col>9</xdr:col>
      <xdr:colOff>480242</xdr:colOff>
      <xdr:row>9</xdr:row>
      <xdr:rowOff>138236</xdr:rowOff>
    </xdr:from>
    <xdr:to>
      <xdr:col>11</xdr:col>
      <xdr:colOff>238943</xdr:colOff>
      <xdr:row>13</xdr:row>
      <xdr:rowOff>24843</xdr:rowOff>
    </xdr:to>
    <xdr:sp macro="" textlink="">
      <xdr:nvSpPr>
        <xdr:cNvPr id="7" name="Rectangle 6">
          <a:hlinkClick xmlns:r="http://schemas.openxmlformats.org/officeDocument/2006/relationships" r:id="rId3"/>
          <a:extLst>
            <a:ext uri="{FF2B5EF4-FFF2-40B4-BE49-F238E27FC236}">
              <a16:creationId xmlns:a16="http://schemas.microsoft.com/office/drawing/2014/main" id="{41E5F2AA-7085-4EE2-AF0C-9423EF49FCE9}"/>
            </a:ext>
          </a:extLst>
        </xdr:cNvPr>
        <xdr:cNvSpPr/>
      </xdr:nvSpPr>
      <xdr:spPr>
        <a:xfrm>
          <a:off x="7059071" y="1024948"/>
          <a:ext cx="1074467" cy="595976"/>
        </a:xfrm>
        <a:prstGeom prst="rect">
          <a:avLst/>
        </a:prstGeom>
        <a:solidFill>
          <a:schemeClr val="accent1">
            <a:lumMod val="60000"/>
            <a:lumOff val="40000"/>
          </a:schemeClr>
        </a:solidFill>
        <a:ln>
          <a:solidFill>
            <a:schemeClr val="accent1">
              <a:lumMod val="20000"/>
              <a:lumOff val="80000"/>
            </a:schemeClr>
          </a:solidFill>
        </a:ln>
      </xdr:spPr>
      <xdr:style>
        <a:lnRef idx="2">
          <a:schemeClr val="accent6"/>
        </a:lnRef>
        <a:fillRef idx="1">
          <a:schemeClr val="lt1"/>
        </a:fillRef>
        <a:effectRef idx="0">
          <a:schemeClr val="accent6"/>
        </a:effectRef>
        <a:fontRef idx="minor">
          <a:schemeClr val="dk1"/>
        </a:fontRef>
      </xdr:style>
      <xdr:txBody>
        <a:bodyPr vertOverflow="clip" horzOverflow="clip" rtlCol="0" anchor="ctr"/>
        <a:lstStyle/>
        <a:p>
          <a:pPr algn="ctr"/>
          <a:r>
            <a:rPr lang="en-IN" sz="1200" b="0" cap="none" spc="0">
              <a:ln w="0"/>
              <a:solidFill>
                <a:schemeClr val="tx1"/>
              </a:solidFill>
              <a:effectLst>
                <a:outerShdw blurRad="38100" dist="19050" dir="2700000" algn="tl" rotWithShape="0">
                  <a:schemeClr val="dk1">
                    <a:alpha val="40000"/>
                  </a:schemeClr>
                </a:outerShdw>
              </a:effectLst>
            </a:rPr>
            <a:t>Clean Data</a:t>
          </a:r>
        </a:p>
      </xdr:txBody>
    </xdr:sp>
    <xdr:clientData/>
  </xdr:twoCellAnchor>
  <xdr:twoCellAnchor>
    <xdr:from>
      <xdr:col>7</xdr:col>
      <xdr:colOff>451214</xdr:colOff>
      <xdr:row>9</xdr:row>
      <xdr:rowOff>128258</xdr:rowOff>
    </xdr:from>
    <xdr:to>
      <xdr:col>9</xdr:col>
      <xdr:colOff>209914</xdr:colOff>
      <xdr:row>13</xdr:row>
      <xdr:rowOff>13958</xdr:rowOff>
    </xdr:to>
    <xdr:sp macro="" textlink="">
      <xdr:nvSpPr>
        <xdr:cNvPr id="8" name="Rectangle 7">
          <a:hlinkClick xmlns:r="http://schemas.openxmlformats.org/officeDocument/2006/relationships" r:id="rId4"/>
          <a:extLst>
            <a:ext uri="{FF2B5EF4-FFF2-40B4-BE49-F238E27FC236}">
              <a16:creationId xmlns:a16="http://schemas.microsoft.com/office/drawing/2014/main" id="{ED2410C1-0420-4612-B27C-9F98E7E204A8}"/>
            </a:ext>
          </a:extLst>
        </xdr:cNvPr>
        <xdr:cNvSpPr/>
      </xdr:nvSpPr>
      <xdr:spPr>
        <a:xfrm>
          <a:off x="5714277" y="1014970"/>
          <a:ext cx="1074466" cy="595069"/>
        </a:xfrm>
        <a:prstGeom prst="rect">
          <a:avLst/>
        </a:prstGeom>
        <a:solidFill>
          <a:schemeClr val="accent1">
            <a:lumMod val="60000"/>
            <a:lumOff val="40000"/>
          </a:schemeClr>
        </a:solidFill>
        <a:ln>
          <a:solidFill>
            <a:schemeClr val="accent1">
              <a:lumMod val="20000"/>
              <a:lumOff val="80000"/>
            </a:schemeClr>
          </a:solidFill>
        </a:ln>
      </xdr:spPr>
      <xdr:style>
        <a:lnRef idx="2">
          <a:schemeClr val="accent6"/>
        </a:lnRef>
        <a:fillRef idx="1">
          <a:schemeClr val="lt1"/>
        </a:fillRef>
        <a:effectRef idx="0">
          <a:schemeClr val="accent6"/>
        </a:effectRef>
        <a:fontRef idx="minor">
          <a:schemeClr val="dk1"/>
        </a:fontRef>
      </xdr:style>
      <xdr:txBody>
        <a:bodyPr vertOverflow="clip" horzOverflow="clip" rtlCol="0" anchor="ctr"/>
        <a:lstStyle/>
        <a:p>
          <a:pPr algn="ctr"/>
          <a:r>
            <a:rPr lang="en-IN" sz="1200" b="0" cap="none" spc="0">
              <a:ln w="0"/>
              <a:solidFill>
                <a:schemeClr val="tx1"/>
              </a:solidFill>
              <a:effectLst>
                <a:outerShdw blurRad="38100" dist="19050" dir="2700000" algn="tl" rotWithShape="0">
                  <a:schemeClr val="dk1">
                    <a:alpha val="40000"/>
                  </a:schemeClr>
                </a:outerShdw>
              </a:effectLst>
            </a:rPr>
            <a:t>Raw Data</a:t>
          </a:r>
        </a:p>
      </xdr:txBody>
    </xdr:sp>
    <xdr:clientData/>
  </xdr:twoCellAnchor>
  <xdr:twoCellAnchor>
    <xdr:from>
      <xdr:col>3</xdr:col>
      <xdr:colOff>395412</xdr:colOff>
      <xdr:row>13</xdr:row>
      <xdr:rowOff>169965</xdr:rowOff>
    </xdr:from>
    <xdr:to>
      <xdr:col>5</xdr:col>
      <xdr:colOff>154112</xdr:colOff>
      <xdr:row>17</xdr:row>
      <xdr:rowOff>55665</xdr:rowOff>
    </xdr:to>
    <xdr:sp macro="" textlink="">
      <xdr:nvSpPr>
        <xdr:cNvPr id="9" name="Rectangle 8">
          <a:hlinkClick xmlns:r="http://schemas.openxmlformats.org/officeDocument/2006/relationships" r:id="rId5"/>
          <a:extLst>
            <a:ext uri="{FF2B5EF4-FFF2-40B4-BE49-F238E27FC236}">
              <a16:creationId xmlns:a16="http://schemas.microsoft.com/office/drawing/2014/main" id="{A6D67A80-2007-4537-883D-C4D52D2D8022}"/>
            </a:ext>
          </a:extLst>
        </xdr:cNvPr>
        <xdr:cNvSpPr/>
      </xdr:nvSpPr>
      <xdr:spPr>
        <a:xfrm>
          <a:off x="3026944" y="1766046"/>
          <a:ext cx="1074465" cy="595069"/>
        </a:xfrm>
        <a:prstGeom prst="rect">
          <a:avLst/>
        </a:prstGeom>
        <a:solidFill>
          <a:schemeClr val="accent1">
            <a:lumMod val="60000"/>
            <a:lumOff val="40000"/>
          </a:schemeClr>
        </a:solidFill>
        <a:ln>
          <a:solidFill>
            <a:schemeClr val="accent1">
              <a:lumMod val="20000"/>
              <a:lumOff val="80000"/>
            </a:schemeClr>
          </a:solidFill>
        </a:ln>
      </xdr:spPr>
      <xdr:style>
        <a:lnRef idx="2">
          <a:schemeClr val="accent6"/>
        </a:lnRef>
        <a:fillRef idx="1">
          <a:schemeClr val="lt1"/>
        </a:fillRef>
        <a:effectRef idx="0">
          <a:schemeClr val="accent6"/>
        </a:effectRef>
        <a:fontRef idx="minor">
          <a:schemeClr val="dk1"/>
        </a:fontRef>
      </xdr:style>
      <xdr:txBody>
        <a:bodyPr vertOverflow="clip" horzOverflow="clip" rtlCol="0" anchor="ctr"/>
        <a:lstStyle/>
        <a:p>
          <a:pPr algn="ctr"/>
          <a:r>
            <a:rPr lang="en-IN" sz="1100" b="0" cap="none" spc="0">
              <a:ln w="0"/>
              <a:solidFill>
                <a:schemeClr val="tx1"/>
              </a:solidFill>
              <a:effectLst>
                <a:outerShdw blurRad="38100" dist="19050" dir="2700000" algn="tl" rotWithShape="0">
                  <a:schemeClr val="dk1">
                    <a:alpha val="40000"/>
                  </a:schemeClr>
                </a:outerShdw>
              </a:effectLst>
            </a:rPr>
            <a:t>Cleaning Tasks</a:t>
          </a:r>
        </a:p>
      </xdr:txBody>
    </xdr:sp>
    <xdr:clientData/>
  </xdr:twoCellAnchor>
  <xdr:twoCellAnchor>
    <xdr:from>
      <xdr:col>5</xdr:col>
      <xdr:colOff>415367</xdr:colOff>
      <xdr:row>13</xdr:row>
      <xdr:rowOff>176315</xdr:rowOff>
    </xdr:from>
    <xdr:to>
      <xdr:col>7</xdr:col>
      <xdr:colOff>211666</xdr:colOff>
      <xdr:row>17</xdr:row>
      <xdr:rowOff>62015</xdr:rowOff>
    </xdr:to>
    <xdr:sp macro="" textlink="">
      <xdr:nvSpPr>
        <xdr:cNvPr id="10" name="Rectangle 9">
          <a:hlinkClick xmlns:r="http://schemas.openxmlformats.org/officeDocument/2006/relationships" r:id="rId6"/>
          <a:extLst>
            <a:ext uri="{FF2B5EF4-FFF2-40B4-BE49-F238E27FC236}">
              <a16:creationId xmlns:a16="http://schemas.microsoft.com/office/drawing/2014/main" id="{5FE0DD0D-62D3-414D-A1D9-D3A1E309F5BF}"/>
            </a:ext>
          </a:extLst>
        </xdr:cNvPr>
        <xdr:cNvSpPr/>
      </xdr:nvSpPr>
      <xdr:spPr>
        <a:xfrm>
          <a:off x="4362664" y="1772396"/>
          <a:ext cx="1112065" cy="595069"/>
        </a:xfrm>
        <a:prstGeom prst="rect">
          <a:avLst/>
        </a:prstGeom>
        <a:solidFill>
          <a:schemeClr val="accent1">
            <a:lumMod val="60000"/>
            <a:lumOff val="40000"/>
          </a:schemeClr>
        </a:solidFill>
        <a:ln>
          <a:solidFill>
            <a:schemeClr val="accent1">
              <a:lumMod val="20000"/>
              <a:lumOff val="80000"/>
            </a:schemeClr>
          </a:solidFill>
        </a:ln>
      </xdr:spPr>
      <xdr:style>
        <a:lnRef idx="2">
          <a:schemeClr val="accent6"/>
        </a:lnRef>
        <a:fillRef idx="1">
          <a:schemeClr val="lt1"/>
        </a:fillRef>
        <a:effectRef idx="0">
          <a:schemeClr val="accent6"/>
        </a:effectRef>
        <a:fontRef idx="minor">
          <a:schemeClr val="dk1"/>
        </a:fontRef>
      </xdr:style>
      <xdr:txBody>
        <a:bodyPr vertOverflow="clip" horzOverflow="clip" rtlCol="0" anchor="ctr"/>
        <a:lstStyle/>
        <a:p>
          <a:pPr algn="ctr"/>
          <a:r>
            <a:rPr lang="en-IN" sz="1200" b="0" cap="none" spc="0">
              <a:ln w="0"/>
              <a:solidFill>
                <a:schemeClr val="tx1"/>
              </a:solidFill>
              <a:effectLst>
                <a:outerShdw blurRad="38100" dist="19050" dir="2700000" algn="tl" rotWithShape="0">
                  <a:schemeClr val="dk1">
                    <a:alpha val="40000"/>
                  </a:schemeClr>
                </a:outerShdw>
              </a:effectLst>
            </a:rPr>
            <a:t>EMI &amp; Amortization</a:t>
          </a:r>
          <a:endParaRPr lang="en-IN" sz="1200"/>
        </a:p>
      </xdr:txBody>
    </xdr:sp>
    <xdr:clientData/>
  </xdr:twoCellAnchor>
  <xdr:twoCellAnchor>
    <xdr:from>
      <xdr:col>7</xdr:col>
      <xdr:colOff>449840</xdr:colOff>
      <xdr:row>13</xdr:row>
      <xdr:rowOff>176315</xdr:rowOff>
    </xdr:from>
    <xdr:to>
      <xdr:col>9</xdr:col>
      <xdr:colOff>208540</xdr:colOff>
      <xdr:row>17</xdr:row>
      <xdr:rowOff>62015</xdr:rowOff>
    </xdr:to>
    <xdr:sp macro="" textlink="">
      <xdr:nvSpPr>
        <xdr:cNvPr id="12" name="Rectangle 11">
          <a:hlinkClick xmlns:r="http://schemas.openxmlformats.org/officeDocument/2006/relationships" r:id="rId7"/>
          <a:extLst>
            <a:ext uri="{FF2B5EF4-FFF2-40B4-BE49-F238E27FC236}">
              <a16:creationId xmlns:a16="http://schemas.microsoft.com/office/drawing/2014/main" id="{3A982C63-DEC7-420E-BAF9-2983E0E776E2}"/>
            </a:ext>
          </a:extLst>
        </xdr:cNvPr>
        <xdr:cNvSpPr/>
      </xdr:nvSpPr>
      <xdr:spPr>
        <a:xfrm>
          <a:off x="5712903" y="1772396"/>
          <a:ext cx="1074466" cy="595069"/>
        </a:xfrm>
        <a:prstGeom prst="rect">
          <a:avLst/>
        </a:prstGeom>
        <a:solidFill>
          <a:schemeClr val="accent1">
            <a:lumMod val="60000"/>
            <a:lumOff val="40000"/>
          </a:schemeClr>
        </a:solidFill>
        <a:ln>
          <a:solidFill>
            <a:schemeClr val="accent1">
              <a:lumMod val="20000"/>
              <a:lumOff val="80000"/>
            </a:schemeClr>
          </a:solidFill>
        </a:ln>
      </xdr:spPr>
      <xdr:style>
        <a:lnRef idx="2">
          <a:schemeClr val="accent6"/>
        </a:lnRef>
        <a:fillRef idx="1">
          <a:schemeClr val="lt1"/>
        </a:fillRef>
        <a:effectRef idx="0">
          <a:schemeClr val="accent6"/>
        </a:effectRef>
        <a:fontRef idx="minor">
          <a:schemeClr val="dk1"/>
        </a:fontRef>
      </xdr:style>
      <xdr:txBody>
        <a:bodyPr vertOverflow="clip" horzOverflow="clip" rtlCol="0" anchor="ctr"/>
        <a:lstStyle/>
        <a:p>
          <a:pPr algn="ctr"/>
          <a:r>
            <a:rPr lang="en-IN" sz="1200" b="0" cap="none" spc="0">
              <a:ln w="0"/>
              <a:solidFill>
                <a:schemeClr val="tx1"/>
              </a:solidFill>
              <a:effectLst>
                <a:outerShdw blurRad="38100" dist="19050" dir="2700000" algn="tl" rotWithShape="0">
                  <a:schemeClr val="dk1">
                    <a:alpha val="40000"/>
                  </a:schemeClr>
                </a:outerShdw>
              </a:effectLst>
            </a:rPr>
            <a:t>Pivot 1</a:t>
          </a:r>
        </a:p>
      </xdr:txBody>
    </xdr:sp>
    <xdr:clientData/>
  </xdr:twoCellAnchor>
  <xdr:twoCellAnchor>
    <xdr:from>
      <xdr:col>9</xdr:col>
      <xdr:colOff>487827</xdr:colOff>
      <xdr:row>14</xdr:row>
      <xdr:rowOff>8354</xdr:rowOff>
    </xdr:from>
    <xdr:to>
      <xdr:col>11</xdr:col>
      <xdr:colOff>246527</xdr:colOff>
      <xdr:row>17</xdr:row>
      <xdr:rowOff>71396</xdr:rowOff>
    </xdr:to>
    <xdr:sp macro="" textlink="">
      <xdr:nvSpPr>
        <xdr:cNvPr id="13" name="Rectangle 12">
          <a:hlinkClick xmlns:r="http://schemas.openxmlformats.org/officeDocument/2006/relationships" r:id="rId8"/>
          <a:extLst>
            <a:ext uri="{FF2B5EF4-FFF2-40B4-BE49-F238E27FC236}">
              <a16:creationId xmlns:a16="http://schemas.microsoft.com/office/drawing/2014/main" id="{DAADC08C-4C8F-49CD-B87B-C6EFF9A3B682}"/>
            </a:ext>
          </a:extLst>
        </xdr:cNvPr>
        <xdr:cNvSpPr/>
      </xdr:nvSpPr>
      <xdr:spPr>
        <a:xfrm>
          <a:off x="7066656" y="1781777"/>
          <a:ext cx="1074466" cy="595069"/>
        </a:xfrm>
        <a:prstGeom prst="rect">
          <a:avLst/>
        </a:prstGeom>
        <a:solidFill>
          <a:schemeClr val="accent1">
            <a:lumMod val="60000"/>
            <a:lumOff val="40000"/>
          </a:schemeClr>
        </a:solidFill>
        <a:ln>
          <a:solidFill>
            <a:schemeClr val="accent1">
              <a:lumMod val="20000"/>
              <a:lumOff val="80000"/>
            </a:schemeClr>
          </a:solidFill>
        </a:ln>
      </xdr:spPr>
      <xdr:style>
        <a:lnRef idx="2">
          <a:schemeClr val="accent6"/>
        </a:lnRef>
        <a:fillRef idx="1">
          <a:schemeClr val="lt1"/>
        </a:fillRef>
        <a:effectRef idx="0">
          <a:schemeClr val="accent6"/>
        </a:effectRef>
        <a:fontRef idx="minor">
          <a:schemeClr val="dk1"/>
        </a:fontRef>
      </xdr:style>
      <xdr:txBody>
        <a:bodyPr vertOverflow="clip" horzOverflow="clip" rtlCol="0" anchor="ctr"/>
        <a:lstStyle/>
        <a:p>
          <a:pPr algn="ctr"/>
          <a:r>
            <a:rPr lang="en-IN" sz="1200" b="0" cap="none" spc="0">
              <a:ln w="0"/>
              <a:solidFill>
                <a:schemeClr val="tx1"/>
              </a:solidFill>
              <a:effectLst>
                <a:outerShdw blurRad="38100" dist="19050" dir="2700000" algn="tl" rotWithShape="0">
                  <a:schemeClr val="dk1">
                    <a:alpha val="40000"/>
                  </a:schemeClr>
                </a:outerShdw>
              </a:effectLst>
            </a:rPr>
            <a:t>Pivot 2</a:t>
          </a:r>
        </a:p>
      </xdr:txBody>
    </xdr:sp>
    <xdr:clientData/>
  </xdr:twoCellAnchor>
</xdr:wsDr>
</file>

<file path=xl/drawings/drawing3.xml><?xml version="1.0" encoding="utf-8"?>
<xdr:wsDr xmlns:xdr="http://schemas.openxmlformats.org/drawingml/2006/spreadsheetDrawing" xmlns:a="http://schemas.openxmlformats.org/drawingml/2006/main">
  <xdr:oneCellAnchor>
    <xdr:from>
      <xdr:col>3</xdr:col>
      <xdr:colOff>1095905</xdr:colOff>
      <xdr:row>22</xdr:row>
      <xdr:rowOff>85655</xdr:rowOff>
    </xdr:from>
    <xdr:ext cx="4432873" cy="3519293"/>
    <xdr:graphicFrame macro="">
      <xdr:nvGraphicFramePr>
        <xdr:cNvPr id="3" name="Chart 2">
          <a:extLst>
            <a:ext uri="{FF2B5EF4-FFF2-40B4-BE49-F238E27FC236}">
              <a16:creationId xmlns:a16="http://schemas.microsoft.com/office/drawing/2014/main" id="{C3C4DF98-A7BC-4F2A-9617-9D1F71C9358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oneCellAnchor>
  <xdr:oneCellAnchor>
    <xdr:from>
      <xdr:col>0</xdr:col>
      <xdr:colOff>83279</xdr:colOff>
      <xdr:row>6</xdr:row>
      <xdr:rowOff>41639</xdr:rowOff>
    </xdr:from>
    <xdr:ext cx="4694836" cy="4828021"/>
    <xdr:graphicFrame macro="">
      <xdr:nvGraphicFramePr>
        <xdr:cNvPr id="4" name="Chart 3">
          <a:extLst>
            <a:ext uri="{FF2B5EF4-FFF2-40B4-BE49-F238E27FC236}">
              <a16:creationId xmlns:a16="http://schemas.microsoft.com/office/drawing/2014/main" id="{AC79A538-32D8-474C-8A4A-AF8C8CDE482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oneCellAnchor>
  <xdr:oneCellAnchor>
    <xdr:from>
      <xdr:col>6</xdr:col>
      <xdr:colOff>1272419</xdr:colOff>
      <xdr:row>6</xdr:row>
      <xdr:rowOff>57188</xdr:rowOff>
    </xdr:from>
    <xdr:ext cx="5847910" cy="4460681"/>
    <xdr:graphicFrame macro="">
      <xdr:nvGraphicFramePr>
        <xdr:cNvPr id="5" name="Chart 4">
          <a:extLst>
            <a:ext uri="{FF2B5EF4-FFF2-40B4-BE49-F238E27FC236}">
              <a16:creationId xmlns:a16="http://schemas.microsoft.com/office/drawing/2014/main" id="{E422233B-9CB7-426A-88FE-072D78DCC90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oneCellAnchor>
  <xdr:oneCellAnchor>
    <xdr:from>
      <xdr:col>11</xdr:col>
      <xdr:colOff>1123</xdr:colOff>
      <xdr:row>1</xdr:row>
      <xdr:rowOff>41131</xdr:rowOff>
    </xdr:from>
    <xdr:ext cx="5890844" cy="3960000"/>
    <xdr:graphicFrame macro="">
      <xdr:nvGraphicFramePr>
        <xdr:cNvPr id="6" name="Chart 5">
          <a:extLst>
            <a:ext uri="{FF2B5EF4-FFF2-40B4-BE49-F238E27FC236}">
              <a16:creationId xmlns:a16="http://schemas.microsoft.com/office/drawing/2014/main" id="{D7158A5F-B64E-4B37-A468-F07E579D851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oneCellAnchor>
  <xdr:oneCellAnchor>
    <xdr:from>
      <xdr:col>6</xdr:col>
      <xdr:colOff>1281853</xdr:colOff>
      <xdr:row>31</xdr:row>
      <xdr:rowOff>119424</xdr:rowOff>
    </xdr:from>
    <xdr:ext cx="5848885" cy="2347707"/>
    <xdr:graphicFrame macro="">
      <xdr:nvGraphicFramePr>
        <xdr:cNvPr id="7" name="Chart 6">
          <a:extLst>
            <a:ext uri="{FF2B5EF4-FFF2-40B4-BE49-F238E27FC236}">
              <a16:creationId xmlns:a16="http://schemas.microsoft.com/office/drawing/2014/main" id="{65967E3B-C974-434F-B7D5-A1DF248A038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oneCellAnchor>
  <xdr:oneCellAnchor>
    <xdr:from>
      <xdr:col>3</xdr:col>
      <xdr:colOff>1061133</xdr:colOff>
      <xdr:row>6</xdr:row>
      <xdr:rowOff>10410</xdr:rowOff>
    </xdr:from>
    <xdr:ext cx="4469223" cy="2842305"/>
    <xdr:graphicFrame macro="">
      <xdr:nvGraphicFramePr>
        <xdr:cNvPr id="8" name="Chart 7">
          <a:extLst>
            <a:ext uri="{FF2B5EF4-FFF2-40B4-BE49-F238E27FC236}">
              <a16:creationId xmlns:a16="http://schemas.microsoft.com/office/drawing/2014/main" id="{6A242BAD-FCBD-47CA-9C58-B72A3533F5D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oneCellAnchor>
  <xdr:twoCellAnchor>
    <xdr:from>
      <xdr:col>11</xdr:col>
      <xdr:colOff>7802</xdr:colOff>
      <xdr:row>23</xdr:row>
      <xdr:rowOff>114508</xdr:rowOff>
    </xdr:from>
    <xdr:to>
      <xdr:col>20</xdr:col>
      <xdr:colOff>20820</xdr:colOff>
      <xdr:row>44</xdr:row>
      <xdr:rowOff>62458</xdr:rowOff>
    </xdr:to>
    <xdr:graphicFrame macro="">
      <xdr:nvGraphicFramePr>
        <xdr:cNvPr id="11" name="Chart 10">
          <a:extLst>
            <a:ext uri="{FF2B5EF4-FFF2-40B4-BE49-F238E27FC236}">
              <a16:creationId xmlns:a16="http://schemas.microsoft.com/office/drawing/2014/main" id="{99FD7DB1-D42D-4FE9-A0E9-05403DFB6AC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11</xdr:col>
      <xdr:colOff>62460</xdr:colOff>
      <xdr:row>44</xdr:row>
      <xdr:rowOff>34311</xdr:rowOff>
    </xdr:from>
    <xdr:to>
      <xdr:col>20</xdr:col>
      <xdr:colOff>0</xdr:colOff>
      <xdr:row>60</xdr:row>
      <xdr:rowOff>72869</xdr:rowOff>
    </xdr:to>
    <xdr:graphicFrame macro="">
      <xdr:nvGraphicFramePr>
        <xdr:cNvPr id="12" name="Chart 11">
          <a:extLst>
            <a:ext uri="{FF2B5EF4-FFF2-40B4-BE49-F238E27FC236}">
              <a16:creationId xmlns:a16="http://schemas.microsoft.com/office/drawing/2014/main" id="{3694D509-CBCC-48EB-97A2-3141164B856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oneCell">
    <xdr:from>
      <xdr:col>8</xdr:col>
      <xdr:colOff>1408724</xdr:colOff>
      <xdr:row>45</xdr:row>
      <xdr:rowOff>60499</xdr:rowOff>
    </xdr:from>
    <xdr:to>
      <xdr:col>10</xdr:col>
      <xdr:colOff>909299</xdr:colOff>
      <xdr:row>52</xdr:row>
      <xdr:rowOff>0</xdr:rowOff>
    </xdr:to>
    <mc:AlternateContent xmlns:mc="http://schemas.openxmlformats.org/markup-compatibility/2006" xmlns:a14="http://schemas.microsoft.com/office/drawing/2010/main">
      <mc:Choice Requires="a14">
        <xdr:graphicFrame macro="">
          <xdr:nvGraphicFramePr>
            <xdr:cNvPr id="13" name="STATUS 1">
              <a:extLst>
                <a:ext uri="{FF2B5EF4-FFF2-40B4-BE49-F238E27FC236}">
                  <a16:creationId xmlns:a16="http://schemas.microsoft.com/office/drawing/2014/main" id="{3971D89E-DBDB-4E19-B1CD-23A2447EE49F}"/>
                </a:ext>
              </a:extLst>
            </xdr:cNvPr>
            <xdr:cNvGraphicFramePr/>
          </xdr:nvGraphicFramePr>
          <xdr:xfrm>
            <a:off x="0" y="0"/>
            <a:ext cx="0" cy="0"/>
          </xdr:xfrm>
          <a:graphic>
            <a:graphicData uri="http://schemas.microsoft.com/office/drawing/2010/slicer">
              <sle:slicer xmlns:sle="http://schemas.microsoft.com/office/drawing/2010/slicer" name="STATUS 1"/>
            </a:graphicData>
          </a:graphic>
        </xdr:graphicFrame>
      </mc:Choice>
      <mc:Fallback xmlns="">
        <xdr:sp macro="" textlink="">
          <xdr:nvSpPr>
            <xdr:cNvPr id="0" name=""/>
            <xdr:cNvSpPr>
              <a:spLocks noTextEdit="1"/>
            </xdr:cNvSpPr>
          </xdr:nvSpPr>
          <xdr:spPr>
            <a:xfrm>
              <a:off x="12276593" y="8034433"/>
              <a:ext cx="2380456" cy="1365649"/>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6</xdr:col>
      <xdr:colOff>1332460</xdr:colOff>
      <xdr:row>44</xdr:row>
      <xdr:rowOff>152243</xdr:rowOff>
    </xdr:from>
    <xdr:to>
      <xdr:col>8</xdr:col>
      <xdr:colOff>1405329</xdr:colOff>
      <xdr:row>60</xdr:row>
      <xdr:rowOff>156147</xdr:rowOff>
    </xdr:to>
    <mc:AlternateContent xmlns:mc="http://schemas.openxmlformats.org/markup-compatibility/2006" xmlns:a14="http://schemas.microsoft.com/office/drawing/2010/main">
      <mc:Choice Requires="a14">
        <xdr:graphicFrame macro="">
          <xdr:nvGraphicFramePr>
            <xdr:cNvPr id="14" name="CITY 3">
              <a:extLst>
                <a:ext uri="{FF2B5EF4-FFF2-40B4-BE49-F238E27FC236}">
                  <a16:creationId xmlns:a16="http://schemas.microsoft.com/office/drawing/2014/main" id="{C239349E-6942-40CA-ACA4-A730F077CEE7}"/>
                </a:ext>
              </a:extLst>
            </xdr:cNvPr>
            <xdr:cNvGraphicFramePr/>
          </xdr:nvGraphicFramePr>
          <xdr:xfrm>
            <a:off x="0" y="0"/>
            <a:ext cx="0" cy="0"/>
          </xdr:xfrm>
          <a:graphic>
            <a:graphicData uri="http://schemas.microsoft.com/office/drawing/2010/slicer">
              <sle:slicer xmlns:sle="http://schemas.microsoft.com/office/drawing/2010/slicer" name="CITY 3"/>
            </a:graphicData>
          </a:graphic>
        </xdr:graphicFrame>
      </mc:Choice>
      <mc:Fallback xmlns="">
        <xdr:sp macro="" textlink="">
          <xdr:nvSpPr>
            <xdr:cNvPr id="0" name=""/>
            <xdr:cNvSpPr>
              <a:spLocks noTextEdit="1"/>
            </xdr:cNvSpPr>
          </xdr:nvSpPr>
          <xdr:spPr>
            <a:xfrm>
              <a:off x="9348034" y="7949210"/>
              <a:ext cx="2925164" cy="3584888"/>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3</xdr:col>
      <xdr:colOff>1030574</xdr:colOff>
      <xdr:row>42</xdr:row>
      <xdr:rowOff>83279</xdr:rowOff>
    </xdr:from>
    <xdr:to>
      <xdr:col>6</xdr:col>
      <xdr:colOff>1286716</xdr:colOff>
      <xdr:row>61</xdr:row>
      <xdr:rowOff>0</xdr:rowOff>
    </xdr:to>
    <xdr:graphicFrame macro="">
      <xdr:nvGraphicFramePr>
        <xdr:cNvPr id="16" name="Chart 15">
          <a:extLst>
            <a:ext uri="{FF2B5EF4-FFF2-40B4-BE49-F238E27FC236}">
              <a16:creationId xmlns:a16="http://schemas.microsoft.com/office/drawing/2014/main" id="{5A4ABD6C-A756-46F6-B085-D7852500CE0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0</xdr:col>
      <xdr:colOff>0</xdr:colOff>
      <xdr:row>34</xdr:row>
      <xdr:rowOff>0</xdr:rowOff>
    </xdr:from>
    <xdr:to>
      <xdr:col>3</xdr:col>
      <xdr:colOff>1072213</xdr:colOff>
      <xdr:row>49</xdr:row>
      <xdr:rowOff>28126</xdr:rowOff>
    </xdr:to>
    <xdr:graphicFrame macro="">
      <xdr:nvGraphicFramePr>
        <xdr:cNvPr id="17" name="Chart 16">
          <a:extLst>
            <a:ext uri="{FF2B5EF4-FFF2-40B4-BE49-F238E27FC236}">
              <a16:creationId xmlns:a16="http://schemas.microsoft.com/office/drawing/2014/main" id="{9E85FD5E-1209-442E-AC5F-FF148F0A076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0</xdr:col>
      <xdr:colOff>0</xdr:colOff>
      <xdr:row>49</xdr:row>
      <xdr:rowOff>72869</xdr:rowOff>
    </xdr:from>
    <xdr:to>
      <xdr:col>3</xdr:col>
      <xdr:colOff>1040984</xdr:colOff>
      <xdr:row>62</xdr:row>
      <xdr:rowOff>83960</xdr:rowOff>
    </xdr:to>
    <xdr:graphicFrame macro="">
      <xdr:nvGraphicFramePr>
        <xdr:cNvPr id="18" name="Chart 17">
          <a:extLst>
            <a:ext uri="{FF2B5EF4-FFF2-40B4-BE49-F238E27FC236}">
              <a16:creationId xmlns:a16="http://schemas.microsoft.com/office/drawing/2014/main" id="{CF292519-1C6F-4FD8-9283-155C7E45B5A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14</xdr:col>
      <xdr:colOff>222250</xdr:colOff>
      <xdr:row>7</xdr:row>
      <xdr:rowOff>6350</xdr:rowOff>
    </xdr:from>
    <xdr:to>
      <xdr:col>17</xdr:col>
      <xdr:colOff>1257300</xdr:colOff>
      <xdr:row>11</xdr:row>
      <xdr:rowOff>63500</xdr:rowOff>
    </xdr:to>
    <xdr:sp macro="" textlink="">
      <xdr:nvSpPr>
        <xdr:cNvPr id="2" name="Arrow: Left 1">
          <a:hlinkClick xmlns:r="http://schemas.openxmlformats.org/officeDocument/2006/relationships" r:id="rId1"/>
          <a:extLst>
            <a:ext uri="{FF2B5EF4-FFF2-40B4-BE49-F238E27FC236}">
              <a16:creationId xmlns:a16="http://schemas.microsoft.com/office/drawing/2014/main" id="{0E00406B-656C-3ED4-4FFC-4FD0C13DD3FF}"/>
            </a:ext>
          </a:extLst>
        </xdr:cNvPr>
        <xdr:cNvSpPr/>
      </xdr:nvSpPr>
      <xdr:spPr>
        <a:xfrm>
          <a:off x="15481300" y="1835150"/>
          <a:ext cx="2724150" cy="768350"/>
        </a:xfrm>
        <a:prstGeom prst="leftArrow">
          <a:avLst/>
        </a:prstGeom>
        <a:effectLst>
          <a:glow rad="63500">
            <a:schemeClr val="accent4">
              <a:satMod val="175000"/>
              <a:alpha val="40000"/>
            </a:schemeClr>
          </a:glow>
          <a:innerShdw blurRad="63500" dist="50800" dir="18900000">
            <a:prstClr val="black">
              <a:alpha val="50000"/>
            </a:prstClr>
          </a:innerShdw>
        </a:effectLst>
      </xdr:spPr>
      <xdr:style>
        <a:lnRef idx="2">
          <a:schemeClr val="accent6">
            <a:shade val="15000"/>
          </a:schemeClr>
        </a:lnRef>
        <a:fillRef idx="1">
          <a:schemeClr val="accent6"/>
        </a:fillRef>
        <a:effectRef idx="0">
          <a:schemeClr val="accent6"/>
        </a:effectRef>
        <a:fontRef idx="minor">
          <a:schemeClr val="lt1"/>
        </a:fontRef>
      </xdr:style>
      <xdr:txBody>
        <a:bodyPr vertOverflow="clip" horzOverflow="clip" rtlCol="0" anchor="t"/>
        <a:lstStyle/>
        <a:p>
          <a:pPr algn="ctr"/>
          <a:r>
            <a:rPr lang="en-IN" sz="1800" b="0" cap="none" spc="0">
              <a:ln w="0">
                <a:solidFill>
                  <a:schemeClr val="tx1"/>
                </a:solidFill>
              </a:ln>
              <a:solidFill>
                <a:schemeClr val="tx1"/>
              </a:solidFill>
              <a:effectLst>
                <a:outerShdw blurRad="38100" dist="19050" dir="2700000" algn="tl" rotWithShape="0">
                  <a:schemeClr val="dk1">
                    <a:alpha val="40000"/>
                  </a:schemeClr>
                </a:outerShdw>
              </a:effectLst>
              <a:latin typeface="Algerian" panose="04020705040A02060702" pitchFamily="82" charset="0"/>
            </a:rPr>
            <a:t>BACK</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0</xdr:col>
      <xdr:colOff>0</xdr:colOff>
      <xdr:row>11</xdr:row>
      <xdr:rowOff>0</xdr:rowOff>
    </xdr:from>
    <xdr:to>
      <xdr:col>1</xdr:col>
      <xdr:colOff>12700</xdr:colOff>
      <xdr:row>14</xdr:row>
      <xdr:rowOff>180549</xdr:rowOff>
    </xdr:to>
    <xdr:sp macro="" textlink="">
      <xdr:nvSpPr>
        <xdr:cNvPr id="4" name="Arrow: Left 3">
          <a:hlinkClick xmlns:r="http://schemas.openxmlformats.org/officeDocument/2006/relationships" r:id="rId1"/>
          <a:extLst>
            <a:ext uri="{FF2B5EF4-FFF2-40B4-BE49-F238E27FC236}">
              <a16:creationId xmlns:a16="http://schemas.microsoft.com/office/drawing/2014/main" id="{3C5AA825-0B88-4A36-A6D0-BF9D478246E4}"/>
            </a:ext>
          </a:extLst>
        </xdr:cNvPr>
        <xdr:cNvSpPr/>
      </xdr:nvSpPr>
      <xdr:spPr>
        <a:xfrm>
          <a:off x="0" y="2324100"/>
          <a:ext cx="1320800" cy="777449"/>
        </a:xfrm>
        <a:prstGeom prst="leftArrow">
          <a:avLst/>
        </a:prstGeom>
        <a:effectLst>
          <a:glow rad="63500">
            <a:schemeClr val="accent4">
              <a:satMod val="175000"/>
              <a:alpha val="40000"/>
            </a:schemeClr>
          </a:glow>
          <a:innerShdw blurRad="63500" dist="50800" dir="18900000">
            <a:prstClr val="black">
              <a:alpha val="50000"/>
            </a:prstClr>
          </a:innerShdw>
        </a:effectLst>
      </xdr:spPr>
      <xdr:style>
        <a:lnRef idx="2">
          <a:schemeClr val="accent6">
            <a:shade val="15000"/>
          </a:schemeClr>
        </a:lnRef>
        <a:fillRef idx="1">
          <a:schemeClr val="accent6"/>
        </a:fillRef>
        <a:effectRef idx="0">
          <a:schemeClr val="accent6"/>
        </a:effectRef>
        <a:fontRef idx="minor">
          <a:schemeClr val="lt1"/>
        </a:fontRef>
      </xdr:style>
      <xdr:txBody>
        <a:bodyPr vertOverflow="clip" horzOverflow="clip" rtlCol="0" anchor="t"/>
        <a:lstStyle/>
        <a:p>
          <a:pPr algn="ctr"/>
          <a:r>
            <a:rPr lang="en-IN" sz="1800" b="0" cap="none" spc="0">
              <a:ln w="0">
                <a:solidFill>
                  <a:schemeClr val="tx1"/>
                </a:solidFill>
              </a:ln>
              <a:solidFill>
                <a:schemeClr val="tx1"/>
              </a:solidFill>
              <a:effectLst>
                <a:outerShdw blurRad="38100" dist="19050" dir="2700000" algn="tl" rotWithShape="0">
                  <a:schemeClr val="dk1">
                    <a:alpha val="40000"/>
                  </a:schemeClr>
                </a:outerShdw>
              </a:effectLst>
              <a:latin typeface="Algerian" panose="04020705040A02060702" pitchFamily="82" charset="0"/>
            </a:rPr>
            <a:t>BACK</a:t>
          </a:r>
        </a:p>
      </xdr:txBody>
    </xdr:sp>
    <xdr:clientData/>
  </xdr:twoCellAnchor>
  <xdr:twoCellAnchor>
    <xdr:from>
      <xdr:col>10</xdr:col>
      <xdr:colOff>12701</xdr:colOff>
      <xdr:row>14</xdr:row>
      <xdr:rowOff>4232</xdr:rowOff>
    </xdr:from>
    <xdr:to>
      <xdr:col>18</xdr:col>
      <xdr:colOff>287867</xdr:colOff>
      <xdr:row>45</xdr:row>
      <xdr:rowOff>59266</xdr:rowOff>
    </xdr:to>
    <mc:AlternateContent xmlns:mc="http://schemas.openxmlformats.org/markup-compatibility/2006">
      <mc:Choice xmlns:cx1="http://schemas.microsoft.com/office/drawing/2015/9/8/chartex" Requires="cx1">
        <xdr:graphicFrame macro="">
          <xdr:nvGraphicFramePr>
            <xdr:cNvPr id="2" name="Chart 1">
              <a:extLst>
                <a:ext uri="{FF2B5EF4-FFF2-40B4-BE49-F238E27FC236}">
                  <a16:creationId xmlns:a16="http://schemas.microsoft.com/office/drawing/2014/main" id="{754B8DF2-555A-ECA9-4B57-DD182D68A28C}"/>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2"/>
            </a:graphicData>
          </a:graphic>
        </xdr:graphicFrame>
      </mc:Choice>
      <mc:Fallback>
        <xdr:sp macro="" textlink="">
          <xdr:nvSpPr>
            <xdr:cNvPr id="0" name=""/>
            <xdr:cNvSpPr>
              <a:spLocks noTextEdit="1"/>
            </xdr:cNvSpPr>
          </xdr:nvSpPr>
          <xdr:spPr>
            <a:xfrm>
              <a:off x="15601951" y="2861732"/>
              <a:ext cx="5558366" cy="6062134"/>
            </a:xfrm>
            <a:prstGeom prst="rect">
              <a:avLst/>
            </a:prstGeom>
            <a:solidFill>
              <a:prstClr val="white"/>
            </a:solidFill>
            <a:ln w="1">
              <a:solidFill>
                <a:prstClr val="green"/>
              </a:solidFill>
            </a:ln>
          </xdr:spPr>
          <xdr:txBody>
            <a:bodyPr vertOverflow="clip" horzOverflow="clip"/>
            <a:lstStyle/>
            <a:p>
              <a:r>
                <a:rPr lang="en-IN"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10</xdr:col>
      <xdr:colOff>71966</xdr:colOff>
      <xdr:row>0</xdr:row>
      <xdr:rowOff>0</xdr:rowOff>
    </xdr:from>
    <xdr:to>
      <xdr:col>18</xdr:col>
      <xdr:colOff>296334</xdr:colOff>
      <xdr:row>13</xdr:row>
      <xdr:rowOff>152400</xdr:rowOff>
    </xdr:to>
    <xdr:graphicFrame macro="">
      <xdr:nvGraphicFramePr>
        <xdr:cNvPr id="3" name="Chart 2">
          <a:extLst>
            <a:ext uri="{FF2B5EF4-FFF2-40B4-BE49-F238E27FC236}">
              <a16:creationId xmlns:a16="http://schemas.microsoft.com/office/drawing/2014/main" id="{6F1DC092-617F-9F17-571C-0DBC9748586A}"/>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6</xdr:col>
      <xdr:colOff>231770</xdr:colOff>
      <xdr:row>1</xdr:row>
      <xdr:rowOff>161168</xdr:rowOff>
    </xdr:from>
    <xdr:to>
      <xdr:col>13</xdr:col>
      <xdr:colOff>180970</xdr:colOff>
      <xdr:row>17</xdr:row>
      <xdr:rowOff>59568</xdr:rowOff>
    </xdr:to>
    <xdr:graphicFrame macro="">
      <xdr:nvGraphicFramePr>
        <xdr:cNvPr id="2" name="Chart 1">
          <a:extLst>
            <a:ext uri="{FF2B5EF4-FFF2-40B4-BE49-F238E27FC236}">
              <a16:creationId xmlns:a16="http://schemas.microsoft.com/office/drawing/2014/main" id="{07D9067C-3325-15A2-6A56-427ACC5AF52F}"/>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26147</xdr:colOff>
      <xdr:row>21</xdr:row>
      <xdr:rowOff>159559</xdr:rowOff>
    </xdr:from>
    <xdr:to>
      <xdr:col>7</xdr:col>
      <xdr:colOff>343647</xdr:colOff>
      <xdr:row>37</xdr:row>
      <xdr:rowOff>24092</xdr:rowOff>
    </xdr:to>
    <xdr:graphicFrame macro="">
      <xdr:nvGraphicFramePr>
        <xdr:cNvPr id="3" name="Chart 2">
          <a:extLst>
            <a:ext uri="{FF2B5EF4-FFF2-40B4-BE49-F238E27FC236}">
              <a16:creationId xmlns:a16="http://schemas.microsoft.com/office/drawing/2014/main" id="{2CFA2A4C-939D-2C50-3E4C-23419A819B76}"/>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11</xdr:col>
      <xdr:colOff>4234</xdr:colOff>
      <xdr:row>21</xdr:row>
      <xdr:rowOff>154518</xdr:rowOff>
    </xdr:from>
    <xdr:to>
      <xdr:col>13</xdr:col>
      <xdr:colOff>520700</xdr:colOff>
      <xdr:row>35</xdr:row>
      <xdr:rowOff>75138</xdr:rowOff>
    </xdr:to>
    <mc:AlternateContent xmlns:mc="http://schemas.openxmlformats.org/markup-compatibility/2006" xmlns:a14="http://schemas.microsoft.com/office/drawing/2010/main">
      <mc:Choice Requires="a14">
        <xdr:graphicFrame macro="">
          <xdr:nvGraphicFramePr>
            <xdr:cNvPr id="5" name="STATUS">
              <a:extLst>
                <a:ext uri="{FF2B5EF4-FFF2-40B4-BE49-F238E27FC236}">
                  <a16:creationId xmlns:a16="http://schemas.microsoft.com/office/drawing/2014/main" id="{B883F97A-6242-1399-0CD8-D13C36562782}"/>
                </a:ext>
              </a:extLst>
            </xdr:cNvPr>
            <xdr:cNvGraphicFramePr/>
          </xdr:nvGraphicFramePr>
          <xdr:xfrm>
            <a:off x="0" y="0"/>
            <a:ext cx="0" cy="0"/>
          </xdr:xfrm>
          <a:graphic>
            <a:graphicData uri="http://schemas.microsoft.com/office/drawing/2010/slicer">
              <sle:slicer xmlns:sle="http://schemas.microsoft.com/office/drawing/2010/slicer" name="STATUS"/>
            </a:graphicData>
          </a:graphic>
        </xdr:graphicFrame>
      </mc:Choice>
      <mc:Fallback xmlns="">
        <xdr:sp macro="" textlink="">
          <xdr:nvSpPr>
            <xdr:cNvPr id="0" name=""/>
            <xdr:cNvSpPr>
              <a:spLocks noTextEdit="1"/>
            </xdr:cNvSpPr>
          </xdr:nvSpPr>
          <xdr:spPr>
            <a:xfrm>
              <a:off x="9180607" y="3815106"/>
              <a:ext cx="1836270" cy="2361012"/>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8</xdr:col>
      <xdr:colOff>76200</xdr:colOff>
      <xdr:row>21</xdr:row>
      <xdr:rowOff>162983</xdr:rowOff>
    </xdr:from>
    <xdr:to>
      <xdr:col>10</xdr:col>
      <xdr:colOff>592667</xdr:colOff>
      <xdr:row>35</xdr:row>
      <xdr:rowOff>83603</xdr:rowOff>
    </xdr:to>
    <mc:AlternateContent xmlns:mc="http://schemas.openxmlformats.org/markup-compatibility/2006" xmlns:a14="http://schemas.microsoft.com/office/drawing/2010/main">
      <mc:Choice Requires="a14">
        <xdr:graphicFrame macro="">
          <xdr:nvGraphicFramePr>
            <xdr:cNvPr id="6" name="CITY 1">
              <a:extLst>
                <a:ext uri="{FF2B5EF4-FFF2-40B4-BE49-F238E27FC236}">
                  <a16:creationId xmlns:a16="http://schemas.microsoft.com/office/drawing/2014/main" id="{B4D5B151-1F13-1DCA-CFE0-C05DBB89A768}"/>
                </a:ext>
              </a:extLst>
            </xdr:cNvPr>
            <xdr:cNvGraphicFramePr/>
          </xdr:nvGraphicFramePr>
          <xdr:xfrm>
            <a:off x="0" y="0"/>
            <a:ext cx="0" cy="0"/>
          </xdr:xfrm>
          <a:graphic>
            <a:graphicData uri="http://schemas.microsoft.com/office/drawing/2010/slicer">
              <sle:slicer xmlns:sle="http://schemas.microsoft.com/office/drawing/2010/slicer" name="CITY 1"/>
            </a:graphicData>
          </a:graphic>
        </xdr:graphicFrame>
      </mc:Choice>
      <mc:Fallback xmlns="">
        <xdr:sp macro="" textlink="">
          <xdr:nvSpPr>
            <xdr:cNvPr id="0" name=""/>
            <xdr:cNvSpPr>
              <a:spLocks noTextEdit="1"/>
            </xdr:cNvSpPr>
          </xdr:nvSpPr>
          <xdr:spPr>
            <a:xfrm>
              <a:off x="7272867" y="3823571"/>
              <a:ext cx="1836271" cy="2361012"/>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14</xdr:col>
      <xdr:colOff>47625</xdr:colOff>
      <xdr:row>21</xdr:row>
      <xdr:rowOff>83608</xdr:rowOff>
    </xdr:from>
    <xdr:to>
      <xdr:col>21</xdr:col>
      <xdr:colOff>26458</xdr:colOff>
      <xdr:row>36</xdr:row>
      <xdr:rowOff>128058</xdr:rowOff>
    </xdr:to>
    <xdr:graphicFrame macro="">
      <xdr:nvGraphicFramePr>
        <xdr:cNvPr id="8" name="Chart 7">
          <a:extLst>
            <a:ext uri="{FF2B5EF4-FFF2-40B4-BE49-F238E27FC236}">
              <a16:creationId xmlns:a16="http://schemas.microsoft.com/office/drawing/2014/main" id="{8F428382-9FE5-9801-C647-910CD3B8C97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13</xdr:col>
      <xdr:colOff>448117</xdr:colOff>
      <xdr:row>2</xdr:row>
      <xdr:rowOff>68885</xdr:rowOff>
    </xdr:from>
    <xdr:to>
      <xdr:col>16</xdr:col>
      <xdr:colOff>299575</xdr:colOff>
      <xdr:row>16</xdr:row>
      <xdr:rowOff>32642</xdr:rowOff>
    </xdr:to>
    <mc:AlternateContent xmlns:mc="http://schemas.openxmlformats.org/markup-compatibility/2006" xmlns:a14="http://schemas.microsoft.com/office/drawing/2010/main">
      <mc:Choice Requires="a14">
        <xdr:graphicFrame macro="">
          <xdr:nvGraphicFramePr>
            <xdr:cNvPr id="9" name="CITY 2">
              <a:extLst>
                <a:ext uri="{FF2B5EF4-FFF2-40B4-BE49-F238E27FC236}">
                  <a16:creationId xmlns:a16="http://schemas.microsoft.com/office/drawing/2014/main" id="{7AAE3422-0DEC-0CEC-2249-8174D5E3E6CD}"/>
                </a:ext>
              </a:extLst>
            </xdr:cNvPr>
            <xdr:cNvGraphicFramePr/>
          </xdr:nvGraphicFramePr>
          <xdr:xfrm>
            <a:off x="0" y="0"/>
            <a:ext cx="0" cy="0"/>
          </xdr:xfrm>
          <a:graphic>
            <a:graphicData uri="http://schemas.microsoft.com/office/drawing/2010/slicer">
              <sle:slicer xmlns:sle="http://schemas.microsoft.com/office/drawing/2010/slicer" name="CITY 2"/>
            </a:graphicData>
          </a:graphic>
        </xdr:graphicFrame>
      </mc:Choice>
      <mc:Fallback xmlns="">
        <xdr:sp macro="" textlink="">
          <xdr:nvSpPr>
            <xdr:cNvPr id="0" name=""/>
            <xdr:cNvSpPr>
              <a:spLocks noTextEdit="1"/>
            </xdr:cNvSpPr>
          </xdr:nvSpPr>
          <xdr:spPr>
            <a:xfrm>
              <a:off x="10944293" y="417512"/>
              <a:ext cx="1831164" cy="240415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7.xml><?xml version="1.0" encoding="utf-8"?>
<xdr:wsDr xmlns:xdr="http://schemas.openxmlformats.org/drawingml/2006/spreadsheetDrawing" xmlns:a="http://schemas.openxmlformats.org/drawingml/2006/main">
  <xdr:twoCellAnchor>
    <xdr:from>
      <xdr:col>2</xdr:col>
      <xdr:colOff>127000</xdr:colOff>
      <xdr:row>0</xdr:row>
      <xdr:rowOff>0</xdr:rowOff>
    </xdr:from>
    <xdr:to>
      <xdr:col>9</xdr:col>
      <xdr:colOff>76200</xdr:colOff>
      <xdr:row>15</xdr:row>
      <xdr:rowOff>76200</xdr:rowOff>
    </xdr:to>
    <xdr:graphicFrame macro="">
      <xdr:nvGraphicFramePr>
        <xdr:cNvPr id="2" name="Chart 1">
          <a:extLst>
            <a:ext uri="{FF2B5EF4-FFF2-40B4-BE49-F238E27FC236}">
              <a16:creationId xmlns:a16="http://schemas.microsoft.com/office/drawing/2014/main" id="{87BBD09F-CAF2-B2BB-7F78-534A544A9419}"/>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107950</xdr:colOff>
      <xdr:row>15</xdr:row>
      <xdr:rowOff>165100</xdr:rowOff>
    </xdr:from>
    <xdr:to>
      <xdr:col>9</xdr:col>
      <xdr:colOff>57150</xdr:colOff>
      <xdr:row>31</xdr:row>
      <xdr:rowOff>63500</xdr:rowOff>
    </xdr:to>
    <xdr:graphicFrame macro="">
      <xdr:nvGraphicFramePr>
        <xdr:cNvPr id="3" name="Chart 2">
          <a:extLst>
            <a:ext uri="{FF2B5EF4-FFF2-40B4-BE49-F238E27FC236}">
              <a16:creationId xmlns:a16="http://schemas.microsoft.com/office/drawing/2014/main" id="{58FF5E56-89B7-6A47-9968-0B016F15F36A}"/>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120650</xdr:colOff>
      <xdr:row>32</xdr:row>
      <xdr:rowOff>6350</xdr:rowOff>
    </xdr:from>
    <xdr:to>
      <xdr:col>9</xdr:col>
      <xdr:colOff>69850</xdr:colOff>
      <xdr:row>47</xdr:row>
      <xdr:rowOff>82550</xdr:rowOff>
    </xdr:to>
    <xdr:graphicFrame macro="">
      <xdr:nvGraphicFramePr>
        <xdr:cNvPr id="4" name="Chart 3">
          <a:extLst>
            <a:ext uri="{FF2B5EF4-FFF2-40B4-BE49-F238E27FC236}">
              <a16:creationId xmlns:a16="http://schemas.microsoft.com/office/drawing/2014/main" id="{A71EAF45-52FD-06E3-3FBF-D88759A6791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20</xdr:col>
      <xdr:colOff>80817</xdr:colOff>
      <xdr:row>0</xdr:row>
      <xdr:rowOff>0</xdr:rowOff>
    </xdr:from>
    <xdr:to>
      <xdr:col>27</xdr:col>
      <xdr:colOff>5772</xdr:colOff>
      <xdr:row>15</xdr:row>
      <xdr:rowOff>145473</xdr:rowOff>
    </xdr:to>
    <xdr:graphicFrame macro="">
      <xdr:nvGraphicFramePr>
        <xdr:cNvPr id="5" name="Chart 4">
          <a:extLst>
            <a:ext uri="{FF2B5EF4-FFF2-40B4-BE49-F238E27FC236}">
              <a16:creationId xmlns:a16="http://schemas.microsoft.com/office/drawing/2014/main" id="{E7963ACC-1472-DB76-4153-AE1AC04DEA9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20</xdr:col>
      <xdr:colOff>138545</xdr:colOff>
      <xdr:row>18</xdr:row>
      <xdr:rowOff>6638</xdr:rowOff>
    </xdr:from>
    <xdr:to>
      <xdr:col>27</xdr:col>
      <xdr:colOff>63499</xdr:colOff>
      <xdr:row>33</xdr:row>
      <xdr:rowOff>152111</xdr:rowOff>
    </xdr:to>
    <xdr:graphicFrame macro="">
      <xdr:nvGraphicFramePr>
        <xdr:cNvPr id="6" name="Chart 5">
          <a:extLst>
            <a:ext uri="{FF2B5EF4-FFF2-40B4-BE49-F238E27FC236}">
              <a16:creationId xmlns:a16="http://schemas.microsoft.com/office/drawing/2014/main" id="{9F565A54-03A2-ED7D-C91F-3C31098DDA01}"/>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11</xdr:col>
      <xdr:colOff>635753</xdr:colOff>
      <xdr:row>16</xdr:row>
      <xdr:rowOff>42106</xdr:rowOff>
    </xdr:from>
    <xdr:to>
      <xdr:col>14</xdr:col>
      <xdr:colOff>485398</xdr:colOff>
      <xdr:row>29</xdr:row>
      <xdr:rowOff>146134</xdr:rowOff>
    </xdr:to>
    <mc:AlternateContent xmlns:mc="http://schemas.openxmlformats.org/markup-compatibility/2006" xmlns:a14="http://schemas.microsoft.com/office/drawing/2010/main">
      <mc:Choice Requires="a14">
        <xdr:graphicFrame macro="">
          <xdr:nvGraphicFramePr>
            <xdr:cNvPr id="7" name="LOAN&#10; TYPE">
              <a:extLst>
                <a:ext uri="{FF2B5EF4-FFF2-40B4-BE49-F238E27FC236}">
                  <a16:creationId xmlns:a16="http://schemas.microsoft.com/office/drawing/2014/main" id="{607213BE-CFED-A7C7-3F04-B7F57AB40583}"/>
                </a:ext>
              </a:extLst>
            </xdr:cNvPr>
            <xdr:cNvGraphicFramePr/>
          </xdr:nvGraphicFramePr>
          <xdr:xfrm>
            <a:off x="0" y="0"/>
            <a:ext cx="0" cy="0"/>
          </xdr:xfrm>
          <a:graphic>
            <a:graphicData uri="http://schemas.microsoft.com/office/drawing/2010/slicer">
              <sle:slicer xmlns:sle="http://schemas.microsoft.com/office/drawing/2010/slicer" name="LOAN&#10; TYPE"/>
            </a:graphicData>
          </a:graphic>
        </xdr:graphicFrame>
      </mc:Choice>
      <mc:Fallback xmlns="">
        <xdr:sp macro="" textlink="">
          <xdr:nvSpPr>
            <xdr:cNvPr id="0" name=""/>
            <xdr:cNvSpPr>
              <a:spLocks noTextEdit="1"/>
            </xdr:cNvSpPr>
          </xdr:nvSpPr>
          <xdr:spPr>
            <a:xfrm>
              <a:off x="9020105" y="2864328"/>
              <a:ext cx="1825200" cy="2397084"/>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9</xdr:col>
      <xdr:colOff>90420</xdr:colOff>
      <xdr:row>16</xdr:row>
      <xdr:rowOff>15040</xdr:rowOff>
    </xdr:from>
    <xdr:to>
      <xdr:col>11</xdr:col>
      <xdr:colOff>587213</xdr:colOff>
      <xdr:row>29</xdr:row>
      <xdr:rowOff>121557</xdr:rowOff>
    </xdr:to>
    <mc:AlternateContent xmlns:mc="http://schemas.openxmlformats.org/markup-compatibility/2006" xmlns:a14="http://schemas.microsoft.com/office/drawing/2010/main">
      <mc:Choice Requires="a14">
        <xdr:graphicFrame macro="">
          <xdr:nvGraphicFramePr>
            <xdr:cNvPr id="8" name="CITY">
              <a:extLst>
                <a:ext uri="{FF2B5EF4-FFF2-40B4-BE49-F238E27FC236}">
                  <a16:creationId xmlns:a16="http://schemas.microsoft.com/office/drawing/2014/main" id="{597B9863-A5F5-849A-CFEC-6C7704EA301E}"/>
                </a:ext>
              </a:extLst>
            </xdr:cNvPr>
            <xdr:cNvGraphicFramePr/>
          </xdr:nvGraphicFramePr>
          <xdr:xfrm>
            <a:off x="0" y="0"/>
            <a:ext cx="0" cy="0"/>
          </xdr:xfrm>
          <a:graphic>
            <a:graphicData uri="http://schemas.microsoft.com/office/drawing/2010/slicer">
              <sle:slicer xmlns:sle="http://schemas.microsoft.com/office/drawing/2010/slicer" name="CITY"/>
            </a:graphicData>
          </a:graphic>
        </xdr:graphicFrame>
      </mc:Choice>
      <mc:Fallback xmlns="">
        <xdr:sp macro="" textlink="">
          <xdr:nvSpPr>
            <xdr:cNvPr id="0" name=""/>
            <xdr:cNvSpPr>
              <a:spLocks noTextEdit="1"/>
            </xdr:cNvSpPr>
          </xdr:nvSpPr>
          <xdr:spPr>
            <a:xfrm>
              <a:off x="7157735" y="2837262"/>
              <a:ext cx="1813830" cy="2399573"/>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28</xdr:col>
      <xdr:colOff>110067</xdr:colOff>
      <xdr:row>18</xdr:row>
      <xdr:rowOff>118533</xdr:rowOff>
    </xdr:from>
    <xdr:to>
      <xdr:col>30</xdr:col>
      <xdr:colOff>626534</xdr:colOff>
      <xdr:row>32</xdr:row>
      <xdr:rowOff>39153</xdr:rowOff>
    </xdr:to>
    <mc:AlternateContent xmlns:mc="http://schemas.openxmlformats.org/markup-compatibility/2006" xmlns:a14="http://schemas.microsoft.com/office/drawing/2010/main">
      <mc:Choice Requires="a14">
        <xdr:graphicFrame macro="">
          <xdr:nvGraphicFramePr>
            <xdr:cNvPr id="9" name="LOAN&#10; TYPE 1">
              <a:extLst>
                <a:ext uri="{FF2B5EF4-FFF2-40B4-BE49-F238E27FC236}">
                  <a16:creationId xmlns:a16="http://schemas.microsoft.com/office/drawing/2014/main" id="{77233C43-01EA-E23C-7BF6-990F2234E884}"/>
                </a:ext>
              </a:extLst>
            </xdr:cNvPr>
            <xdr:cNvGraphicFramePr/>
          </xdr:nvGraphicFramePr>
          <xdr:xfrm>
            <a:off x="0" y="0"/>
            <a:ext cx="0" cy="0"/>
          </xdr:xfrm>
          <a:graphic>
            <a:graphicData uri="http://schemas.microsoft.com/office/drawing/2010/slicer">
              <sle:slicer xmlns:sle="http://schemas.microsoft.com/office/drawing/2010/slicer" name="LOAN&#10; TYPE 1"/>
            </a:graphicData>
          </a:graphic>
        </xdr:graphicFrame>
      </mc:Choice>
      <mc:Fallback xmlns="">
        <xdr:sp macro="" textlink="">
          <xdr:nvSpPr>
            <xdr:cNvPr id="0" name=""/>
            <xdr:cNvSpPr>
              <a:spLocks noTextEdit="1"/>
            </xdr:cNvSpPr>
          </xdr:nvSpPr>
          <xdr:spPr>
            <a:xfrm>
              <a:off x="22034278" y="3427217"/>
              <a:ext cx="1853309" cy="2494041"/>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8.xml><?xml version="1.0" encoding="utf-8"?>
<xdr:wsDr xmlns:xdr="http://schemas.openxmlformats.org/drawingml/2006/spreadsheetDrawing" xmlns:a="http://schemas.openxmlformats.org/drawingml/2006/main">
  <xdr:twoCellAnchor>
    <xdr:from>
      <xdr:col>2</xdr:col>
      <xdr:colOff>127000</xdr:colOff>
      <xdr:row>2</xdr:row>
      <xdr:rowOff>25400</xdr:rowOff>
    </xdr:from>
    <xdr:to>
      <xdr:col>9</xdr:col>
      <xdr:colOff>76200</xdr:colOff>
      <xdr:row>17</xdr:row>
      <xdr:rowOff>101600</xdr:rowOff>
    </xdr:to>
    <xdr:graphicFrame macro="">
      <xdr:nvGraphicFramePr>
        <xdr:cNvPr id="2" name="Chart 1">
          <a:extLst>
            <a:ext uri="{FF2B5EF4-FFF2-40B4-BE49-F238E27FC236}">
              <a16:creationId xmlns:a16="http://schemas.microsoft.com/office/drawing/2014/main" id="{216012E3-DE97-B6BA-73C9-371C7B27E87C}"/>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113466</xdr:colOff>
      <xdr:row>18</xdr:row>
      <xdr:rowOff>153441</xdr:rowOff>
    </xdr:from>
    <xdr:to>
      <xdr:col>10</xdr:col>
      <xdr:colOff>94728</xdr:colOff>
      <xdr:row>34</xdr:row>
      <xdr:rowOff>65166</xdr:rowOff>
    </xdr:to>
    <xdr:graphicFrame macro="">
      <xdr:nvGraphicFramePr>
        <xdr:cNvPr id="4" name="Chart 3">
          <a:extLst>
            <a:ext uri="{FF2B5EF4-FFF2-40B4-BE49-F238E27FC236}">
              <a16:creationId xmlns:a16="http://schemas.microsoft.com/office/drawing/2014/main" id="{708CCE43-196F-8E35-557C-05B33488D06E}"/>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14</xdr:col>
      <xdr:colOff>196134</xdr:colOff>
      <xdr:row>1</xdr:row>
      <xdr:rowOff>3620</xdr:rowOff>
    </xdr:from>
    <xdr:to>
      <xdr:col>21</xdr:col>
      <xdr:colOff>163312</xdr:colOff>
      <xdr:row>16</xdr:row>
      <xdr:rowOff>92312</xdr:rowOff>
    </xdr:to>
    <xdr:graphicFrame macro="">
      <xdr:nvGraphicFramePr>
        <xdr:cNvPr id="5" name="Chart 4">
          <a:extLst>
            <a:ext uri="{FF2B5EF4-FFF2-40B4-BE49-F238E27FC236}">
              <a16:creationId xmlns:a16="http://schemas.microsoft.com/office/drawing/2014/main" id="{CC6A65E3-86D6-69C6-FC70-FB6F0729F9EC}"/>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16</xdr:col>
      <xdr:colOff>79686</xdr:colOff>
      <xdr:row>18</xdr:row>
      <xdr:rowOff>159870</xdr:rowOff>
    </xdr:from>
    <xdr:to>
      <xdr:col>23</xdr:col>
      <xdr:colOff>32372</xdr:colOff>
      <xdr:row>34</xdr:row>
      <xdr:rowOff>114050</xdr:rowOff>
    </xdr:to>
    <xdr:graphicFrame macro="">
      <xdr:nvGraphicFramePr>
        <xdr:cNvPr id="6" name="Chart 5">
          <a:extLst>
            <a:ext uri="{FF2B5EF4-FFF2-40B4-BE49-F238E27FC236}">
              <a16:creationId xmlns:a16="http://schemas.microsoft.com/office/drawing/2014/main" id="{4CDFC63F-C2FC-13A7-99CD-47AFA6218A6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xdr:from>
      <xdr:col>1</xdr:col>
      <xdr:colOff>3486150</xdr:colOff>
      <xdr:row>11</xdr:row>
      <xdr:rowOff>368300</xdr:rowOff>
    </xdr:from>
    <xdr:to>
      <xdr:col>2</xdr:col>
      <xdr:colOff>2946400</xdr:colOff>
      <xdr:row>14</xdr:row>
      <xdr:rowOff>50800</xdr:rowOff>
    </xdr:to>
    <xdr:sp macro="" textlink="">
      <xdr:nvSpPr>
        <xdr:cNvPr id="2" name="Scroll: Horizontal 1">
          <a:extLst>
            <a:ext uri="{FF2B5EF4-FFF2-40B4-BE49-F238E27FC236}">
              <a16:creationId xmlns:a16="http://schemas.microsoft.com/office/drawing/2014/main" id="{153536B4-D10A-0A18-93F4-8AFD29919237}"/>
            </a:ext>
          </a:extLst>
        </xdr:cNvPr>
        <xdr:cNvSpPr/>
      </xdr:nvSpPr>
      <xdr:spPr>
        <a:xfrm>
          <a:off x="4146550" y="5346700"/>
          <a:ext cx="5549900" cy="1149350"/>
        </a:xfrm>
        <a:prstGeom prst="horizontalScroll">
          <a:avLst/>
        </a:prstGeom>
        <a:solidFill>
          <a:schemeClr val="accent1">
            <a:lumMod val="50000"/>
          </a:schemeClr>
        </a:solidFill>
      </xdr:spPr>
      <xdr:style>
        <a:lnRef idx="2">
          <a:schemeClr val="accent2">
            <a:shade val="15000"/>
          </a:schemeClr>
        </a:lnRef>
        <a:fillRef idx="1">
          <a:schemeClr val="accent2"/>
        </a:fillRef>
        <a:effectRef idx="0">
          <a:schemeClr val="accent2"/>
        </a:effectRef>
        <a:fontRef idx="minor">
          <a:schemeClr val="lt1"/>
        </a:fontRef>
      </xdr:style>
      <xdr:txBody>
        <a:bodyPr vertOverflow="clip" horzOverflow="clip" rtlCol="0" anchor="ctr"/>
        <a:lstStyle/>
        <a:p>
          <a:pPr algn="ctr"/>
          <a:r>
            <a:rPr lang="en-IN" sz="2400" b="1">
              <a:latin typeface="Algerian" panose="04020705040A02060702" pitchFamily="82" charset="0"/>
            </a:rPr>
            <a:t>UPDATE</a:t>
          </a:r>
        </a:p>
      </xdr:txBody>
    </xdr:sp>
    <xdr:clientData/>
  </xdr:twoCellAnchor>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file:///D:\Last_Hope_final.xlsx" TargetMode="External"/><Relationship Id="rId1" Type="http://schemas.openxmlformats.org/officeDocument/2006/relationships/externalLinkPath" Target="file:///D:\Last_Hope_final.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Content"/>
      <sheetName val="Dashboard"/>
      <sheetName val="Raw Data"/>
      <sheetName val="Clean Data"/>
      <sheetName val="Sheet2A"/>
      <sheetName val="Sheet2B"/>
      <sheetName val="Sheet6"/>
      <sheetName val="Cleaning Tasks"/>
      <sheetName val="EMI &amp; Amortization"/>
      <sheetName val="New Customer"/>
      <sheetName val="Instructions"/>
      <sheetName val="ChartData"/>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ow r="1">
          <cell r="B1" t="str">
            <v>Count</v>
          </cell>
          <cell r="C1" t="str">
            <v>Amount (Cr)</v>
          </cell>
          <cell r="F1" t="str">
            <v>Count</v>
          </cell>
          <cell r="I1" t="str">
            <v>Count</v>
          </cell>
          <cell r="L1" t="str">
            <v>Loan Amount (Cr)</v>
          </cell>
          <cell r="S1" t="str">
            <v>Cumul. Interest</v>
          </cell>
          <cell r="V1" t="str">
            <v>Count</v>
          </cell>
        </row>
        <row r="2">
          <cell r="A2" t="str">
            <v>Personal loan</v>
          </cell>
          <cell r="C2">
            <v>8.4600000000000009</v>
          </cell>
          <cell r="E2" t="str">
            <v>active</v>
          </cell>
          <cell r="F2">
            <v>497</v>
          </cell>
          <cell r="H2" t="str">
            <v>21-30</v>
          </cell>
          <cell r="I2">
            <v>225</v>
          </cell>
          <cell r="K2" t="str">
            <v>Medinipur</v>
          </cell>
          <cell r="L2">
            <v>8.75</v>
          </cell>
          <cell r="Q2">
            <v>1</v>
          </cell>
          <cell r="S2">
            <v>9450</v>
          </cell>
          <cell r="U2" t="str">
            <v>7.5%</v>
          </cell>
          <cell r="V2">
            <v>86</v>
          </cell>
        </row>
        <row r="3">
          <cell r="A3" t="str">
            <v>Business loan</v>
          </cell>
          <cell r="C3">
            <v>42.38</v>
          </cell>
          <cell r="E3" t="str">
            <v>closed</v>
          </cell>
          <cell r="F3">
            <v>361</v>
          </cell>
          <cell r="H3" t="str">
            <v>31-40</v>
          </cell>
          <cell r="I3">
            <v>211</v>
          </cell>
          <cell r="K3" t="str">
            <v>Arambagh</v>
          </cell>
          <cell r="L3">
            <v>7.32</v>
          </cell>
          <cell r="Q3">
            <v>2</v>
          </cell>
          <cell r="S3">
            <v>18144</v>
          </cell>
          <cell r="U3" t="str">
            <v>8.0%</v>
          </cell>
          <cell r="V3">
            <v>85</v>
          </cell>
        </row>
        <row r="4">
          <cell r="A4" t="str">
            <v>Gold loan</v>
          </cell>
          <cell r="C4">
            <v>4.04</v>
          </cell>
          <cell r="E4" t="str">
            <v>defaulted</v>
          </cell>
          <cell r="F4">
            <v>95</v>
          </cell>
          <cell r="H4" t="str">
            <v>41-50</v>
          </cell>
          <cell r="I4">
            <v>244</v>
          </cell>
          <cell r="K4" t="str">
            <v>Bardhaman</v>
          </cell>
          <cell r="L4">
            <v>6.79</v>
          </cell>
          <cell r="Q4">
            <v>3</v>
          </cell>
          <cell r="S4">
            <v>26078</v>
          </cell>
          <cell r="U4" t="str">
            <v>8.5%</v>
          </cell>
          <cell r="V4">
            <v>92</v>
          </cell>
        </row>
        <row r="5">
          <cell r="A5" t="str">
            <v>Car loan</v>
          </cell>
          <cell r="C5">
            <v>13.6</v>
          </cell>
          <cell r="E5" t="str">
            <v>pending</v>
          </cell>
          <cell r="F5">
            <v>47</v>
          </cell>
          <cell r="H5" t="str">
            <v>51-64</v>
          </cell>
          <cell r="I5">
            <v>320</v>
          </cell>
          <cell r="K5" t="str">
            <v>Howrah</v>
          </cell>
          <cell r="L5">
            <v>6.11</v>
          </cell>
          <cell r="Q5">
            <v>4</v>
          </cell>
          <cell r="S5">
            <v>33244</v>
          </cell>
          <cell r="U5" t="str">
            <v>9.0%</v>
          </cell>
          <cell r="V5">
            <v>81</v>
          </cell>
        </row>
        <row r="6">
          <cell r="A6" t="str">
            <v>Home loan</v>
          </cell>
          <cell r="C6">
            <v>78.02</v>
          </cell>
          <cell r="K6" t="str">
            <v>Barasat</v>
          </cell>
          <cell r="L6">
            <v>6.01</v>
          </cell>
          <cell r="Q6">
            <v>5</v>
          </cell>
          <cell r="S6">
            <v>39638</v>
          </cell>
          <cell r="U6" t="str">
            <v>9.5%</v>
          </cell>
          <cell r="V6">
            <v>88</v>
          </cell>
        </row>
        <row r="7">
          <cell r="A7" t="str">
            <v>Education loan</v>
          </cell>
          <cell r="C7">
            <v>14.72</v>
          </cell>
          <cell r="K7" t="str">
            <v>Durgapur</v>
          </cell>
          <cell r="L7">
            <v>5.47</v>
          </cell>
          <cell r="Q7">
            <v>6</v>
          </cell>
          <cell r="S7">
            <v>45253</v>
          </cell>
          <cell r="U7" t="str">
            <v>10.0%</v>
          </cell>
          <cell r="V7">
            <v>87</v>
          </cell>
        </row>
        <row r="8">
          <cell r="A8" t="str">
            <v>Student loan</v>
          </cell>
          <cell r="C8">
            <v>13.61</v>
          </cell>
          <cell r="K8" t="str">
            <v>Basirhat</v>
          </cell>
          <cell r="L8">
            <v>5.46</v>
          </cell>
          <cell r="Q8">
            <v>7</v>
          </cell>
          <cell r="S8">
            <v>50084</v>
          </cell>
          <cell r="U8" t="str">
            <v>10.5%</v>
          </cell>
          <cell r="V8">
            <v>84</v>
          </cell>
        </row>
        <row r="9">
          <cell r="K9" t="str">
            <v>Darjeeling</v>
          </cell>
          <cell r="L9">
            <v>5.28</v>
          </cell>
          <cell r="Q9">
            <v>8</v>
          </cell>
          <cell r="S9">
            <v>54125</v>
          </cell>
          <cell r="U9" t="str">
            <v>11.0%</v>
          </cell>
          <cell r="V9">
            <v>78</v>
          </cell>
        </row>
        <row r="10">
          <cell r="K10" t="str">
            <v>Bankura</v>
          </cell>
          <cell r="L10">
            <v>5.27</v>
          </cell>
          <cell r="Q10">
            <v>9</v>
          </cell>
          <cell r="S10">
            <v>57369</v>
          </cell>
          <cell r="U10" t="str">
            <v>11.5%</v>
          </cell>
          <cell r="V10">
            <v>67</v>
          </cell>
        </row>
        <row r="11">
          <cell r="K11" t="str">
            <v>Chandannagar</v>
          </cell>
          <cell r="L11">
            <v>5.27</v>
          </cell>
          <cell r="Q11">
            <v>10</v>
          </cell>
          <cell r="S11">
            <v>59812</v>
          </cell>
          <cell r="U11" t="str">
            <v>12.0%</v>
          </cell>
          <cell r="V11">
            <v>86</v>
          </cell>
        </row>
        <row r="12">
          <cell r="Q12">
            <v>11</v>
          </cell>
          <cell r="S12">
            <v>61446</v>
          </cell>
          <cell r="U12" t="str">
            <v>12.5%</v>
          </cell>
          <cell r="V12">
            <v>82</v>
          </cell>
        </row>
        <row r="13">
          <cell r="Q13">
            <v>12</v>
          </cell>
          <cell r="S13">
            <v>62266</v>
          </cell>
          <cell r="U13" t="str">
            <v>13.0%</v>
          </cell>
          <cell r="V13">
            <v>84</v>
          </cell>
        </row>
      </sheetData>
    </sheetDataSet>
  </externalBook>
</externalLink>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Subhayan Mitra" refreshedDate="46171.000897685182" createdVersion="8" refreshedVersion="8" minRefreshableVersion="3" recordCount="1000" xr:uid="{864FBC78-EF37-4394-9567-FA70586977CE}">
  <cacheSource type="worksheet">
    <worksheetSource ref="A1:M1001" sheet="Clean Data"/>
  </cacheSource>
  <cacheFields count="13">
    <cacheField name="Loan ID" numFmtId="0">
      <sharedItems count="1000">
        <s v="LN01"/>
        <s v="LN02"/>
        <s v="LN03"/>
        <s v="LN04"/>
        <s v="LN05"/>
        <s v="LN06"/>
        <s v="LN07"/>
        <s v="LN08"/>
        <s v="LN09"/>
        <s v="LN10"/>
        <s v="LN11"/>
        <s v="LN12"/>
        <s v="LN13"/>
        <s v="LN14"/>
        <s v="LN15"/>
        <s v="LN16"/>
        <s v="LN17"/>
        <s v="LN18"/>
        <s v="LN19"/>
        <s v="LN20"/>
        <s v="LN21"/>
        <s v="LN22"/>
        <s v="LN23"/>
        <s v="LN24"/>
        <s v="LN25"/>
        <s v="LN26"/>
        <s v="LN27"/>
        <s v="LN28"/>
        <s v="LN29"/>
        <s v="LN30"/>
        <s v="LN31"/>
        <s v="LN32"/>
        <s v="LN33"/>
        <s v="LN34"/>
        <s v="LN35"/>
        <s v="LN36"/>
        <s v="LN37"/>
        <s v="LN38"/>
        <s v="LN39"/>
        <s v="LN40"/>
        <s v="LN41"/>
        <s v="LN42"/>
        <s v="LN43"/>
        <s v="LN44"/>
        <s v="LN45"/>
        <s v="LN46"/>
        <s v="LN47"/>
        <s v="LN48"/>
        <s v="LN49"/>
        <s v="LN50"/>
        <s v="LN51"/>
        <s v="LN52"/>
        <s v="LN53"/>
        <s v="LN54"/>
        <s v="LN55"/>
        <s v="LN56"/>
        <s v="LN57"/>
        <s v="LN58"/>
        <s v="LN59"/>
        <s v="LN60"/>
        <s v="LN61"/>
        <s v="LN62"/>
        <s v="LN63"/>
        <s v="LN64"/>
        <s v="LN65"/>
        <s v="LN66"/>
        <s v="LN67"/>
        <s v="LN68"/>
        <s v="LN69"/>
        <s v="LN70"/>
        <s v="LN71"/>
        <s v="LN72"/>
        <s v="LN73"/>
        <s v="LN74"/>
        <s v="LN75"/>
        <s v="LN76"/>
        <s v="LN77"/>
        <s v="LN78"/>
        <s v="LN79"/>
        <s v="LN80"/>
        <s v="LN81"/>
        <s v="LN82"/>
        <s v="LN83"/>
        <s v="LN84"/>
        <s v="LN85"/>
        <s v="LN86"/>
        <s v="LN87"/>
        <s v="LN88"/>
        <s v="LN89"/>
        <s v="LN90"/>
        <s v="LN91"/>
        <s v="LN92"/>
        <s v="LN93"/>
        <s v="LN94"/>
        <s v="LN95"/>
        <s v="LN96"/>
        <s v="LN97"/>
        <s v="LN98"/>
        <s v="LN99"/>
        <s v="LN100"/>
        <s v="LN101"/>
        <s v="LN102"/>
        <s v="LN103"/>
        <s v="LN104"/>
        <s v="LN105"/>
        <s v="LN106"/>
        <s v="LN107"/>
        <s v="LN108"/>
        <s v="LN109"/>
        <s v="LN110"/>
        <s v="LN111"/>
        <s v="LN112"/>
        <s v="LN113"/>
        <s v="LN114"/>
        <s v="LN115"/>
        <s v="LN116"/>
        <s v="LN117"/>
        <s v="LN118"/>
        <s v="LN119"/>
        <s v="LN120"/>
        <s v="LN121"/>
        <s v="LN122"/>
        <s v="LN123"/>
        <s v="LN124"/>
        <s v="LN125"/>
        <s v="LN126"/>
        <s v="LN127"/>
        <s v="LN128"/>
        <s v="LN129"/>
        <s v="LN130"/>
        <s v="LN131"/>
        <s v="LN132"/>
        <s v="LN133"/>
        <s v="LN134"/>
        <s v="LN135"/>
        <s v="LN136"/>
        <s v="LN137"/>
        <s v="LN138"/>
        <s v="LN139"/>
        <s v="LN140"/>
        <s v="LN141"/>
        <s v="LN142"/>
        <s v="LN143"/>
        <s v="LN144"/>
        <s v="LN145"/>
        <s v="LN146"/>
        <s v="LN147"/>
        <s v="LN148"/>
        <s v="LN149"/>
        <s v="LN150"/>
        <s v="LN151"/>
        <s v="LN152"/>
        <s v="LN153"/>
        <s v="LN154"/>
        <s v="LN155"/>
        <s v="LN156"/>
        <s v="LN157"/>
        <s v="LN158"/>
        <s v="LN159"/>
        <s v="LN160"/>
        <s v="LN161"/>
        <s v="LN162"/>
        <s v="LN163"/>
        <s v="LN164"/>
        <s v="LN165"/>
        <s v="LN166"/>
        <s v="LN167"/>
        <s v="LN168"/>
        <s v="LN169"/>
        <s v="LN170"/>
        <s v="LN171"/>
        <s v="LN172"/>
        <s v="LN173"/>
        <s v="LN174"/>
        <s v="LN175"/>
        <s v="LN176"/>
        <s v="LN177"/>
        <s v="LN178"/>
        <s v="LN179"/>
        <s v="LN180"/>
        <s v="LN181"/>
        <s v="LN182"/>
        <s v="LN183"/>
        <s v="LN184"/>
        <s v="LN185"/>
        <s v="LN186"/>
        <s v="LN187"/>
        <s v="LN188"/>
        <s v="LN189"/>
        <s v="LN190"/>
        <s v="LN191"/>
        <s v="LN192"/>
        <s v="LN193"/>
        <s v="LN194"/>
        <s v="LN195"/>
        <s v="LN196"/>
        <s v="LN197"/>
        <s v="LN198"/>
        <s v="LN199"/>
        <s v="LN200"/>
        <s v="LN201"/>
        <s v="LN202"/>
        <s v="LN203"/>
        <s v="LN204"/>
        <s v="LN205"/>
        <s v="LN206"/>
        <s v="LN207"/>
        <s v="LN208"/>
        <s v="LN209"/>
        <s v="LN210"/>
        <s v="LN211"/>
        <s v="LN212"/>
        <s v="LN213"/>
        <s v="LN214"/>
        <s v="LN215"/>
        <s v="LN216"/>
        <s v="LN217"/>
        <s v="LN218"/>
        <s v="LN219"/>
        <s v="LN220"/>
        <s v="LN221"/>
        <s v="LN222"/>
        <s v="LN223"/>
        <s v="LN224"/>
        <s v="LN225"/>
        <s v="LN226"/>
        <s v="LN227"/>
        <s v="LN228"/>
        <s v="LN229"/>
        <s v="LN230"/>
        <s v="LN231"/>
        <s v="LN232"/>
        <s v="LN233"/>
        <s v="LN234"/>
        <s v="LN235"/>
        <s v="LN236"/>
        <s v="LN237"/>
        <s v="LN238"/>
        <s v="LN239"/>
        <s v="LN240"/>
        <s v="LN241"/>
        <s v="LN242"/>
        <s v="LN243"/>
        <s v="LN244"/>
        <s v="LN245"/>
        <s v="LN246"/>
        <s v="LN247"/>
        <s v="LN248"/>
        <s v="LN249"/>
        <s v="LN250"/>
        <s v="LN251"/>
        <s v="LN252"/>
        <s v="LN253"/>
        <s v="LN254"/>
        <s v="LN255"/>
        <s v="LN256"/>
        <s v="LN257"/>
        <s v="LN258"/>
        <s v="LN259"/>
        <s v="LN260"/>
        <s v="LN261"/>
        <s v="LN262"/>
        <s v="LN263"/>
        <s v="LN264"/>
        <s v="LN265"/>
        <s v="LN266"/>
        <s v="LN267"/>
        <s v="LN268"/>
        <s v="LN269"/>
        <s v="LN270"/>
        <s v="LN271"/>
        <s v="LN272"/>
        <s v="LN273"/>
        <s v="LN274"/>
        <s v="LN275"/>
        <s v="LN276"/>
        <s v="LN277"/>
        <s v="LN278"/>
        <s v="LN279"/>
        <s v="LN280"/>
        <s v="LN281"/>
        <s v="LN282"/>
        <s v="LN283"/>
        <s v="LN284"/>
        <s v="LN285"/>
        <s v="LN286"/>
        <s v="LN287"/>
        <s v="LN288"/>
        <s v="LN289"/>
        <s v="LN290"/>
        <s v="LN291"/>
        <s v="LN292"/>
        <s v="LN293"/>
        <s v="LN294"/>
        <s v="LN295"/>
        <s v="LN296"/>
        <s v="LN297"/>
        <s v="LN298"/>
        <s v="LN299"/>
        <s v="LN300"/>
        <s v="LN301"/>
        <s v="LN302"/>
        <s v="LN303"/>
        <s v="LN304"/>
        <s v="LN305"/>
        <s v="LN306"/>
        <s v="LN307"/>
        <s v="LN308"/>
        <s v="LN309"/>
        <s v="LN310"/>
        <s v="LN311"/>
        <s v="LN312"/>
        <s v="LN313"/>
        <s v="LN314"/>
        <s v="LN315"/>
        <s v="LN316"/>
        <s v="LN317"/>
        <s v="LN318"/>
        <s v="LN319"/>
        <s v="LN320"/>
        <s v="LN321"/>
        <s v="LN322"/>
        <s v="LN323"/>
        <s v="LN324"/>
        <s v="LN325"/>
        <s v="LN326"/>
        <s v="LN327"/>
        <s v="LN328"/>
        <s v="LN329"/>
        <s v="LN330"/>
        <s v="LN331"/>
        <s v="LN332"/>
        <s v="LN333"/>
        <s v="LN334"/>
        <s v="LN335"/>
        <s v="LN336"/>
        <s v="LN337"/>
        <s v="LN338"/>
        <s v="LN339"/>
        <s v="LN340"/>
        <s v="LN341"/>
        <s v="LN342"/>
        <s v="LN343"/>
        <s v="LN344"/>
        <s v="LN345"/>
        <s v="LN346"/>
        <s v="LN347"/>
        <s v="LN348"/>
        <s v="LN349"/>
        <s v="LN350"/>
        <s v="LN351"/>
        <s v="LN352"/>
        <s v="LN353"/>
        <s v="LN354"/>
        <s v="LN355"/>
        <s v="LN356"/>
        <s v="LN357"/>
        <s v="LN358"/>
        <s v="LN359"/>
        <s v="LN360"/>
        <s v="LN361"/>
        <s v="LN362"/>
        <s v="LN363"/>
        <s v="LN364"/>
        <s v="LN365"/>
        <s v="LN366"/>
        <s v="LN367"/>
        <s v="LN368"/>
        <s v="LN369"/>
        <s v="LN370"/>
        <s v="LN371"/>
        <s v="LN372"/>
        <s v="LN373"/>
        <s v="LN374"/>
        <s v="LN375"/>
        <s v="LN376"/>
        <s v="LN377"/>
        <s v="LN378"/>
        <s v="LN379"/>
        <s v="LN380"/>
        <s v="LN381"/>
        <s v="LN382"/>
        <s v="LN383"/>
        <s v="LN384"/>
        <s v="LN385"/>
        <s v="LN386"/>
        <s v="LN387"/>
        <s v="LN388"/>
        <s v="LN389"/>
        <s v="LN390"/>
        <s v="LN391"/>
        <s v="LN392"/>
        <s v="LN393"/>
        <s v="LN394"/>
        <s v="LN395"/>
        <s v="LN396"/>
        <s v="LN397"/>
        <s v="LN398"/>
        <s v="LN399"/>
        <s v="LN400"/>
        <s v="LN401"/>
        <s v="LN402"/>
        <s v="LN403"/>
        <s v="LN404"/>
        <s v="LN405"/>
        <s v="LN406"/>
        <s v="LN407"/>
        <s v="LN408"/>
        <s v="LN409"/>
        <s v="LN410"/>
        <s v="LN411"/>
        <s v="LN412"/>
        <s v="LN413"/>
        <s v="LN414"/>
        <s v="LN415"/>
        <s v="LN416"/>
        <s v="LN417"/>
        <s v="LN418"/>
        <s v="LN419"/>
        <s v="LN420"/>
        <s v="LN421"/>
        <s v="LN422"/>
        <s v="LN423"/>
        <s v="LN424"/>
        <s v="LN425"/>
        <s v="LN426"/>
        <s v="LN427"/>
        <s v="LN428"/>
        <s v="LN429"/>
        <s v="LN430"/>
        <s v="LN431"/>
        <s v="LN432"/>
        <s v="LN433"/>
        <s v="LN434"/>
        <s v="LN435"/>
        <s v="LN436"/>
        <s v="LN437"/>
        <s v="LN438"/>
        <s v="LN439"/>
        <s v="LN440"/>
        <s v="LN441"/>
        <s v="LN442"/>
        <s v="LN443"/>
        <s v="LN444"/>
        <s v="LN445"/>
        <s v="LN446"/>
        <s v="LN447"/>
        <s v="LN448"/>
        <s v="LN449"/>
        <s v="LN450"/>
        <s v="LN451"/>
        <s v="LN452"/>
        <s v="LN453"/>
        <s v="LN454"/>
        <s v="LN455"/>
        <s v="LN456"/>
        <s v="LN457"/>
        <s v="LN458"/>
        <s v="LN459"/>
        <s v="LN460"/>
        <s v="LN461"/>
        <s v="LN462"/>
        <s v="LN463"/>
        <s v="LN464"/>
        <s v="LN465"/>
        <s v="LN466"/>
        <s v="LN467"/>
        <s v="LN468"/>
        <s v="LN469"/>
        <s v="LN470"/>
        <s v="LN471"/>
        <s v="LN472"/>
        <s v="LN473"/>
        <s v="LN474"/>
        <s v="LN475"/>
        <s v="LN476"/>
        <s v="LN477"/>
        <s v="LN478"/>
        <s v="LN479"/>
        <s v="LN480"/>
        <s v="LN481"/>
        <s v="LN482"/>
        <s v="LN483"/>
        <s v="LN484"/>
        <s v="LN485"/>
        <s v="LN486"/>
        <s v="LN487"/>
        <s v="LN488"/>
        <s v="LN489"/>
        <s v="LN490"/>
        <s v="LN491"/>
        <s v="LN492"/>
        <s v="LN493"/>
        <s v="LN494"/>
        <s v="LN495"/>
        <s v="LN496"/>
        <s v="LN497"/>
        <s v="LN498"/>
        <s v="LN499"/>
        <s v="LN500"/>
        <s v="LN501"/>
        <s v="LN502"/>
        <s v="LN503"/>
        <s v="LN504"/>
        <s v="LN505"/>
        <s v="LN506"/>
        <s v="LN507"/>
        <s v="LN508"/>
        <s v="LN509"/>
        <s v="LN510"/>
        <s v="LN511"/>
        <s v="LN512"/>
        <s v="LN513"/>
        <s v="LN514"/>
        <s v="LN515"/>
        <s v="LN516"/>
        <s v="LN517"/>
        <s v="LN518"/>
        <s v="LN519"/>
        <s v="LN520"/>
        <s v="LN521"/>
        <s v="LN522"/>
        <s v="LN523"/>
        <s v="LN524"/>
        <s v="LN525"/>
        <s v="LN526"/>
        <s v="LN527"/>
        <s v="LN528"/>
        <s v="LN529"/>
        <s v="LN530"/>
        <s v="LN531"/>
        <s v="LN532"/>
        <s v="LN533"/>
        <s v="LN534"/>
        <s v="LN535"/>
        <s v="LN536"/>
        <s v="LN537"/>
        <s v="LN538"/>
        <s v="LN539"/>
        <s v="LN540"/>
        <s v="LN541"/>
        <s v="LN542"/>
        <s v="LN543"/>
        <s v="LN544"/>
        <s v="LN545"/>
        <s v="LN546"/>
        <s v="LN547"/>
        <s v="LN548"/>
        <s v="LN549"/>
        <s v="LN550"/>
        <s v="LN551"/>
        <s v="LN552"/>
        <s v="LN553"/>
        <s v="LN554"/>
        <s v="LN555"/>
        <s v="LN556"/>
        <s v="LN557"/>
        <s v="LN558"/>
        <s v="LN559"/>
        <s v="LN560"/>
        <s v="LN561"/>
        <s v="LN562"/>
        <s v="LN563"/>
        <s v="LN564"/>
        <s v="LN565"/>
        <s v="LN566"/>
        <s v="LN567"/>
        <s v="LN568"/>
        <s v="LN569"/>
        <s v="LN570"/>
        <s v="LN571"/>
        <s v="LN572"/>
        <s v="LN573"/>
        <s v="LN574"/>
        <s v="LN575"/>
        <s v="LN576"/>
        <s v="LN577"/>
        <s v="LN578"/>
        <s v="LN579"/>
        <s v="LN580"/>
        <s v="LN581"/>
        <s v="LN582"/>
        <s v="LN583"/>
        <s v="LN584"/>
        <s v="LN585"/>
        <s v="LN586"/>
        <s v="LN587"/>
        <s v="LN588"/>
        <s v="LN589"/>
        <s v="LN590"/>
        <s v="LN591"/>
        <s v="LN592"/>
        <s v="LN593"/>
        <s v="LN594"/>
        <s v="LN595"/>
        <s v="LN596"/>
        <s v="LN597"/>
        <s v="LN598"/>
        <s v="LN599"/>
        <s v="LN600"/>
        <s v="LN601"/>
        <s v="LN602"/>
        <s v="LN603"/>
        <s v="LN604"/>
        <s v="LN605"/>
        <s v="LN606"/>
        <s v="LN607"/>
        <s v="LN608"/>
        <s v="LN609"/>
        <s v="LN610"/>
        <s v="LN611"/>
        <s v="LN612"/>
        <s v="LN613"/>
        <s v="LN614"/>
        <s v="LN615"/>
        <s v="LN616"/>
        <s v="LN617"/>
        <s v="LN618"/>
        <s v="LN619"/>
        <s v="LN620"/>
        <s v="LN621"/>
        <s v="LN622"/>
        <s v="LN623"/>
        <s v="LN624"/>
        <s v="LN625"/>
        <s v="LN626"/>
        <s v="LN627"/>
        <s v="LN628"/>
        <s v="LN629"/>
        <s v="LN630"/>
        <s v="LN631"/>
        <s v="LN632"/>
        <s v="LN633"/>
        <s v="LN634"/>
        <s v="LN635"/>
        <s v="LN636"/>
        <s v="LN637"/>
        <s v="LN638"/>
        <s v="LN639"/>
        <s v="LN640"/>
        <s v="LN641"/>
        <s v="LN642"/>
        <s v="LN643"/>
        <s v="LN644"/>
        <s v="LN645"/>
        <s v="LN646"/>
        <s v="LN647"/>
        <s v="LN648"/>
        <s v="LN649"/>
        <s v="LN650"/>
        <s v="LN651"/>
        <s v="LN652"/>
        <s v="LN653"/>
        <s v="LN654"/>
        <s v="LN655"/>
        <s v="LN656"/>
        <s v="LN657"/>
        <s v="LN658"/>
        <s v="LN659"/>
        <s v="LN660"/>
        <s v="LN661"/>
        <s v="LN662"/>
        <s v="LN663"/>
        <s v="LN664"/>
        <s v="LN665"/>
        <s v="LN666"/>
        <s v="LN667"/>
        <s v="LN668"/>
        <s v="LN669"/>
        <s v="LN670"/>
        <s v="LN671"/>
        <s v="LN672"/>
        <s v="LN673"/>
        <s v="LN674"/>
        <s v="LN675"/>
        <s v="LN676"/>
        <s v="LN677"/>
        <s v="LN678"/>
        <s v="LN679"/>
        <s v="LN680"/>
        <s v="LN681"/>
        <s v="LN682"/>
        <s v="LN683"/>
        <s v="LN684"/>
        <s v="LN685"/>
        <s v="LN686"/>
        <s v="LN687"/>
        <s v="LN688"/>
        <s v="LN689"/>
        <s v="LN690"/>
        <s v="LN691"/>
        <s v="LN692"/>
        <s v="LN693"/>
        <s v="LN694"/>
        <s v="LN695"/>
        <s v="LN696"/>
        <s v="LN697"/>
        <s v="LN698"/>
        <s v="LN699"/>
        <s v="LN700"/>
        <s v="LN701"/>
        <s v="LN702"/>
        <s v="LN703"/>
        <s v="LN704"/>
        <s v="LN705"/>
        <s v="LN706"/>
        <s v="LN707"/>
        <s v="LN708"/>
        <s v="LN709"/>
        <s v="LN710"/>
        <s v="LN711"/>
        <s v="LN712"/>
        <s v="LN713"/>
        <s v="LN714"/>
        <s v="LN715"/>
        <s v="LN716"/>
        <s v="LN717"/>
        <s v="LN718"/>
        <s v="LN719"/>
        <s v="LN720"/>
        <s v="LN721"/>
        <s v="LN722"/>
        <s v="LN723"/>
        <s v="LN724"/>
        <s v="LN725"/>
        <s v="LN726"/>
        <s v="LN727"/>
        <s v="LN728"/>
        <s v="LN729"/>
        <s v="LN730"/>
        <s v="LN731"/>
        <s v="LN732"/>
        <s v="LN733"/>
        <s v="LN734"/>
        <s v="LN735"/>
        <s v="LN736"/>
        <s v="LN737"/>
        <s v="LN738"/>
        <s v="LN739"/>
        <s v="LN740"/>
        <s v="LN741"/>
        <s v="LN742"/>
        <s v="LN743"/>
        <s v="LN744"/>
        <s v="LN745"/>
        <s v="LN746"/>
        <s v="LN747"/>
        <s v="LN748"/>
        <s v="LN749"/>
        <s v="LN750"/>
        <s v="LN751"/>
        <s v="LN752"/>
        <s v="LN753"/>
        <s v="LN754"/>
        <s v="LN755"/>
        <s v="LN756"/>
        <s v="LN757"/>
        <s v="LN758"/>
        <s v="LN759"/>
        <s v="LN760"/>
        <s v="LN761"/>
        <s v="LN762"/>
        <s v="LN763"/>
        <s v="LN764"/>
        <s v="LN765"/>
        <s v="LN766"/>
        <s v="LN767"/>
        <s v="LN768"/>
        <s v="LN769"/>
        <s v="LN770"/>
        <s v="LN771"/>
        <s v="LN772"/>
        <s v="LN773"/>
        <s v="LN774"/>
        <s v="LN775"/>
        <s v="LN776"/>
        <s v="LN777"/>
        <s v="LN778"/>
        <s v="LN779"/>
        <s v="LN780"/>
        <s v="LN781"/>
        <s v="LN782"/>
        <s v="LN783"/>
        <s v="LN784"/>
        <s v="LN785"/>
        <s v="LN786"/>
        <s v="LN787"/>
        <s v="LN788"/>
        <s v="LN789"/>
        <s v="LN790"/>
        <s v="LN791"/>
        <s v="LN792"/>
        <s v="LN793"/>
        <s v="LN794"/>
        <s v="LN795"/>
        <s v="LN796"/>
        <s v="LN797"/>
        <s v="LN798"/>
        <s v="LN799"/>
        <s v="LN800"/>
        <s v="LN801"/>
        <s v="LN802"/>
        <s v="LN803"/>
        <s v="LN804"/>
        <s v="LN805"/>
        <s v="LN806"/>
        <s v="LN807"/>
        <s v="LN808"/>
        <s v="LN809"/>
        <s v="LN810"/>
        <s v="LN811"/>
        <s v="LN812"/>
        <s v="LN813"/>
        <s v="LN814"/>
        <s v="LN815"/>
        <s v="LN816"/>
        <s v="LN817"/>
        <s v="LN818"/>
        <s v="LN819"/>
        <s v="LN820"/>
        <s v="LN821"/>
        <s v="LN822"/>
        <s v="LN823"/>
        <s v="LN824"/>
        <s v="LN825"/>
        <s v="LN826"/>
        <s v="LN827"/>
        <s v="LN828"/>
        <s v="LN829"/>
        <s v="LN830"/>
        <s v="LN831"/>
        <s v="LN832"/>
        <s v="LN833"/>
        <s v="LN834"/>
        <s v="LN835"/>
        <s v="LN836"/>
        <s v="LN837"/>
        <s v="LN838"/>
        <s v="LN839"/>
        <s v="LN840"/>
        <s v="LN841"/>
        <s v="LN842"/>
        <s v="LN843"/>
        <s v="LN844"/>
        <s v="LN845"/>
        <s v="LN846"/>
        <s v="LN847"/>
        <s v="LN848"/>
        <s v="LN849"/>
        <s v="LN850"/>
        <s v="LN851"/>
        <s v="LN852"/>
        <s v="LN853"/>
        <s v="LN854"/>
        <s v="LN855"/>
        <s v="LN856"/>
        <s v="LN857"/>
        <s v="LN858"/>
        <s v="LN859"/>
        <s v="LN860"/>
        <s v="LN861"/>
        <s v="LN862"/>
        <s v="LN863"/>
        <s v="LN864"/>
        <s v="LN865"/>
        <s v="LN866"/>
        <s v="LN867"/>
        <s v="LN868"/>
        <s v="LN869"/>
        <s v="LN870"/>
        <s v="LN871"/>
        <s v="LN872"/>
        <s v="LN873"/>
        <s v="LN874"/>
        <s v="LN875"/>
        <s v="LN876"/>
        <s v="LN877"/>
        <s v="LN878"/>
        <s v="LN879"/>
        <s v="LN880"/>
        <s v="LN881"/>
        <s v="LN882"/>
        <s v="LN883"/>
        <s v="LN884"/>
        <s v="LN885"/>
        <s v="LN886"/>
        <s v="LN887"/>
        <s v="LN888"/>
        <s v="LN889"/>
        <s v="LN890"/>
        <s v="LN891"/>
        <s v="LN892"/>
        <s v="LN893"/>
        <s v="LN894"/>
        <s v="LN895"/>
        <s v="LN896"/>
        <s v="LN897"/>
        <s v="LN898"/>
        <s v="LN899"/>
        <s v="LN900"/>
        <s v="LN901"/>
        <s v="LN902"/>
        <s v="LN903"/>
        <s v="LN904"/>
        <s v="LN905"/>
        <s v="LN906"/>
        <s v="LN907"/>
        <s v="LN908"/>
        <s v="LN909"/>
        <s v="LN910"/>
        <s v="LN911"/>
        <s v="LN912"/>
        <s v="LN913"/>
        <s v="LN914"/>
        <s v="LN915"/>
        <s v="LN916"/>
        <s v="LN917"/>
        <s v="LN918"/>
        <s v="LN919"/>
        <s v="LN920"/>
        <s v="LN921"/>
        <s v="LN922"/>
        <s v="LN923"/>
        <s v="LN924"/>
        <s v="LN925"/>
        <s v="LN926"/>
        <s v="LN927"/>
        <s v="LN928"/>
        <s v="LN929"/>
        <s v="LN930"/>
        <s v="LN931"/>
        <s v="LN932"/>
        <s v="LN933"/>
        <s v="LN934"/>
        <s v="LN935"/>
        <s v="LN936"/>
        <s v="LN937"/>
        <s v="LN938"/>
        <s v="LN939"/>
        <s v="LN940"/>
        <s v="LN941"/>
        <s v="LN942"/>
        <s v="LN943"/>
        <s v="LN944"/>
        <s v="LN945"/>
        <s v="LN946"/>
        <s v="LN947"/>
        <s v="LN948"/>
        <s v="LN949"/>
        <s v="LN950"/>
        <s v="LN951"/>
        <s v="LN952"/>
        <s v="LN953"/>
        <s v="LN954"/>
        <s v="LN955"/>
        <s v="LN956"/>
        <s v="LN957"/>
        <s v="LN958"/>
        <s v="LN959"/>
        <s v="LN960"/>
        <s v="LN961"/>
        <s v="LN962"/>
        <s v="LN963"/>
        <s v="LN964"/>
        <s v="LN965"/>
        <s v="LN966"/>
        <s v="LN967"/>
        <s v="LN968"/>
        <s v="LN969"/>
        <s v="LN970"/>
        <s v="LN971"/>
        <s v="LN972"/>
        <s v="LN973"/>
        <s v="LN974"/>
        <s v="LN975"/>
        <s v="LN976"/>
        <s v="LN977"/>
        <s v="LN978"/>
        <s v="LN979"/>
        <s v="LN980"/>
        <s v="LN981"/>
        <s v="LN982"/>
        <s v="LN983"/>
        <s v="LN984"/>
        <s v="LN985"/>
        <s v="LN986"/>
        <s v="LN987"/>
        <s v="LN988"/>
        <s v="LN989"/>
        <s v="LN990"/>
        <s v="LN991"/>
        <s v="LN992"/>
        <s v="LN993"/>
        <s v="LN994"/>
        <s v="LN995"/>
        <s v="LN996"/>
        <s v="LN997"/>
        <s v="LN998"/>
        <s v="LN999"/>
        <s v="LN1000"/>
      </sharedItems>
    </cacheField>
    <cacheField name="BORROWER _x000a_NAME" numFmtId="0">
      <sharedItems/>
    </cacheField>
    <cacheField name="AGE" numFmtId="0">
      <sharedItems containsSemiMixedTypes="0" containsString="0" containsNumber="1" containsInteger="1" minValue="21" maxValue="64"/>
    </cacheField>
    <cacheField name="LOAN_x000a_ TYPE" numFmtId="0">
      <sharedItems count="7">
        <s v="Education loan"/>
        <s v="Home loan"/>
        <s v="Personal loan"/>
        <s v="Gold loan"/>
        <s v="Business loan"/>
        <s v="Car loan"/>
        <s v="Student loan"/>
      </sharedItems>
    </cacheField>
    <cacheField name="LOAN _x000a_AMOUNT" numFmtId="0">
      <sharedItems containsSemiMixedTypes="0" containsString="0" containsNumber="1" containsInteger="1" minValue="50000" maxValue="9970000"/>
    </cacheField>
    <cacheField name="ANNUAL _x000a_INTEREST RATE" numFmtId="0">
      <sharedItems containsSemiMixedTypes="0" containsString="0" containsNumber="1" minValue="7.4999999999999997E-2" maxValue="0.13" count="12">
        <n v="0.125"/>
        <n v="0.115"/>
        <n v="0.12"/>
        <n v="8.5000000000000006E-2"/>
        <n v="9.5000000000000001E-2"/>
        <n v="0.08"/>
        <n v="0.09"/>
        <n v="0.1"/>
        <n v="0.105"/>
        <n v="0.13"/>
        <n v="7.4999999999999997E-2"/>
        <n v="0.11"/>
      </sharedItems>
    </cacheField>
    <cacheField name="TENURE_x000a_(MONTHS)" numFmtId="0">
      <sharedItems containsSemiMixedTypes="0" containsString="0" containsNumber="1" containsInteger="1" minValue="12" maxValue="240"/>
    </cacheField>
    <cacheField name="SANCTION _x000a_DATE " numFmtId="0">
      <sharedItems count="842">
        <s v="06-11-2019"/>
        <s v="10-04-2019"/>
        <s v="14-03-2017"/>
        <s v="20-08-2016"/>
        <s v="04-09-2016"/>
        <s v="21-04-2020"/>
        <s v="09-02-2015"/>
        <s v="24-12-2016"/>
        <s v="23-09-2019"/>
        <s v="08-08-2020"/>
        <s v="04-07-2016"/>
        <s v="27-01-2022"/>
        <s v="18-10-2020"/>
        <s v="27-12-2020"/>
        <s v="30-01-2023"/>
        <s v="17-07-2018"/>
        <s v="16-06-2020"/>
        <s v="13-05-2018"/>
        <s v="24-10-2017"/>
        <s v="21-04-2021"/>
        <s v="14-05-2021"/>
        <s v="15-07-2015"/>
        <s v="20-06-2019"/>
        <s v="10-02-2016"/>
        <s v="29-09-2022"/>
        <s v="31-10-2016"/>
        <s v="03-09-2015"/>
        <s v="01-06-2017"/>
        <s v="07-11-2017"/>
        <s v="05-05-2020"/>
        <s v="23-01-2022"/>
        <s v="30-01-2016"/>
        <s v="17-01-2020"/>
        <s v="02-10-2018"/>
        <s v="30-11-2017"/>
        <s v="18-01-2019"/>
        <s v="15-01-2019"/>
        <s v="14-04-2021"/>
        <s v="02-04-2021"/>
        <s v="21-11-2017"/>
        <s v="10-11-2018"/>
        <s v="23-03-2015"/>
        <s v="14-08-2019"/>
        <s v="11-05-2016"/>
        <s v="09-12-2018"/>
        <s v="15-08-2022"/>
        <s v="16-10-2021"/>
        <s v="25-03-2017"/>
        <s v="20-06-2021"/>
        <s v="16-06-2021"/>
        <s v="15-04-2022"/>
        <s v="12-04-2022"/>
        <s v="14-01-2021"/>
        <s v="15-12-2016"/>
        <s v="11-03-2018"/>
        <s v="25-12-2018"/>
        <s v="24-08-2018"/>
        <s v="20-07-2022"/>
        <s v="21-09-2020"/>
        <s v="19-06-2020"/>
        <s v="05-01-2020"/>
        <s v="18-11-2015"/>
        <s v="18-11-2021"/>
        <s v="19-03-2018"/>
        <s v="14-03-2020"/>
        <s v="31-01-2022"/>
        <s v="16-08-2016"/>
        <s v="17-11-2016"/>
        <s v="08-03-2022"/>
        <s v="13-10-2018"/>
        <s v="24-09-2019"/>
        <s v="29-01-2022"/>
        <s v="13-11-2021"/>
        <s v="30-05-2021"/>
        <s v="16-07-2019"/>
        <s v="20-10-2015"/>
        <s v="21-11-2015"/>
        <s v="25-10-2016"/>
        <s v="08-11-2018"/>
        <s v="23-07-2017"/>
        <s v="08-07-2018"/>
        <s v="21-07-2018"/>
        <s v="28-04-2022"/>
        <s v="08-04-2018"/>
        <s v="19-12-2022"/>
        <s v="31-12-2017"/>
        <s v="15-10-2021"/>
        <s v="25-03-2022"/>
        <s v="08-06-2019"/>
        <s v="16-01-2018"/>
        <s v="28-12-2019"/>
        <s v="27-01-2019"/>
        <s v="01-08-2021"/>
        <s v="03-11-2020"/>
        <s v="19-01-2020"/>
        <s v="23-08-2019"/>
        <s v="16-11-2016"/>
        <s v="23-01-2017"/>
        <s v="05-04-2015"/>
        <s v="27-05-2016"/>
        <s v="28-02-2023"/>
        <s v="19-08-2017"/>
        <s v="04-06-2022"/>
        <s v="27-10-2017"/>
        <s v="10-11-2022"/>
        <s v="24-11-2015"/>
        <s v="12-05-2017"/>
        <s v="14-11-2016"/>
        <s v="15-06-2019"/>
        <s v="26-02-2016"/>
        <s v="27-01-2016"/>
        <s v="19-09-2015"/>
        <s v="22-04-2020"/>
        <s v="24-02-2021"/>
        <s v="09-08-2015"/>
        <s v="18-04-2015"/>
        <s v="16-11-2020"/>
        <s v="07-12-2015"/>
        <s v="01-03-2016"/>
        <s v="11-12-2017"/>
        <s v="06-12-2021"/>
        <s v="28-09-2016"/>
        <s v="12-12-2015"/>
        <s v="06-05-2022"/>
        <s v="16-05-2019"/>
        <s v="21-06-2018"/>
        <s v="28-07-2017"/>
        <s v="10-10-2017"/>
        <s v="09-03-2018"/>
        <s v="21-12-2019"/>
        <s v="10-01-2022"/>
        <s v="01-06-2016"/>
        <s v="21-06-2016"/>
        <s v="27-11-2020"/>
        <s v="29-11-2016"/>
        <s v="28-04-2015"/>
        <s v="24-05-2015"/>
        <s v="10-06-2022"/>
        <s v="01-01-2019"/>
        <s v="25-08-2018"/>
        <s v="04-05-2020"/>
        <s v="28-03-2020"/>
        <s v="23-01-2021"/>
        <s v="20-01-2018"/>
        <s v="07-07-2016"/>
        <s v="28-10-2022"/>
        <s v="17-01-2021"/>
        <s v="26-12-2016"/>
        <s v="17-08-2021"/>
        <s v="13-09-2021"/>
        <s v="14-02-2020"/>
        <s v="28-01-2022"/>
        <s v="17-02-2022"/>
        <s v="29-04-2021"/>
        <s v="17-11-2019"/>
        <s v="14-11-2020"/>
        <s v="05-03-2022"/>
        <s v="04-03-2022"/>
        <s v="26-12-2020"/>
        <s v="22-06-2018"/>
        <s v="23-11-2018"/>
        <s v="26-05-2020"/>
        <s v="19-01-2021"/>
        <s v="19-07-2017"/>
        <s v="02-01-2016"/>
        <s v="15-12-2019"/>
        <s v="15-06-2018"/>
        <s v="07-02-2019"/>
        <s v="16-08-2019"/>
        <s v="29-09-2016"/>
        <s v="28-05-2018"/>
        <s v="13-02-2015"/>
        <s v="01-01-2015"/>
        <s v="13-11-2020"/>
        <s v="12-07-2016"/>
        <s v="09-11-2018"/>
        <s v="20-03-2018"/>
        <s v="05-04-2020"/>
        <s v="31-12-2020"/>
        <s v="04-02-2015"/>
        <s v="18-09-2022"/>
        <s v="07-07-2020"/>
        <s v="08-05-2020"/>
        <s v="12-05-2018"/>
        <s v="07-02-2015"/>
        <s v="30-10-2019"/>
        <s v="14-04-2018"/>
        <s v="11-09-2021"/>
        <s v="05-08-2017"/>
        <s v="30-01-2015"/>
        <s v="23-02-2021"/>
        <s v="11-03-2019"/>
        <s v="11-02-2017"/>
        <s v="15-04-2021"/>
        <s v="26-11-2019"/>
        <s v="05-06-2019"/>
        <s v="20-10-2017"/>
        <s v="30-10-2016"/>
        <s v="07-01-2023"/>
        <s v="30-03-2022"/>
        <s v="30-03-2019"/>
        <s v="22-06-2017"/>
        <s v="13-12-2017"/>
        <s v="26-09-2019"/>
        <s v="05-01-2022"/>
        <s v="08-09-2017"/>
        <s v="17-10-2020"/>
        <s v="16-11-2021"/>
        <s v="13-10-2022"/>
        <s v="05-09-2022"/>
        <s v="18-01-2018"/>
        <s v="12-03-2018"/>
        <s v="10-04-2022"/>
        <s v="18-12-2020"/>
        <s v="06-01-2018"/>
        <s v="19-08-2019"/>
        <s v="09-02-2017"/>
        <s v="08-10-2015"/>
        <s v="17-01-2017"/>
        <s v="13-07-2016"/>
        <s v="01-04-2018"/>
        <s v="28-03-2016"/>
        <s v="21-02-2022"/>
        <s v="09-02-2020"/>
        <s v="05-12-2021"/>
        <s v="29-01-2020"/>
        <s v="19-01-2018"/>
        <s v="09-11-2022"/>
        <s v="25-12-2021"/>
        <s v="08-07-2020"/>
        <s v="08-02-2017"/>
        <s v="06-08-2018"/>
        <s v="21-03-2015"/>
        <s v="15-09-2016"/>
        <s v="23-07-2015"/>
        <s v="01-04-2015"/>
        <s v="31-01-2017"/>
        <s v="23-02-2016"/>
        <s v="01-03-2018"/>
        <s v="07-01-2018"/>
        <s v="08-01-2023"/>
        <s v="01-12-2019"/>
        <s v="26-02-2023"/>
        <s v="03-02-2015"/>
        <s v="11-08-2017"/>
        <s v="05-01-2016"/>
        <s v="09-09-2016"/>
        <s v="02-03-2015"/>
        <s v="14-07-2020"/>
        <s v="08-06-2017"/>
        <s v="01-11-2018"/>
        <s v="18-09-2019"/>
        <s v="30-06-2018"/>
        <s v="03-08-2020"/>
        <s v="02-03-2019"/>
        <s v="25-10-2022"/>
        <s v="10-05-2015"/>
        <s v="14-09-2018"/>
        <s v="25-11-2015"/>
        <s v="21-08-2016"/>
        <s v="18-08-2015"/>
        <s v="27-12-2017"/>
        <s v="27-05-2019"/>
        <s v="02-02-2021"/>
        <s v="09-04-2020"/>
        <s v="13-01-2017"/>
        <s v="26-02-2017"/>
        <s v="21-10-2017"/>
        <s v="12-04-2019"/>
        <s v="21-02-2015"/>
        <s v="14-05-2016"/>
        <s v="06-01-2023"/>
        <s v="16-10-2017"/>
        <s v="26-04-2019"/>
        <s v="20-12-2019"/>
        <s v="09-10-2017"/>
        <s v="18-05-2015"/>
        <s v="26-03-2017"/>
        <s v="02-03-2020"/>
        <s v="20-01-2016"/>
        <s v="04-11-2020"/>
        <s v="20-06-2022"/>
        <s v="03-05-2017"/>
        <s v="20-04-2020"/>
        <s v="13-05-2019"/>
        <s v="23-08-2022"/>
        <s v="02-07-2018"/>
        <s v="16-08-2018"/>
        <s v="11-10-2016"/>
        <s v="21-01-2022"/>
        <s v="02-03-2023"/>
        <s v="22-06-2015"/>
        <s v="01-03-2021"/>
        <s v="15-05-2016"/>
        <s v="03-11-2017"/>
        <s v="25-05-2020"/>
        <s v="28-02-2022"/>
        <s v="08-05-2018"/>
        <s v="24-03-2017"/>
        <s v="16-01-2019"/>
        <s v="02-08-2015"/>
        <s v="23-06-2022"/>
        <s v="11-06-2017"/>
        <s v="07-04-2016"/>
        <s v="24-08-2017"/>
        <s v="05-02-2022"/>
        <s v="14-11-2019"/>
        <s v="22-08-2018"/>
        <s v="03-03-2015"/>
        <s v="04-02-2018"/>
        <s v="22-07-2021"/>
        <s v="05-05-2016"/>
        <s v="10-06-2019"/>
        <s v="22-09-2017"/>
        <s v="06-02-2015"/>
        <s v="08-07-2021"/>
        <s v="30-09-2022"/>
        <s v="30-04-2020"/>
        <s v="20-09-2022"/>
        <s v="08-09-2021"/>
        <s v="26-09-2016"/>
        <s v="15-10-2017"/>
        <s v="07-10-2016"/>
        <s v="09-08-2020"/>
        <s v="10-01-2016"/>
        <s v="10-09-2022"/>
        <s v="08-12-2021"/>
        <s v="18-10-2018"/>
        <s v="04-01-2022"/>
        <s v="02-09-2015"/>
        <s v="27-12-2018"/>
        <s v="22-09-2016"/>
        <s v="12-11-2022"/>
        <s v="05-01-2021"/>
        <s v="15-03-2016"/>
        <s v="30-05-2016"/>
        <s v="21-06-2020"/>
        <s v="06-04-2021"/>
        <s v="02-12-2019"/>
        <s v="01-03-2017"/>
        <s v="29-03-2015"/>
        <s v="24-09-2022"/>
        <s v="28-03-2019"/>
        <s v="07-01-2019"/>
        <s v="15-02-2023"/>
        <s v="05-07-2016"/>
        <s v="23-10-2017"/>
        <s v="11-06-2015"/>
        <s v="10-06-2020"/>
        <s v="04-12-2022"/>
        <s v="28-11-2019"/>
        <s v="08-04-2021"/>
        <s v="22-04-2018"/>
        <s v="01-02-2021"/>
        <s v="26-10-2022"/>
        <s v="30-06-2020"/>
        <s v="16-02-2017"/>
        <s v="10-05-2021"/>
        <s v="03-02-2017"/>
        <s v="04-02-2021"/>
        <s v="25-11-2018"/>
        <s v="18-08-2018"/>
        <s v="19-03-2023"/>
        <s v="02-04-2020"/>
        <s v="01-02-2018"/>
        <s v="18-09-2021"/>
        <s v="21-03-2021"/>
        <s v="18-10-2016"/>
        <s v="10-10-2015"/>
        <s v="15-12-2020"/>
        <s v="15-01-2020"/>
        <s v="26-04-2018"/>
        <s v="14-12-2017"/>
        <s v="27-01-2021"/>
        <s v="12-02-2019"/>
        <s v="03-02-2020"/>
        <s v="03-01-2015"/>
        <s v="26-02-2022"/>
        <s v="03-09-2020"/>
        <s v="02-04-2019"/>
        <s v="29-01-2017"/>
        <s v="18-03-2015"/>
        <s v="13-12-2021"/>
        <s v="31-01-2019"/>
        <s v="15-12-2021"/>
        <s v="05-09-2017"/>
        <s v="01-02-2023"/>
        <s v="17-09-2015"/>
        <s v="20-05-2022"/>
        <s v="16-01-2021"/>
        <s v="07-05-2019"/>
        <s v="30-08-2022"/>
        <s v="30-07-2020"/>
        <s v="08-03-2021"/>
        <s v="23-09-2016"/>
        <s v="05-03-2018"/>
        <s v="14-08-2018"/>
        <s v="06-08-2019"/>
        <s v="10-03-2022"/>
        <s v="12-08-2018"/>
        <s v="22-05-2022"/>
        <s v="01-10-2015"/>
        <s v="29-06-2015"/>
        <s v="15-06-2016"/>
        <s v="01-01-2017"/>
        <s v="09-05-2015"/>
        <s v="07-04-2017"/>
        <s v="14-03-2016"/>
        <s v="11-06-2020"/>
        <s v="23-02-2017"/>
        <s v="09-02-2016"/>
        <s v="11-05-2015"/>
        <s v="27-05-2021"/>
        <s v="13-03-2022"/>
        <s v="11-05-2019"/>
        <s v="18-05-2022"/>
        <s v="29-06-2020"/>
        <s v="23-11-2020"/>
        <s v="30-12-2021"/>
        <s v="14-08-2021"/>
        <s v="14-11-2017"/>
        <s v="21-07-2015"/>
        <s v="09-02-2019"/>
        <s v="23-06-2017"/>
        <s v="17-10-2021"/>
        <s v="19-01-2023"/>
        <s v="18-10-2015"/>
        <s v="23-02-2015"/>
        <s v="04-05-2017"/>
        <s v="09-05-2022"/>
        <s v="05-07-2020"/>
        <s v="01-04-2020"/>
        <s v="02-03-2022"/>
        <s v="06-09-2015"/>
        <s v="04-04-2021"/>
        <s v="31-08-2019"/>
        <s v="20-02-2019"/>
        <s v="11-12-2022"/>
        <s v="27-08-2015"/>
        <s v="01-12-2021"/>
        <s v="24-12-2017"/>
        <s v="06-12-2020"/>
        <s v="16-06-2015"/>
        <s v="16-10-2015"/>
        <s v="29-05-2018"/>
        <s v="16-11-2015"/>
        <s v="03-06-2017"/>
        <s v="28-10-2020"/>
        <s v="02-02-2016"/>
        <s v="19-02-2016"/>
        <s v="18-02-2023"/>
        <s v="04-08-2017"/>
        <s v="17-12-2020"/>
        <s v="28-04-2019"/>
        <s v="15-02-2017"/>
        <s v="02-03-2017"/>
        <s v="25-11-2020"/>
        <s v="14-05-2022"/>
        <s v="23-05-2021"/>
        <s v="02-01-2017"/>
        <s v="05-04-2021"/>
        <s v="28-08-2019"/>
        <s v="08-03-2016"/>
        <s v="19-06-2021"/>
        <s v="06-01-2019"/>
        <s v="25-07-2022"/>
        <s v="22-02-2020"/>
        <s v="17-11-2022"/>
        <s v="17-06-2022"/>
        <s v="16-10-2019"/>
        <s v="02-03-2016"/>
        <s v="08-01-2017"/>
        <s v="02-03-2021"/>
        <s v="03-07-2019"/>
        <s v="29-08-2020"/>
        <s v="14-10-2018"/>
        <s v="17-05-2022"/>
        <s v="09-10-2016"/>
        <s v="23-09-2021"/>
        <s v="14-12-2018"/>
        <s v="14-07-2018"/>
        <s v="03-03-2021"/>
        <s v="03-03-2019"/>
        <s v="06-02-2022"/>
        <s v="21-02-2023"/>
        <s v="17-08-2018"/>
        <s v="28-10-2021"/>
        <s v="12-09-2017"/>
        <s v="25-04-2021"/>
        <s v="12-02-2021"/>
        <s v="26-05-2017"/>
        <s v="17-03-2019"/>
        <s v="06-11-2017"/>
        <s v="14-01-2019"/>
        <s v="28-01-2020"/>
        <s v="07-01-2020"/>
        <s v="22-02-2023"/>
        <s v="22-05-2015"/>
        <s v="06-09-2021"/>
        <s v="08-03-2015"/>
        <s v="21-10-2020"/>
        <s v="21-05-2018"/>
        <s v="27-01-2015"/>
        <s v="15-05-2018"/>
        <s v="27-06-2017"/>
        <s v="29-05-2017"/>
        <s v="13-07-2018"/>
        <s v="30-03-2015"/>
        <s v="26-09-2022"/>
        <s v="17-03-2021"/>
        <s v="25-09-2020"/>
        <s v="28-03-2021"/>
        <s v="26-05-2021"/>
        <s v="25-09-2016"/>
        <s v="22-01-2016"/>
        <s v="04-06-2015"/>
        <s v="29-02-2020"/>
        <s v="01-10-2016"/>
        <s v="20-07-2016"/>
        <s v="21-12-2017"/>
        <s v="12-07-2021"/>
        <s v="12-08-2017"/>
        <s v="15-11-2017"/>
        <s v="12-01-2016"/>
        <s v="25-05-2021"/>
        <s v="26-06-2019"/>
        <s v="19-05-2021"/>
        <s v="09-06-2017"/>
        <s v="13-11-2015"/>
        <s v="11-02-2023"/>
        <s v="30-05-2020"/>
        <s v="09-12-2016"/>
        <s v="22-06-2020"/>
        <s v="25-09-2022"/>
        <s v="18-11-2022"/>
        <s v="18-06-2021"/>
        <s v="26-01-2016"/>
        <s v="04-09-2021"/>
        <s v="15-03-2022"/>
        <s v="03-06-2015"/>
        <s v="13-03-2023"/>
        <s v="01-10-2018"/>
        <s v="26-11-2018"/>
        <s v="03-09-2019"/>
        <s v="08-05-2016"/>
        <s v="17-07-2017"/>
        <s v="27-04-2022"/>
        <s v="03-10-2021"/>
        <s v="16-02-2015"/>
        <s v="09-02-2022"/>
        <s v="02-02-2022"/>
        <s v="16-04-2019"/>
        <s v="10-08-2015"/>
        <s v="02-06-2018"/>
        <s v="17-11-2020"/>
        <s v="18-06-2015"/>
        <s v="31-07-2018"/>
        <s v="20-01-2021"/>
        <s v="02-05-2021"/>
        <s v="31-08-2018"/>
        <s v="19-08-2020"/>
        <s v="29-10-2022"/>
        <s v="19-09-2016"/>
        <s v="26-07-2015"/>
        <s v="22-07-2022"/>
        <s v="16-03-2023"/>
        <s v="29-05-2019"/>
        <s v="31-12-2019"/>
        <s v="03-09-2021"/>
        <s v="14-06-2021"/>
        <s v="04-01-2016"/>
        <s v="28-06-2017"/>
        <s v="05-11-2019"/>
        <s v="04-06-2019"/>
        <s v="29-08-2016"/>
        <s v="25-06-2016"/>
        <s v="08-10-2018"/>
        <s v="05-12-2015"/>
        <s v="03-05-2020"/>
        <s v="29-05-2021"/>
        <s v="24-06-2019"/>
        <s v="15-12-2015"/>
        <s v="21-06-2019"/>
        <s v="17-08-2020"/>
        <s v="15-11-2019"/>
        <s v="18-06-2016"/>
        <s v="06-07-2016"/>
        <s v="23-05-2020"/>
        <s v="09-04-2021"/>
        <s v="22-03-2017"/>
        <s v="25-04-2022"/>
        <s v="17-04-2021"/>
        <s v="28-11-2021"/>
        <s v="05-10-2017"/>
        <s v="19-09-2017"/>
        <s v="21-10-2015"/>
        <s v="26-12-2017"/>
        <s v="28-10-2019"/>
        <s v="17-06-2021"/>
        <s v="05-04-2016"/>
        <s v="14-07-2022"/>
        <s v="22-08-2019"/>
        <s v="01-10-2019"/>
        <s v="05-02-2019"/>
        <s v="27-11-2018"/>
        <s v="19-02-2017"/>
        <s v="12-11-2018"/>
        <s v="29-08-2021"/>
        <s v="08-05-2022"/>
        <s v="10-04-2015"/>
        <s v="24-11-2016"/>
        <s v="03-12-2018"/>
        <s v="29-11-2021"/>
        <s v="17-12-2019"/>
        <s v="27-12-2021"/>
        <s v="10-12-2019"/>
        <s v="03-07-2015"/>
        <s v="14-08-2017"/>
        <s v="28-03-2017"/>
        <s v="08-09-2022"/>
        <s v="12-03-2019"/>
        <s v="30-09-2016"/>
        <s v="03-03-2023"/>
        <s v="18-12-2015"/>
        <s v="12-08-2015"/>
        <s v="18-12-2021"/>
        <s v="27-08-2016"/>
        <s v="24-03-2018"/>
        <s v="26-02-2015"/>
        <s v="07-11-2018"/>
        <s v="12-10-2022"/>
        <s v="31-03-2016"/>
        <s v="03-06-2018"/>
        <s v="18-01-2020"/>
        <s v="13-04-2020"/>
        <s v="04-04-2015"/>
        <s v="21-09-2018"/>
        <s v="06-05-2017"/>
        <s v="12-01-2021"/>
        <s v="17-05-2017"/>
        <s v="14-04-2017"/>
        <s v="16-02-2021"/>
        <s v="25-11-2017"/>
        <s v="25-02-2021"/>
        <s v="01-06-2020"/>
        <s v="26-12-2021"/>
        <s v="09-03-2023"/>
        <s v="01-08-2016"/>
        <s v="18-10-2022"/>
        <s v="02-11-2022"/>
        <s v="30-06-2022"/>
        <s v="17-03-2015"/>
        <s v="23-03-2019"/>
        <s v="15-07-2021"/>
        <s v="28-06-2015"/>
        <s v="12-11-2017"/>
        <s v="28-11-2016"/>
        <s v="04-09-2015"/>
        <s v="02-04-2017"/>
        <s v="23-10-2022"/>
        <s v="06-08-2015"/>
        <s v="19-03-2020"/>
        <s v="05-05-2022"/>
        <s v="30-09-2015"/>
        <s v="28-05-2022"/>
        <s v="08-06-2022"/>
        <s v="27-05-2022"/>
        <s v="17-03-2016"/>
        <s v="20-03-2015"/>
        <s v="13-04-2018"/>
        <s v="13-04-2022"/>
        <s v="03-05-2019"/>
        <s v="09-04-2019"/>
        <s v="13-09-2020"/>
        <s v="16-12-2022"/>
        <s v="12-02-2016"/>
        <s v="16-07-2018"/>
        <s v="08-06-2020"/>
        <s v="27-12-2015"/>
        <s v="02-02-2017"/>
        <s v="12-08-2020"/>
        <s v="19-02-2020"/>
        <s v="28-12-2022"/>
        <s v="12-06-2015"/>
        <s v="08-12-2020"/>
        <s v="28-09-2018"/>
        <s v="31-05-2019"/>
        <s v="05-10-2016"/>
        <s v="21-11-2018"/>
        <s v="03-09-2022"/>
        <s v="12-12-2018"/>
        <s v="26-12-2018"/>
        <s v="23-05-2018"/>
        <s v="25-08-2017"/>
        <s v="15-08-2020"/>
        <s v="03-02-2018"/>
        <s v="11-09-2015"/>
        <s v="07-01-2022"/>
        <s v="05-05-2019"/>
        <s v="01-05-2015"/>
        <s v="23-03-2021"/>
        <s v="21-02-2018"/>
        <s v="12-07-2017"/>
        <s v="13-09-2016"/>
        <s v="31-10-2018"/>
        <s v="16-07-2016"/>
        <s v="26-12-2015"/>
        <s v="15-04-2019"/>
        <s v="02-11-2020"/>
        <s v="09-08-2022"/>
        <s v="06-01-2022"/>
        <s v="12-09-2022"/>
        <s v="20-07-2017"/>
        <s v="06-09-2019"/>
        <s v="11-09-2017"/>
        <s v="04-06-2021"/>
        <s v="17-09-2016"/>
        <s v="13-10-2019"/>
        <s v="03-07-2018"/>
        <s v="10-09-2018"/>
        <s v="14-01-2020"/>
        <s v="29-01-2021"/>
        <s v="23-06-2016"/>
        <s v="26-04-2017"/>
        <s v="26-04-2022"/>
        <s v="21-07-2016"/>
        <s v="07-07-2021"/>
        <s v="26-01-2021"/>
        <s v="02-09-2022"/>
        <s v="08-04-2017"/>
        <s v="19-07-2016"/>
        <s v="19-06-2018"/>
        <s v="21-09-2022"/>
        <s v="28-11-2022"/>
        <s v="15-11-2020"/>
        <s v="17-08-2016"/>
        <s v="11-05-2022"/>
        <s v="24-07-2018"/>
        <s v="05-10-2015"/>
        <s v="01-04-2021"/>
        <s v="23-12-2020"/>
        <s v="25-01-2023"/>
        <s v="29-04-2016"/>
        <s v="24-01-2017"/>
        <s v="19-08-2016"/>
        <s v="29-07-2018"/>
        <s v="12-08-2019"/>
        <s v="27-05-2018"/>
        <s v="26-01-2018"/>
        <s v="14-09-2016"/>
        <s v="13-03-2016"/>
        <s v="22-06-2016"/>
        <s v="26-01-2017"/>
        <s v="11-11-2021"/>
        <s v="02-12-2021"/>
        <s v="29-12-2017"/>
        <s v="11-05-2021"/>
        <s v="03-08-2017"/>
        <s v="09-08-2017"/>
        <s v="16-09-2022"/>
        <s v="17-04-2015"/>
        <s v="11-01-2019"/>
        <s v="22-11-2015"/>
        <s v="19-09-2022"/>
        <s v="06-05-2020"/>
        <s v="03-07-2016"/>
        <s v="12-10-2021"/>
        <s v="04-04-2020"/>
        <s v="26-12-2022"/>
        <s v="14-04-2022"/>
        <s v="24-04-2020"/>
        <s v="17-07-2016"/>
        <s v="01-11-2016"/>
        <s v="15-07-2017"/>
        <s v="13-05-2015"/>
        <s v="01-08-2019"/>
        <s v="10-01-2018"/>
        <s v="30-06-2017"/>
        <s v="12-07-2022"/>
        <s v="10-04-2017"/>
        <s v="17-04-2017"/>
        <s v="28-09-2015"/>
        <s v="05-12-2019"/>
        <s v="23-08-2018"/>
        <s v="18-02-2020"/>
        <s v="07-10-2017"/>
        <s v="18-10-2019"/>
        <s v="17-07-2019"/>
        <s v="21-06-2015"/>
        <s v="26-10-2021"/>
        <s v="08-04-2019"/>
        <s v="28-01-2023"/>
        <s v="05-07-2018"/>
        <s v="03-06-2019"/>
        <s v="09-11-2021"/>
        <s v="31-05-2021"/>
        <s v="21-11-2020"/>
        <s v="12-03-2022"/>
        <s v="24-11-2022"/>
        <s v="07-06-2015"/>
        <s v="23-03-2016"/>
        <s v="24-01-2020"/>
        <s v="15-02-2020"/>
        <s v="23-06-2015"/>
        <s v="03-10-2017"/>
        <s v="25-10-2020"/>
        <s v="09-06-2019"/>
        <s v="10-06-2015"/>
        <s v="03-04-2021"/>
        <s v="06-05-2019"/>
        <s v="15-10-2020"/>
        <s v="07-04-2018"/>
        <s v="06-12-2019"/>
        <s v="19-06-2019"/>
        <s v="01-06-2018"/>
        <s v="17-03-2018"/>
        <s v="04-03-2020"/>
        <s v="12-11-2016"/>
        <s v="27-09-2019"/>
        <s v="20-04-2018"/>
        <s v="27-09-2022"/>
        <s v="05-08-2016"/>
        <s v="13-03-2020"/>
        <s v="31-03-2022"/>
        <s v="25-01-2020"/>
        <s v="06-01-2016"/>
        <s v="07-02-2023"/>
        <s v="08-04-2016"/>
        <s v="06-01-2017"/>
        <s v="25-07-2021"/>
        <s v="22-10-2022"/>
        <s v="08-07-2016"/>
        <s v="30-05-2019"/>
        <s v="21-08-2019"/>
        <s v="21-01-2020"/>
        <s v="13-04-2015"/>
        <s v="02-02-2020"/>
        <s v="06-02-2020"/>
        <s v="20-08-2018"/>
        <s v="04-10-2022"/>
        <s v="24-12-2022"/>
        <s v="02-11-2016"/>
      </sharedItems>
    </cacheField>
    <cacheField name="EMI" numFmtId="8">
      <sharedItems containsSemiMixedTypes="0" containsString="0" containsNumber="1" minValue="539.83557351010381" maxValue="869950.26543243497"/>
    </cacheField>
    <cacheField name="TOTAL_x000a_ PAYMENT" numFmtId="8">
      <sharedItems containsSemiMixedTypes="0" containsString="0" containsNumber="1" minValue="56405.45783057552" maxValue="26177687.692802414"/>
    </cacheField>
    <cacheField name="CITY" numFmtId="0">
      <sharedItems count="38">
        <s v="Chandannagar"/>
        <s v="Arambagh"/>
        <s v="Bankura"/>
        <s v="Medinipur"/>
        <s v="Cooch Behar"/>
        <s v="Jalpaiguri"/>
        <s v="Krishnanagar"/>
        <s v="Bardhaman"/>
        <s v="Balurghat"/>
        <s v="Katwa"/>
        <s v="Kalyani"/>
        <s v="Bolpur"/>
        <s v="Serampore"/>
        <s v="Uluberia"/>
        <s v="Purulia"/>
        <s v="Tamluk"/>
        <s v="Haldia"/>
        <s v="Ranaghat"/>
        <s v="Bangaon"/>
        <s v="Basirhat"/>
        <s v="Bishnupur"/>
        <s v="Bongaon"/>
        <s v="Durgapur"/>
        <s v="Raiganj"/>
        <s v="Habra"/>
        <s v="Kolkata"/>
        <s v="Barasat"/>
        <s v="Asansol"/>
        <s v="Diamond Harbour"/>
        <s v="Kharagpur"/>
        <s v="Nabadwip"/>
        <s v="Suri"/>
        <s v="Baharampur"/>
        <s v="Howrah"/>
        <s v="Kalimpong"/>
        <s v="Malda"/>
        <s v="Darjeeling"/>
        <s v="Siliguri"/>
      </sharedItems>
    </cacheField>
    <cacheField name="CIBIL _x000a_SCORE" numFmtId="0">
      <sharedItems containsSemiMixedTypes="0" containsString="0" containsNumber="1" containsInteger="1" minValue="550" maxValue="899" count="329">
        <n v="588"/>
        <n v="747"/>
        <n v="683"/>
        <n v="616"/>
        <n v="728"/>
        <n v="591"/>
        <n v="564"/>
        <n v="660"/>
        <n v="706"/>
        <n v="838"/>
        <n v="780"/>
        <n v="587"/>
        <n v="646"/>
        <n v="803"/>
        <n v="745"/>
        <n v="635"/>
        <n v="871"/>
        <n v="559"/>
        <n v="554"/>
        <n v="672"/>
        <n v="879"/>
        <n v="667"/>
        <n v="843"/>
        <n v="708"/>
        <n v="852"/>
        <n v="777"/>
        <n v="765"/>
        <n v="733"/>
        <n v="685"/>
        <n v="810"/>
        <n v="596"/>
        <n v="873"/>
        <n v="881"/>
        <n v="722"/>
        <n v="679"/>
        <n v="644"/>
        <n v="664"/>
        <n v="792"/>
        <n v="841"/>
        <n v="831"/>
        <n v="848"/>
        <n v="832"/>
        <n v="618"/>
        <n v="697"/>
        <n v="560"/>
        <n v="749"/>
        <n v="572"/>
        <n v="895"/>
        <n v="851"/>
        <n v="767"/>
        <n v="690"/>
        <n v="653"/>
        <n v="759"/>
        <n v="865"/>
        <n v="720"/>
        <n v="682"/>
        <n v="842"/>
        <n v="877"/>
        <n v="676"/>
        <n v="655"/>
        <n v="641"/>
        <n v="836"/>
        <n v="600"/>
        <n v="578"/>
        <n v="845"/>
        <n v="846"/>
        <n v="763"/>
        <n v="816"/>
        <n v="806"/>
        <n v="650"/>
        <n v="659"/>
        <n v="731"/>
        <n v="862"/>
        <n v="550"/>
        <n v="868"/>
        <n v="604"/>
        <n v="698"/>
        <n v="858"/>
        <n v="686"/>
        <n v="751"/>
        <n v="666"/>
        <n v="703"/>
        <n v="840"/>
        <n v="612"/>
        <n v="793"/>
        <n v="574"/>
        <n v="639"/>
        <n v="624"/>
        <n v="896"/>
        <n v="566"/>
        <n v="677"/>
        <n v="800"/>
        <n v="701"/>
        <n v="729"/>
        <n v="893"/>
        <n v="710"/>
        <n v="726"/>
        <n v="834"/>
        <n v="699"/>
        <n v="705"/>
        <n v="598"/>
        <n v="886"/>
        <n v="633"/>
        <n v="891"/>
        <n v="738"/>
        <n v="876"/>
        <n v="773"/>
        <n v="764"/>
        <n v="760"/>
        <n v="867"/>
        <n v="581"/>
        <n v="707"/>
        <n v="854"/>
        <n v="835"/>
        <n v="693"/>
        <n v="568"/>
        <n v="567"/>
        <n v="627"/>
        <n v="724"/>
        <n v="743"/>
        <n v="662"/>
        <n v="663"/>
        <n v="771"/>
        <n v="715"/>
        <n v="681"/>
        <n v="813"/>
        <n v="680"/>
        <n v="837"/>
        <n v="815"/>
        <n v="711"/>
        <n v="636"/>
        <n v="727"/>
        <n v="898"/>
        <n v="557"/>
        <n v="870"/>
        <n v="796"/>
        <n v="872"/>
        <n v="804"/>
        <n v="603"/>
        <n v="798"/>
        <n v="788"/>
        <n v="778"/>
        <n v="645"/>
        <n v="637"/>
        <n v="669"/>
        <n v="714"/>
        <n v="772"/>
        <n v="860"/>
        <n v="556"/>
        <n v="812"/>
        <n v="700"/>
        <n v="634"/>
        <n v="696"/>
        <n v="661"/>
        <n v="585"/>
        <n v="737"/>
        <n v="631"/>
        <n v="551"/>
        <n v="746"/>
        <n v="783"/>
        <n v="744"/>
        <n v="668"/>
        <n v="569"/>
        <n v="805"/>
        <n v="775"/>
        <n v="602"/>
        <n v="829"/>
        <n v="630"/>
        <n v="608"/>
        <n v="758"/>
        <n v="563"/>
        <n v="558"/>
        <n v="589"/>
        <n v="786"/>
        <n v="830"/>
        <n v="750"/>
        <n v="795"/>
        <n v="827"/>
        <n v="784"/>
        <n v="553"/>
        <n v="658"/>
        <n v="647"/>
        <n v="875"/>
        <n v="695"/>
        <n v="890"/>
        <n v="590"/>
        <n v="583"/>
        <n v="702"/>
        <n v="625"/>
        <n v="576"/>
        <n v="768"/>
        <n v="717"/>
        <n v="817"/>
        <n v="739"/>
        <n v="671"/>
        <n v="595"/>
        <n v="613"/>
        <n v="859"/>
        <n v="742"/>
        <n v="856"/>
        <n v="730"/>
        <n v="713"/>
        <n v="736"/>
        <n v="844"/>
        <n v="781"/>
        <n v="776"/>
        <n v="861"/>
        <n v="799"/>
        <n v="622"/>
        <n v="678"/>
        <n v="766"/>
        <n v="610"/>
        <n v="657"/>
        <n v="721"/>
        <n v="651"/>
        <n v="561"/>
        <n v="824"/>
        <n v="593"/>
        <n v="606"/>
        <n v="629"/>
        <n v="888"/>
        <n v="638"/>
        <n v="692"/>
        <n v="575"/>
        <n v="565"/>
        <n v="748"/>
        <n v="819"/>
        <n v="884"/>
        <n v="725"/>
        <n v="864"/>
        <n v="652"/>
        <n v="822"/>
        <n v="850"/>
        <n v="732"/>
        <n v="719"/>
        <n v="818"/>
        <n v="823"/>
        <n v="794"/>
        <n v="785"/>
        <n v="734"/>
        <n v="821"/>
        <n v="889"/>
        <n v="614"/>
        <n v="552"/>
        <n v="691"/>
        <n v="689"/>
        <n v="611"/>
        <n v="882"/>
        <n v="601"/>
        <n v="809"/>
        <n v="621"/>
        <n v="656"/>
        <n v="790"/>
        <n v="808"/>
        <n v="811"/>
        <n v="648"/>
        <n v="887"/>
        <n v="694"/>
        <n v="709"/>
        <n v="878"/>
        <n v="617"/>
        <n v="654"/>
        <n v="673"/>
        <n v="586"/>
        <n v="833"/>
        <n v="735"/>
        <n v="605"/>
        <n v="885"/>
        <n v="853"/>
        <n v="718"/>
        <n v="594"/>
        <n v="894"/>
        <n v="740"/>
        <n v="704"/>
        <n v="863"/>
        <n v="580"/>
        <n v="807"/>
        <n v="755"/>
        <n v="626"/>
        <n v="562"/>
        <n v="782"/>
        <n v="712"/>
        <n v="623"/>
        <n v="609"/>
        <n v="791"/>
        <n v="741"/>
        <n v="571"/>
        <n v="855"/>
        <n v="753"/>
        <n v="582"/>
        <n v="628"/>
        <n v="607"/>
        <n v="820"/>
        <n v="570"/>
        <n v="869"/>
        <n v="757"/>
        <n v="642"/>
        <n v="723"/>
        <n v="599"/>
        <n v="573"/>
        <n v="754"/>
        <n v="826"/>
        <n v="774"/>
        <n v="665"/>
        <n v="866"/>
        <n v="897"/>
        <n v="787"/>
        <n v="770"/>
        <n v="849"/>
        <n v="584"/>
        <n v="756"/>
        <n v="899"/>
        <n v="762"/>
        <n v="769"/>
        <n v="615"/>
        <n v="674"/>
        <n v="649"/>
        <n v="789"/>
        <n v="847"/>
        <n v="883"/>
        <n v="874"/>
        <n v="577"/>
        <n v="825"/>
        <n v="670"/>
        <n v="675"/>
        <n v="857"/>
        <n v="839"/>
        <n v="828"/>
        <n v="880"/>
      </sharedItems>
    </cacheField>
    <cacheField name="STATUS" numFmtId="0">
      <sharedItems count="4">
        <s v="closed"/>
        <s v="active"/>
        <s v="defaulted"/>
        <s v="pending"/>
      </sharedItems>
    </cacheField>
  </cacheFields>
  <extLst>
    <ext xmlns:x14="http://schemas.microsoft.com/office/spreadsheetml/2009/9/main" uri="{725AE2AE-9491-48be-B2B4-4EB974FC3084}">
      <x14:pivotCacheDefinition pivotCacheId="2070194414"/>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Subhayan Mitra" refreshedDate="46171.062512268516" createdVersion="8" refreshedVersion="8" minRefreshableVersion="3" recordCount="1338" xr:uid="{7AC7BFBF-DF39-488B-995E-1924DBDB27B4}">
  <cacheSource type="worksheet">
    <worksheetSource ref="C16:J1048576" sheet="EMI &amp; Amortization"/>
  </cacheSource>
  <cacheFields count="8">
    <cacheField name="Installment _x000a_No." numFmtId="0">
      <sharedItems containsString="0" containsBlank="1" containsNumber="1" containsInteger="1" minValue="1" maxValue="12" count="13">
        <n v="1"/>
        <n v="2"/>
        <n v="3"/>
        <n v="4"/>
        <n v="5"/>
        <n v="6"/>
        <n v="7"/>
        <n v="8"/>
        <n v="9"/>
        <n v="10"/>
        <n v="11"/>
        <n v="12"/>
        <m/>
      </sharedItems>
    </cacheField>
    <cacheField name="Payment _x000a_Date" numFmtId="0">
      <sharedItems containsNonDate="0" containsDate="1" containsString="0" containsBlank="1" minDate="2016-08-04T00:00:00" maxDate="2036-07-05T00:00:00"/>
    </cacheField>
    <cacheField name="Opening _x000a_Balance" numFmtId="0">
      <sharedItems containsString="0" containsBlank="1" containsNumber="1" minValue="0" maxValue="1260000"/>
    </cacheField>
    <cacheField name="EMI" numFmtId="0">
      <sharedItems containsString="0" containsBlank="1" containsNumber="1" minValue="0" maxValue="110188.86073010108"/>
    </cacheField>
    <cacheField name="Interest (Monthly)" numFmtId="0">
      <sharedItems containsString="0" containsBlank="1" containsNumber="1" minValue="0" maxValue="9450"/>
    </cacheField>
    <cacheField name="Principal (Monthly)" numFmtId="0">
      <sharedItems containsString="0" containsBlank="1" containsNumber="1" minValue="0" maxValue="109368.59625816485"/>
    </cacheField>
    <cacheField name="Closing _x000a_Balance" numFmtId="0">
      <sharedItems containsString="0" containsBlank="1" containsNumber="1" minValue="0" maxValue="1159261.1392698991"/>
    </cacheField>
    <cacheField name="Cumulative _x000a_Interest" numFmtId="0">
      <sharedItems containsString="0" containsBlank="1" containsNumber="1" minValue="9450" maxValue="62266.328761212164"/>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00">
  <r>
    <x v="0"/>
    <s v="Rohit Mitra"/>
    <n v="59"/>
    <x v="0"/>
    <n v="1420000"/>
    <x v="0"/>
    <n v="12"/>
    <x v="0"/>
    <n v="126497.66504905233"/>
    <n v="1517971.980588628"/>
    <x v="0"/>
    <x v="0"/>
    <x v="0"/>
  </r>
  <r>
    <x v="1"/>
    <s v="Manoj Das"/>
    <n v="49"/>
    <x v="1"/>
    <n v="9200000"/>
    <x v="1"/>
    <n v="12"/>
    <x v="1"/>
    <n v="815258.495563459"/>
    <n v="9783101.9467615075"/>
    <x v="1"/>
    <x v="1"/>
    <x v="0"/>
  </r>
  <r>
    <x v="2"/>
    <s v="Nisha Singh"/>
    <n v="35"/>
    <x v="2"/>
    <n v="200000"/>
    <x v="1"/>
    <n v="240"/>
    <x v="2"/>
    <n v="2132.8592630257181"/>
    <n v="511886.22312617232"/>
    <x v="2"/>
    <x v="2"/>
    <x v="1"/>
  </r>
  <r>
    <x v="3"/>
    <s v="Anjali Mukherjee"/>
    <n v="63"/>
    <x v="3"/>
    <n v="320000"/>
    <x v="2"/>
    <n v="48"/>
    <x v="3"/>
    <n v="8426.8273382168845"/>
    <n v="404487.71223441046"/>
    <x v="3"/>
    <x v="3"/>
    <x v="1"/>
  </r>
  <r>
    <x v="4"/>
    <s v="Divya Gupta"/>
    <n v="28"/>
    <x v="4"/>
    <n v="4240000"/>
    <x v="3"/>
    <n v="84"/>
    <x v="4"/>
    <n v="67146.698253476541"/>
    <n v="5640322.6532920292"/>
    <x v="4"/>
    <x v="4"/>
    <x v="1"/>
  </r>
  <r>
    <x v="5"/>
    <s v="Sunil Reddy"/>
    <n v="41"/>
    <x v="5"/>
    <n v="420000"/>
    <x v="4"/>
    <n v="12"/>
    <x v="5"/>
    <n v="36827.074945079126"/>
    <n v="441924.89934094949"/>
    <x v="5"/>
    <x v="5"/>
    <x v="0"/>
  </r>
  <r>
    <x v="6"/>
    <s v="Priya Mitra"/>
    <n v="59"/>
    <x v="5"/>
    <n v="1250000"/>
    <x v="5"/>
    <n v="84"/>
    <x v="6"/>
    <n v="19482.768003336925"/>
    <n v="1636552.5122803017"/>
    <x v="6"/>
    <x v="6"/>
    <x v="1"/>
  </r>
  <r>
    <x v="7"/>
    <s v="Vikram Verma"/>
    <n v="39"/>
    <x v="0"/>
    <n v="480000"/>
    <x v="4"/>
    <n v="240"/>
    <x v="7"/>
    <n v="4474.229701600887"/>
    <n v="1073815.128384213"/>
    <x v="7"/>
    <x v="7"/>
    <x v="0"/>
  </r>
  <r>
    <x v="8"/>
    <s v="Nisha Kapoor"/>
    <n v="43"/>
    <x v="2"/>
    <n v="640000"/>
    <x v="5"/>
    <n v="48"/>
    <x v="8"/>
    <n v="15624.270298561589"/>
    <n v="749964.97433095623"/>
    <x v="8"/>
    <x v="8"/>
    <x v="0"/>
  </r>
  <r>
    <x v="9"/>
    <s v="Mamta Mitra"/>
    <n v="31"/>
    <x v="0"/>
    <n v="1070000"/>
    <x v="1"/>
    <n v="12"/>
    <x v="9"/>
    <n v="94818.107636184912"/>
    <n v="1137817.291634219"/>
    <x v="1"/>
    <x v="9"/>
    <x v="2"/>
  </r>
  <r>
    <x v="10"/>
    <s v="Mukesh Verma"/>
    <n v="31"/>
    <x v="5"/>
    <n v="1260000"/>
    <x v="6"/>
    <n v="12"/>
    <x v="10"/>
    <n v="110188.86073010099"/>
    <n v="1322266.3287612118"/>
    <x v="9"/>
    <x v="10"/>
    <x v="1"/>
  </r>
  <r>
    <x v="11"/>
    <s v="Divya Reddy"/>
    <n v="44"/>
    <x v="4"/>
    <n v="980000"/>
    <x v="3"/>
    <n v="48"/>
    <x v="11"/>
    <n v="24155.337291658994"/>
    <n v="1159456.1899996316"/>
    <x v="10"/>
    <x v="8"/>
    <x v="1"/>
  </r>
  <r>
    <x v="12"/>
    <s v="Nisha Mishra"/>
    <n v="56"/>
    <x v="4"/>
    <n v="4380000"/>
    <x v="1"/>
    <n v="48"/>
    <x v="12"/>
    <n v="114269.85900765535"/>
    <n v="5484953.2323674569"/>
    <x v="7"/>
    <x v="11"/>
    <x v="0"/>
  </r>
  <r>
    <x v="13"/>
    <s v="Sunil Rao"/>
    <n v="60"/>
    <x v="5"/>
    <n v="950000"/>
    <x v="7"/>
    <n v="84"/>
    <x v="13"/>
    <n v="15771.124825541612"/>
    <n v="1324774.4853454954"/>
    <x v="11"/>
    <x v="12"/>
    <x v="2"/>
  </r>
  <r>
    <x v="14"/>
    <s v="Subhayan Sen"/>
    <n v="44"/>
    <x v="1"/>
    <n v="1370000"/>
    <x v="8"/>
    <n v="60"/>
    <x v="14"/>
    <n v="29446.643518020919"/>
    <n v="1766798.6110812551"/>
    <x v="2"/>
    <x v="9"/>
    <x v="0"/>
  </r>
  <r>
    <x v="15"/>
    <s v="Meena Banerjee"/>
    <n v="23"/>
    <x v="0"/>
    <n v="1030000"/>
    <x v="2"/>
    <n v="36"/>
    <x v="15"/>
    <n v="34210.739107236725"/>
    <n v="1231586.6078605221"/>
    <x v="12"/>
    <x v="13"/>
    <x v="0"/>
  </r>
  <r>
    <x v="16"/>
    <s v="Ajay Mehta"/>
    <n v="42"/>
    <x v="1"/>
    <n v="5270000"/>
    <x v="0"/>
    <n v="24"/>
    <x v="16"/>
    <n v="249309.51440108244"/>
    <n v="5983428.3456259789"/>
    <x v="13"/>
    <x v="14"/>
    <x v="1"/>
  </r>
  <r>
    <x v="17"/>
    <s v="Manoj Singh"/>
    <n v="22"/>
    <x v="0"/>
    <n v="1910000"/>
    <x v="0"/>
    <n v="120"/>
    <x v="17"/>
    <n v="27957.848216544564"/>
    <n v="3354941.7859853478"/>
    <x v="14"/>
    <x v="15"/>
    <x v="2"/>
  </r>
  <r>
    <x v="18"/>
    <s v="Deepak Sen"/>
    <n v="44"/>
    <x v="4"/>
    <n v="530000"/>
    <x v="0"/>
    <n v="240"/>
    <x v="18"/>
    <n v="6021.5449134861574"/>
    <n v="1445170.7792366778"/>
    <x v="15"/>
    <x v="16"/>
    <x v="1"/>
  </r>
  <r>
    <x v="19"/>
    <s v="Anil Patel"/>
    <n v="64"/>
    <x v="1"/>
    <n v="4660000"/>
    <x v="0"/>
    <n v="60"/>
    <x v="19"/>
    <n v="104840.3921304378"/>
    <n v="6290423.5278262682"/>
    <x v="1"/>
    <x v="17"/>
    <x v="0"/>
  </r>
  <r>
    <x v="20"/>
    <s v="Vikram Bose"/>
    <n v="50"/>
    <x v="0"/>
    <n v="1410000"/>
    <x v="5"/>
    <n v="36"/>
    <x v="20"/>
    <n v="44184.275300617497"/>
    <n v="1590633.9108222299"/>
    <x v="14"/>
    <x v="18"/>
    <x v="1"/>
  </r>
  <r>
    <x v="21"/>
    <s v="Anjali Nair"/>
    <n v="58"/>
    <x v="2"/>
    <n v="180000"/>
    <x v="4"/>
    <n v="24"/>
    <x v="21"/>
    <n v="8264.6087380065565"/>
    <n v="198350.60971215734"/>
    <x v="16"/>
    <x v="19"/>
    <x v="1"/>
  </r>
  <r>
    <x v="22"/>
    <s v="Lata Yadav"/>
    <n v="22"/>
    <x v="6"/>
    <n v="290000"/>
    <x v="9"/>
    <n v="12"/>
    <x v="22"/>
    <n v="25902.009956407204"/>
    <n v="310824.11947688647"/>
    <x v="17"/>
    <x v="20"/>
    <x v="0"/>
  </r>
  <r>
    <x v="23"/>
    <s v="Sunita Roy"/>
    <n v="41"/>
    <x v="3"/>
    <n v="270000"/>
    <x v="8"/>
    <n v="60"/>
    <x v="23"/>
    <n v="5803.3531020917144"/>
    <n v="348201.18612550286"/>
    <x v="3"/>
    <x v="21"/>
    <x v="1"/>
  </r>
  <r>
    <x v="24"/>
    <s v="Priya Ghosh"/>
    <n v="53"/>
    <x v="5"/>
    <n v="1020000"/>
    <x v="9"/>
    <n v="60"/>
    <x v="24"/>
    <n v="23208.134505108505"/>
    <n v="1392488.0703065102"/>
    <x v="18"/>
    <x v="22"/>
    <x v="0"/>
  </r>
  <r>
    <x v="25"/>
    <s v="Rajesh Shah"/>
    <n v="32"/>
    <x v="0"/>
    <n v="1670000"/>
    <x v="6"/>
    <n v="180"/>
    <x v="25"/>
    <n v="16938.251955501808"/>
    <n v="3048885.3519903254"/>
    <x v="19"/>
    <x v="23"/>
    <x v="1"/>
  </r>
  <r>
    <x v="26"/>
    <s v="Rohit Menon"/>
    <n v="42"/>
    <x v="2"/>
    <n v="170000"/>
    <x v="10"/>
    <n v="240"/>
    <x v="26"/>
    <n v="1369.5084290380723"/>
    <n v="328682.02296913735"/>
    <x v="7"/>
    <x v="24"/>
    <x v="1"/>
  </r>
  <r>
    <x v="27"/>
    <s v="Usha Gupta"/>
    <n v="64"/>
    <x v="4"/>
    <n v="1010000"/>
    <x v="6"/>
    <n v="240"/>
    <x v="27"/>
    <n v="9087.232154086747"/>
    <n v="2180935.7169808191"/>
    <x v="9"/>
    <x v="25"/>
    <x v="1"/>
  </r>
  <r>
    <x v="28"/>
    <s v="Mukesh Joshi"/>
    <n v="45"/>
    <x v="6"/>
    <n v="340000"/>
    <x v="5"/>
    <n v="84"/>
    <x v="28"/>
    <n v="5299.3128969076442"/>
    <n v="445142.28334024211"/>
    <x v="7"/>
    <x v="26"/>
    <x v="0"/>
  </r>
  <r>
    <x v="29"/>
    <s v="Vikas Pillai"/>
    <n v="47"/>
    <x v="3"/>
    <n v="300000"/>
    <x v="8"/>
    <n v="120"/>
    <x v="29"/>
    <n v="4048.0499032664093"/>
    <n v="485765.98839196912"/>
    <x v="20"/>
    <x v="27"/>
    <x v="1"/>
  </r>
  <r>
    <x v="30"/>
    <s v="Ramesh Pandey"/>
    <n v="62"/>
    <x v="0"/>
    <n v="270000"/>
    <x v="5"/>
    <n v="36"/>
    <x v="30"/>
    <n v="8460.8186745863295"/>
    <n v="304589.47228510788"/>
    <x v="21"/>
    <x v="6"/>
    <x v="1"/>
  </r>
  <r>
    <x v="31"/>
    <s v="Kavya Banerjee"/>
    <n v="48"/>
    <x v="4"/>
    <n v="2910000"/>
    <x v="11"/>
    <n v="84"/>
    <x v="31"/>
    <n v="49826.29002555539"/>
    <n v="4185408.3621466528"/>
    <x v="0"/>
    <x v="8"/>
    <x v="2"/>
  </r>
  <r>
    <x v="32"/>
    <s v="Sneha Sharma"/>
    <n v="36"/>
    <x v="0"/>
    <n v="1060000"/>
    <x v="2"/>
    <n v="180"/>
    <x v="32"/>
    <n v="12721.781458170044"/>
    <n v="2289920.662470608"/>
    <x v="22"/>
    <x v="28"/>
    <x v="0"/>
  </r>
  <r>
    <x v="33"/>
    <s v="Nisha Sen"/>
    <n v="35"/>
    <x v="6"/>
    <n v="580000"/>
    <x v="2"/>
    <n v="84"/>
    <x v="33"/>
    <n v="10238.585022302816"/>
    <n v="860041.14187343651"/>
    <x v="23"/>
    <x v="29"/>
    <x v="1"/>
  </r>
  <r>
    <x v="34"/>
    <s v="Geeta Gupta"/>
    <n v="64"/>
    <x v="2"/>
    <n v="910000"/>
    <x v="10"/>
    <n v="48"/>
    <x v="34"/>
    <n v="22002.800763335421"/>
    <n v="1056134.4366401001"/>
    <x v="24"/>
    <x v="8"/>
    <x v="2"/>
  </r>
  <r>
    <x v="35"/>
    <s v="Nisha Bhat"/>
    <n v="23"/>
    <x v="6"/>
    <n v="480000"/>
    <x v="4"/>
    <n v="36"/>
    <x v="35"/>
    <n v="15375.81587557521"/>
    <n v="553529.37152070762"/>
    <x v="25"/>
    <x v="30"/>
    <x v="1"/>
  </r>
  <r>
    <x v="36"/>
    <s v="Anjali Bose"/>
    <n v="57"/>
    <x v="0"/>
    <n v="1810000"/>
    <x v="0"/>
    <n v="120"/>
    <x v="36"/>
    <n v="26494.086529814482"/>
    <n v="3179290.383577738"/>
    <x v="26"/>
    <x v="31"/>
    <x v="0"/>
  </r>
  <r>
    <x v="37"/>
    <s v="Manoj Mishra"/>
    <n v="27"/>
    <x v="1"/>
    <n v="8050000"/>
    <x v="9"/>
    <n v="12"/>
    <x v="37"/>
    <n v="719004.06947957922"/>
    <n v="8628048.8337549511"/>
    <x v="14"/>
    <x v="32"/>
    <x v="1"/>
  </r>
  <r>
    <x v="38"/>
    <s v="Ramesh Kumar"/>
    <n v="41"/>
    <x v="2"/>
    <n v="490000"/>
    <x v="0"/>
    <n v="48"/>
    <x v="38"/>
    <n v="13024.199456967881"/>
    <n v="625161.57393445831"/>
    <x v="15"/>
    <x v="33"/>
    <x v="1"/>
  </r>
  <r>
    <x v="39"/>
    <s v="Ramesh Nair"/>
    <n v="29"/>
    <x v="5"/>
    <n v="1100000"/>
    <x v="9"/>
    <n v="48"/>
    <x v="39"/>
    <n v="29510.245483141382"/>
    <n v="1416491.7831907864"/>
    <x v="10"/>
    <x v="34"/>
    <x v="1"/>
  </r>
  <r>
    <x v="40"/>
    <s v="Deepak Mukherjee"/>
    <n v="59"/>
    <x v="4"/>
    <n v="4260000"/>
    <x v="3"/>
    <n v="36"/>
    <x v="40"/>
    <n v="134477.70942435451"/>
    <n v="4841197.5392767629"/>
    <x v="7"/>
    <x v="35"/>
    <x v="0"/>
  </r>
  <r>
    <x v="41"/>
    <s v="Manoj Banerjee"/>
    <n v="38"/>
    <x v="1"/>
    <n v="7330000"/>
    <x v="5"/>
    <n v="48"/>
    <x v="41"/>
    <n v="178946.7207632132"/>
    <n v="8589442.5966342334"/>
    <x v="17"/>
    <x v="36"/>
    <x v="1"/>
  </r>
  <r>
    <x v="42"/>
    <s v="Sneha Yadav"/>
    <n v="24"/>
    <x v="0"/>
    <n v="990000"/>
    <x v="10"/>
    <n v="12"/>
    <x v="42"/>
    <n v="85889.842716553132"/>
    <n v="1030678.1125986376"/>
    <x v="9"/>
    <x v="37"/>
    <x v="0"/>
  </r>
  <r>
    <x v="43"/>
    <s v="Meena Shah"/>
    <n v="45"/>
    <x v="5"/>
    <n v="470000"/>
    <x v="9"/>
    <n v="240"/>
    <x v="43"/>
    <n v="5506.4058430080267"/>
    <n v="1321537.4023219263"/>
    <x v="2"/>
    <x v="38"/>
    <x v="0"/>
  </r>
  <r>
    <x v="44"/>
    <s v="Kiran Kumar"/>
    <n v="34"/>
    <x v="6"/>
    <n v="1630000"/>
    <x v="3"/>
    <n v="36"/>
    <x v="44"/>
    <n v="51455.086000398558"/>
    <n v="1852383.0960143481"/>
    <x v="17"/>
    <x v="39"/>
    <x v="0"/>
  </r>
  <r>
    <x v="45"/>
    <s v="Rajesh Bose"/>
    <n v="29"/>
    <x v="1"/>
    <n v="3230000"/>
    <x v="9"/>
    <n v="24"/>
    <x v="45"/>
    <n v="153560.08696069676"/>
    <n v="3685442.0870567225"/>
    <x v="27"/>
    <x v="40"/>
    <x v="0"/>
  </r>
  <r>
    <x v="46"/>
    <s v="Manoj Menon"/>
    <n v="46"/>
    <x v="0"/>
    <n v="1570000"/>
    <x v="10"/>
    <n v="84"/>
    <x v="46"/>
    <n v="24081.093089406324"/>
    <n v="2022811.8195101311"/>
    <x v="28"/>
    <x v="41"/>
    <x v="1"/>
  </r>
  <r>
    <x v="47"/>
    <s v="Mukesh Das"/>
    <n v="22"/>
    <x v="5"/>
    <n v="1030000"/>
    <x v="3"/>
    <n v="12"/>
    <x v="47"/>
    <n v="89836.375933895513"/>
    <n v="1078036.5112067461"/>
    <x v="6"/>
    <x v="42"/>
    <x v="1"/>
  </r>
  <r>
    <x v="48"/>
    <s v="Ritu Dutta"/>
    <n v="40"/>
    <x v="2"/>
    <n v="220000"/>
    <x v="11"/>
    <n v="120"/>
    <x v="48"/>
    <n v="3030.500248422295"/>
    <n v="363660.02981067542"/>
    <x v="14"/>
    <x v="43"/>
    <x v="0"/>
  </r>
  <r>
    <x v="49"/>
    <s v="Rahul Das"/>
    <n v="48"/>
    <x v="6"/>
    <n v="570000"/>
    <x v="7"/>
    <n v="60"/>
    <x v="49"/>
    <n v="12110.815485422916"/>
    <n v="726648.929125375"/>
    <x v="29"/>
    <x v="44"/>
    <x v="1"/>
  </r>
  <r>
    <x v="50"/>
    <s v="Priya Roy"/>
    <n v="27"/>
    <x v="5"/>
    <n v="1430000"/>
    <x v="1"/>
    <n v="240"/>
    <x v="50"/>
    <n v="15249.943730633884"/>
    <n v="3659986.4953521322"/>
    <x v="30"/>
    <x v="13"/>
    <x v="2"/>
  </r>
  <r>
    <x v="51"/>
    <s v="Ritu Bose"/>
    <n v="64"/>
    <x v="6"/>
    <n v="1020000"/>
    <x v="1"/>
    <n v="12"/>
    <x v="51"/>
    <n v="90387.354942905236"/>
    <n v="1084648.2593148628"/>
    <x v="3"/>
    <x v="20"/>
    <x v="0"/>
  </r>
  <r>
    <x v="52"/>
    <s v="Manoj Gupta"/>
    <n v="28"/>
    <x v="5"/>
    <n v="1410000"/>
    <x v="9"/>
    <n v="12"/>
    <x v="52"/>
    <n v="125937.35875356606"/>
    <n v="1511248.3050427928"/>
    <x v="31"/>
    <x v="11"/>
    <x v="0"/>
  </r>
  <r>
    <x v="53"/>
    <s v="Deepak Menon"/>
    <n v="55"/>
    <x v="4"/>
    <n v="1570000"/>
    <x v="4"/>
    <n v="24"/>
    <x v="53"/>
    <n v="72085.75399261275"/>
    <n v="1730058.0958227059"/>
    <x v="3"/>
    <x v="2"/>
    <x v="1"/>
  </r>
  <r>
    <x v="54"/>
    <s v="Preeti Pillai"/>
    <n v="34"/>
    <x v="2"/>
    <n v="860000"/>
    <x v="3"/>
    <n v="12"/>
    <x v="54"/>
    <n v="75009.012915679748"/>
    <n v="900108.15498815698"/>
    <x v="22"/>
    <x v="45"/>
    <x v="2"/>
  </r>
  <r>
    <x v="55"/>
    <s v="Ritu Verma"/>
    <n v="37"/>
    <x v="1"/>
    <n v="4740000"/>
    <x v="7"/>
    <n v="12"/>
    <x v="55"/>
    <n v="416721.30547024542"/>
    <n v="5000655.6656429451"/>
    <x v="32"/>
    <x v="46"/>
    <x v="1"/>
  </r>
  <r>
    <x v="56"/>
    <s v="Dinesh Bose"/>
    <n v="56"/>
    <x v="5"/>
    <n v="310000"/>
    <x v="3"/>
    <n v="24"/>
    <x v="56"/>
    <n v="14091.259213229672"/>
    <n v="338190.22111751215"/>
    <x v="33"/>
    <x v="24"/>
    <x v="1"/>
  </r>
  <r>
    <x v="57"/>
    <s v="Rajesh Singh"/>
    <n v="60"/>
    <x v="6"/>
    <n v="1790000"/>
    <x v="9"/>
    <n v="120"/>
    <x v="57"/>
    <n v="26726.622455923247"/>
    <n v="3207194.6947107897"/>
    <x v="29"/>
    <x v="47"/>
    <x v="1"/>
  </r>
  <r>
    <x v="58"/>
    <s v="Sunita Singh"/>
    <n v="24"/>
    <x v="2"/>
    <n v="120000"/>
    <x v="4"/>
    <n v="180"/>
    <x v="58"/>
    <n v="1253.0696194365437"/>
    <n v="225552.53149857785"/>
    <x v="20"/>
    <x v="48"/>
    <x v="0"/>
  </r>
  <r>
    <x v="59"/>
    <s v="Kiran Ghosh"/>
    <n v="22"/>
    <x v="1"/>
    <n v="6010000"/>
    <x v="9"/>
    <n v="120"/>
    <x v="59"/>
    <n v="89735.754726312138"/>
    <n v="10768290.567157457"/>
    <x v="12"/>
    <x v="49"/>
    <x v="0"/>
  </r>
  <r>
    <x v="60"/>
    <s v="Mukesh Shah"/>
    <n v="26"/>
    <x v="6"/>
    <n v="1170000"/>
    <x v="5"/>
    <n v="24"/>
    <x v="60"/>
    <n v="52915.931003735459"/>
    <n v="1269982.344089651"/>
    <x v="7"/>
    <x v="50"/>
    <x v="0"/>
  </r>
  <r>
    <x v="61"/>
    <s v="Sunita Ghosh"/>
    <n v="62"/>
    <x v="2"/>
    <n v="810000"/>
    <x v="10"/>
    <n v="240"/>
    <x v="61"/>
    <n v="6525.3048677696388"/>
    <n v="1566073.1682647134"/>
    <x v="26"/>
    <x v="51"/>
    <x v="0"/>
  </r>
  <r>
    <x v="62"/>
    <s v="Sunil Reddy"/>
    <n v="24"/>
    <x v="6"/>
    <n v="1710000"/>
    <x v="7"/>
    <n v="60"/>
    <x v="1"/>
    <n v="36332.446456268757"/>
    <n v="2179946.7873761253"/>
    <x v="7"/>
    <x v="52"/>
    <x v="0"/>
  </r>
  <r>
    <x v="63"/>
    <s v="Sunil Bose"/>
    <n v="49"/>
    <x v="0"/>
    <n v="1340000"/>
    <x v="8"/>
    <n v="180"/>
    <x v="62"/>
    <n v="14812.345577542079"/>
    <n v="2666222.203957574"/>
    <x v="16"/>
    <x v="7"/>
    <x v="1"/>
  </r>
  <r>
    <x v="64"/>
    <s v="Ramesh Das"/>
    <n v="38"/>
    <x v="3"/>
    <n v="270000"/>
    <x v="4"/>
    <n v="36"/>
    <x v="63"/>
    <n v="8648.8964300110565"/>
    <n v="311360.27148039802"/>
    <x v="34"/>
    <x v="51"/>
    <x v="1"/>
  </r>
  <r>
    <x v="65"/>
    <s v="Pooja Kapoor"/>
    <n v="46"/>
    <x v="3"/>
    <n v="330000"/>
    <x v="1"/>
    <n v="48"/>
    <x v="64"/>
    <n v="8609.3729389329383"/>
    <n v="413249.90106878104"/>
    <x v="25"/>
    <x v="53"/>
    <x v="0"/>
  </r>
  <r>
    <x v="66"/>
    <s v="Dinesh Gupta"/>
    <n v="64"/>
    <x v="2"/>
    <n v="500000"/>
    <x v="5"/>
    <n v="12"/>
    <x v="65"/>
    <n v="43494.214542710535"/>
    <n v="521930.57451252639"/>
    <x v="1"/>
    <x v="54"/>
    <x v="2"/>
  </r>
  <r>
    <x v="67"/>
    <s v="Rahul Bhat"/>
    <n v="54"/>
    <x v="0"/>
    <n v="1930000"/>
    <x v="4"/>
    <n v="60"/>
    <x v="66"/>
    <n v="40533.592327750928"/>
    <n v="2432015.5396650555"/>
    <x v="19"/>
    <x v="31"/>
    <x v="1"/>
  </r>
  <r>
    <x v="68"/>
    <s v="Rohit Singh"/>
    <n v="30"/>
    <x v="1"/>
    <n v="4850000"/>
    <x v="9"/>
    <n v="120"/>
    <x v="67"/>
    <n v="72415.708888954061"/>
    <n v="8689885.0666744877"/>
    <x v="6"/>
    <x v="55"/>
    <x v="1"/>
  </r>
  <r>
    <x v="69"/>
    <s v="Meena Roy"/>
    <n v="56"/>
    <x v="1"/>
    <n v="5150000"/>
    <x v="2"/>
    <n v="24"/>
    <x v="68"/>
    <n v="242428.38194981322"/>
    <n v="5818281.1667955173"/>
    <x v="9"/>
    <x v="56"/>
    <x v="1"/>
  </r>
  <r>
    <x v="70"/>
    <s v="Ajay Yadav"/>
    <n v="34"/>
    <x v="6"/>
    <n v="1170000"/>
    <x v="0"/>
    <n v="240"/>
    <x v="69"/>
    <n v="13292.844431658123"/>
    <n v="3190282.6635979493"/>
    <x v="0"/>
    <x v="57"/>
    <x v="1"/>
  </r>
  <r>
    <x v="71"/>
    <s v="Sneha Bose"/>
    <n v="51"/>
    <x v="2"/>
    <n v="460000"/>
    <x v="5"/>
    <n v="60"/>
    <x v="70"/>
    <n v="9327.1413726702922"/>
    <n v="559628.48236021749"/>
    <x v="2"/>
    <x v="58"/>
    <x v="1"/>
  </r>
  <r>
    <x v="72"/>
    <s v="Usha Yadav"/>
    <n v="35"/>
    <x v="0"/>
    <n v="530000"/>
    <x v="11"/>
    <n v="36"/>
    <x v="71"/>
    <n v="17351.520072011084"/>
    <n v="624654.72259239899"/>
    <x v="27"/>
    <x v="59"/>
    <x v="1"/>
  </r>
  <r>
    <x v="73"/>
    <s v="Rajesh Kapoor"/>
    <n v="28"/>
    <x v="5"/>
    <n v="880000"/>
    <x v="11"/>
    <n v="120"/>
    <x v="72"/>
    <n v="12122.00099368918"/>
    <n v="1454640.1192427017"/>
    <x v="14"/>
    <x v="60"/>
    <x v="0"/>
  </r>
  <r>
    <x v="74"/>
    <s v="Sunita Shah"/>
    <n v="34"/>
    <x v="3"/>
    <n v="150000"/>
    <x v="1"/>
    <n v="24"/>
    <x v="73"/>
    <n v="7026.0472948018987"/>
    <n v="168625.13507524558"/>
    <x v="30"/>
    <x v="61"/>
    <x v="1"/>
  </r>
  <r>
    <x v="75"/>
    <s v="Subhayan Mukherjee"/>
    <n v="43"/>
    <x v="0"/>
    <n v="1720000"/>
    <x v="7"/>
    <n v="240"/>
    <x v="74"/>
    <n v="16598.372295272933"/>
    <n v="3983609.3508655038"/>
    <x v="8"/>
    <x v="62"/>
    <x v="1"/>
  </r>
  <r>
    <x v="76"/>
    <s v="Rohit Mukherjee"/>
    <n v="60"/>
    <x v="1"/>
    <n v="2890000"/>
    <x v="10"/>
    <n v="24"/>
    <x v="75"/>
    <n v="130048.8227631949"/>
    <n v="3121171.7463166774"/>
    <x v="10"/>
    <x v="63"/>
    <x v="0"/>
  </r>
  <r>
    <x v="77"/>
    <s v="Divya Sen"/>
    <n v="41"/>
    <x v="0"/>
    <n v="270000"/>
    <x v="11"/>
    <n v="60"/>
    <x v="76"/>
    <n v="5870.4542296136933"/>
    <n v="352227.2537768216"/>
    <x v="0"/>
    <x v="64"/>
    <x v="1"/>
  </r>
  <r>
    <x v="78"/>
    <s v="Manoj Sen"/>
    <n v="36"/>
    <x v="3"/>
    <n v="470000"/>
    <x v="2"/>
    <n v="24"/>
    <x v="77"/>
    <n v="22124.53194493441"/>
    <n v="530988.76667842583"/>
    <x v="6"/>
    <x v="65"/>
    <x v="0"/>
  </r>
  <r>
    <x v="79"/>
    <s v="Anil Patel"/>
    <n v="38"/>
    <x v="5"/>
    <n v="1180000"/>
    <x v="3"/>
    <n v="24"/>
    <x v="78"/>
    <n v="53637.696360035523"/>
    <n v="1287304.7126408527"/>
    <x v="28"/>
    <x v="66"/>
    <x v="0"/>
  </r>
  <r>
    <x v="80"/>
    <s v="Geeta Reddy"/>
    <n v="44"/>
    <x v="5"/>
    <n v="330000"/>
    <x v="7"/>
    <n v="180"/>
    <x v="79"/>
    <n v="3546.1968884367834"/>
    <n v="638315.43991862098"/>
    <x v="20"/>
    <x v="67"/>
    <x v="0"/>
  </r>
  <r>
    <x v="81"/>
    <s v="Meena Mishra"/>
    <n v="46"/>
    <x v="4"/>
    <n v="2520000"/>
    <x v="3"/>
    <n v="48"/>
    <x v="80"/>
    <n v="62113.724464265986"/>
    <n v="2981458.7742847675"/>
    <x v="27"/>
    <x v="68"/>
    <x v="0"/>
  </r>
  <r>
    <x v="82"/>
    <s v="Subhayan Ghosh"/>
    <n v="45"/>
    <x v="6"/>
    <n v="630000"/>
    <x v="4"/>
    <n v="48"/>
    <x v="81"/>
    <n v="15827.576102689492"/>
    <n v="759723.65292909567"/>
    <x v="6"/>
    <x v="48"/>
    <x v="1"/>
  </r>
  <r>
    <x v="83"/>
    <s v="Sunita Kapoor"/>
    <n v="61"/>
    <x v="6"/>
    <n v="340000"/>
    <x v="5"/>
    <n v="60"/>
    <x v="82"/>
    <n v="6893.9740580606513"/>
    <n v="413638.4434836391"/>
    <x v="16"/>
    <x v="69"/>
    <x v="0"/>
  </r>
  <r>
    <x v="84"/>
    <s v="Arjun Kapoor"/>
    <n v="49"/>
    <x v="6"/>
    <n v="410000"/>
    <x v="2"/>
    <n v="240"/>
    <x v="83"/>
    <n v="4514.4531476354005"/>
    <n v="1083468.7554324961"/>
    <x v="12"/>
    <x v="47"/>
    <x v="0"/>
  </r>
  <r>
    <x v="85"/>
    <s v="Anjali Bhat"/>
    <n v="35"/>
    <x v="2"/>
    <n v="720000"/>
    <x v="0"/>
    <n v="48"/>
    <x v="84"/>
    <n v="19137.599202075253"/>
    <n v="918604.76169961214"/>
    <x v="32"/>
    <x v="70"/>
    <x v="3"/>
  </r>
  <r>
    <x v="86"/>
    <s v="Sanjay Dutta"/>
    <n v="21"/>
    <x v="1"/>
    <n v="1560000"/>
    <x v="9"/>
    <n v="84"/>
    <x v="85"/>
    <n v="28379.462824090049"/>
    <n v="2383874.8772235643"/>
    <x v="35"/>
    <x v="71"/>
    <x v="1"/>
  </r>
  <r>
    <x v="87"/>
    <s v="Shweta Yadav"/>
    <n v="45"/>
    <x v="0"/>
    <n v="1140000"/>
    <x v="5"/>
    <n v="120"/>
    <x v="86"/>
    <n v="13831.345756510689"/>
    <n v="1659761.4907812828"/>
    <x v="32"/>
    <x v="72"/>
    <x v="0"/>
  </r>
  <r>
    <x v="88"/>
    <s v="Kavya Singh"/>
    <n v="27"/>
    <x v="1"/>
    <n v="1820000"/>
    <x v="6"/>
    <n v="60"/>
    <x v="87"/>
    <n v="37780.206511964294"/>
    <n v="2266812.3907178575"/>
    <x v="16"/>
    <x v="73"/>
    <x v="2"/>
  </r>
  <r>
    <x v="89"/>
    <s v="Ramesh Sen"/>
    <n v="29"/>
    <x v="4"/>
    <n v="2550000"/>
    <x v="9"/>
    <n v="36"/>
    <x v="88"/>
    <n v="85919.577608394015"/>
    <n v="3093104.7939021843"/>
    <x v="36"/>
    <x v="74"/>
    <x v="3"/>
  </r>
  <r>
    <x v="90"/>
    <s v="Meena Shah"/>
    <n v="44"/>
    <x v="3"/>
    <n v="440000"/>
    <x v="1"/>
    <n v="12"/>
    <x v="89"/>
    <n v="38990.623700861084"/>
    <n v="467887.48441033298"/>
    <x v="3"/>
    <x v="75"/>
    <x v="1"/>
  </r>
  <r>
    <x v="91"/>
    <s v="Hemant Menon"/>
    <n v="21"/>
    <x v="4"/>
    <n v="870000"/>
    <x v="10"/>
    <n v="240"/>
    <x v="90"/>
    <n v="7008.6607839007229"/>
    <n v="1682078.5881361736"/>
    <x v="3"/>
    <x v="76"/>
    <x v="0"/>
  </r>
  <r>
    <x v="92"/>
    <s v="Subhayan Yadav"/>
    <n v="64"/>
    <x v="4"/>
    <n v="3870000"/>
    <x v="10"/>
    <n v="180"/>
    <x v="91"/>
    <n v="35875.378332105967"/>
    <n v="6457568.0997790741"/>
    <x v="12"/>
    <x v="77"/>
    <x v="1"/>
  </r>
  <r>
    <x v="93"/>
    <s v="Ritu Iyer"/>
    <n v="28"/>
    <x v="5"/>
    <n v="1220000"/>
    <x v="10"/>
    <n v="48"/>
    <x v="92"/>
    <n v="29498.260364032103"/>
    <n v="1415916.4974735409"/>
    <x v="16"/>
    <x v="78"/>
    <x v="0"/>
  </r>
  <r>
    <x v="94"/>
    <s v="Amit Patel"/>
    <n v="44"/>
    <x v="6"/>
    <n v="690000"/>
    <x v="6"/>
    <n v="180"/>
    <x v="93"/>
    <n v="6998.4394307163157"/>
    <n v="1259719.0975289368"/>
    <x v="14"/>
    <x v="79"/>
    <x v="3"/>
  </r>
  <r>
    <x v="95"/>
    <s v="Ramesh Pillai"/>
    <n v="31"/>
    <x v="0"/>
    <n v="1330000"/>
    <x v="10"/>
    <n v="84"/>
    <x v="94"/>
    <n v="20399.906884656313"/>
    <n v="1713592.1783111303"/>
    <x v="24"/>
    <x v="72"/>
    <x v="1"/>
  </r>
  <r>
    <x v="96"/>
    <s v="Sanjay Das"/>
    <n v="37"/>
    <x v="2"/>
    <n v="330000"/>
    <x v="11"/>
    <n v="48"/>
    <x v="95"/>
    <n v="8529.0224617794283"/>
    <n v="409393.07816541253"/>
    <x v="21"/>
    <x v="80"/>
    <x v="1"/>
  </r>
  <r>
    <x v="97"/>
    <s v="Rahul Das"/>
    <n v="28"/>
    <x v="1"/>
    <n v="1950000"/>
    <x v="7"/>
    <n v="12"/>
    <x v="96"/>
    <n v="171435.98009851869"/>
    <n v="2057231.7611822244"/>
    <x v="11"/>
    <x v="81"/>
    <x v="0"/>
  </r>
  <r>
    <x v="98"/>
    <s v="Preeti Gupta"/>
    <n v="55"/>
    <x v="2"/>
    <n v="250000"/>
    <x v="8"/>
    <n v="12"/>
    <x v="97"/>
    <n v="22037.150723561499"/>
    <n v="264445.80868273799"/>
    <x v="4"/>
    <x v="82"/>
    <x v="0"/>
  </r>
  <r>
    <x v="99"/>
    <s v="Vikram Ghosh"/>
    <n v="55"/>
    <x v="6"/>
    <n v="1260000"/>
    <x v="3"/>
    <n v="24"/>
    <x v="98"/>
    <n v="57274.150350546413"/>
    <n v="1374579.608413114"/>
    <x v="8"/>
    <x v="83"/>
    <x v="0"/>
  </r>
  <r>
    <x v="100"/>
    <s v="Dinesh Dutta"/>
    <n v="53"/>
    <x v="6"/>
    <n v="810000"/>
    <x v="3"/>
    <n v="24"/>
    <x v="99"/>
    <n v="36819.096653922694"/>
    <n v="883658.31969414465"/>
    <x v="32"/>
    <x v="84"/>
    <x v="1"/>
  </r>
  <r>
    <x v="101"/>
    <s v="Sneha Sen"/>
    <n v="25"/>
    <x v="1"/>
    <n v="4930000"/>
    <x v="10"/>
    <n v="180"/>
    <x v="100"/>
    <n v="45701.709348134995"/>
    <n v="8226307.6826642994"/>
    <x v="15"/>
    <x v="85"/>
    <x v="1"/>
  </r>
  <r>
    <x v="102"/>
    <s v="Divya Sen"/>
    <n v="62"/>
    <x v="5"/>
    <n v="970000"/>
    <x v="1"/>
    <n v="36"/>
    <x v="101"/>
    <n v="31986.726239840333"/>
    <n v="1151522.1446342519"/>
    <x v="3"/>
    <x v="86"/>
    <x v="0"/>
  </r>
  <r>
    <x v="103"/>
    <s v="Pooja Singh"/>
    <n v="59"/>
    <x v="3"/>
    <n v="350000"/>
    <x v="9"/>
    <n v="24"/>
    <x v="102"/>
    <n v="16639.637905957854"/>
    <n v="399351.30974298849"/>
    <x v="37"/>
    <x v="87"/>
    <x v="0"/>
  </r>
  <r>
    <x v="104"/>
    <s v="Pallavi Shah"/>
    <n v="61"/>
    <x v="0"/>
    <n v="1450000"/>
    <x v="9"/>
    <n v="240"/>
    <x v="103"/>
    <n v="16987.847813535402"/>
    <n v="4077083.4752484965"/>
    <x v="31"/>
    <x v="22"/>
    <x v="3"/>
  </r>
  <r>
    <x v="105"/>
    <s v="Meena Rao"/>
    <n v="48"/>
    <x v="4"/>
    <n v="3190000"/>
    <x v="0"/>
    <n v="24"/>
    <x v="104"/>
    <n v="150910.31327124345"/>
    <n v="3621847.5185098425"/>
    <x v="36"/>
    <x v="52"/>
    <x v="1"/>
  </r>
  <r>
    <x v="106"/>
    <s v="Hemant Bhat"/>
    <n v="27"/>
    <x v="5"/>
    <n v="800000"/>
    <x v="8"/>
    <n v="24"/>
    <x v="105"/>
    <n v="37100.833311497314"/>
    <n v="890419.99947593547"/>
    <x v="25"/>
    <x v="88"/>
    <x v="1"/>
  </r>
  <r>
    <x v="107"/>
    <s v="Mamta Reddy"/>
    <n v="29"/>
    <x v="6"/>
    <n v="830000"/>
    <x v="6"/>
    <n v="60"/>
    <x v="106"/>
    <n v="17229.434837873825"/>
    <n v="1033766.0902724295"/>
    <x v="13"/>
    <x v="89"/>
    <x v="0"/>
  </r>
  <r>
    <x v="108"/>
    <s v="Deepak Menon"/>
    <n v="28"/>
    <x v="6"/>
    <n v="500000"/>
    <x v="7"/>
    <n v="48"/>
    <x v="107"/>
    <n v="12681.291717373595"/>
    <n v="608702.00243393262"/>
    <x v="27"/>
    <x v="90"/>
    <x v="1"/>
  </r>
  <r>
    <x v="109"/>
    <s v="Divya Sen"/>
    <n v="32"/>
    <x v="0"/>
    <n v="1580000"/>
    <x v="6"/>
    <n v="180"/>
    <x v="108"/>
    <n v="16025.4120297562"/>
    <n v="2884574.1653561159"/>
    <x v="19"/>
    <x v="91"/>
    <x v="0"/>
  </r>
  <r>
    <x v="110"/>
    <s v="Kavya Banerjee"/>
    <n v="54"/>
    <x v="5"/>
    <n v="1390000"/>
    <x v="8"/>
    <n v="60"/>
    <x v="109"/>
    <n v="29876.52152558327"/>
    <n v="1792591.2915349961"/>
    <x v="14"/>
    <x v="4"/>
    <x v="0"/>
  </r>
  <r>
    <x v="111"/>
    <s v="Sanjay Bose"/>
    <n v="53"/>
    <x v="4"/>
    <n v="2350000"/>
    <x v="9"/>
    <n v="60"/>
    <x v="110"/>
    <n v="53469.721653926455"/>
    <n v="3208183.2992355875"/>
    <x v="1"/>
    <x v="71"/>
    <x v="3"/>
  </r>
  <r>
    <x v="112"/>
    <s v="Ramesh Mishra"/>
    <n v="43"/>
    <x v="4"/>
    <n v="3970000"/>
    <x v="7"/>
    <n v="180"/>
    <x v="111"/>
    <n v="42661.823173012213"/>
    <n v="7679128.1711421981"/>
    <x v="0"/>
    <x v="92"/>
    <x v="1"/>
  </r>
  <r>
    <x v="113"/>
    <s v="Hemant Mishra"/>
    <n v="44"/>
    <x v="6"/>
    <n v="830000"/>
    <x v="4"/>
    <n v="12"/>
    <x v="112"/>
    <n v="72777.314772418264"/>
    <n v="873327.77726901916"/>
    <x v="19"/>
    <x v="85"/>
    <x v="1"/>
  </r>
  <r>
    <x v="114"/>
    <s v="Rohit Das"/>
    <n v="57"/>
    <x v="3"/>
    <n v="190000"/>
    <x v="5"/>
    <n v="24"/>
    <x v="113"/>
    <n v="8593.18537667499"/>
    <n v="206236.44904019975"/>
    <x v="0"/>
    <x v="93"/>
    <x v="0"/>
  </r>
  <r>
    <x v="115"/>
    <s v="Nisha Gupta"/>
    <n v="55"/>
    <x v="4"/>
    <n v="1010000"/>
    <x v="2"/>
    <n v="36"/>
    <x v="114"/>
    <n v="33546.4529109797"/>
    <n v="1207672.3047952692"/>
    <x v="1"/>
    <x v="1"/>
    <x v="0"/>
  </r>
  <r>
    <x v="116"/>
    <s v="Anil Mitra"/>
    <n v="64"/>
    <x v="4"/>
    <n v="1970000"/>
    <x v="7"/>
    <n v="12"/>
    <x v="115"/>
    <n v="173194.2978431189"/>
    <n v="2078331.5741174268"/>
    <x v="12"/>
    <x v="94"/>
    <x v="1"/>
  </r>
  <r>
    <x v="117"/>
    <s v="Sunil Shah"/>
    <n v="60"/>
    <x v="1"/>
    <n v="8170000"/>
    <x v="5"/>
    <n v="60"/>
    <x v="108"/>
    <n v="165658.14133633976"/>
    <n v="9939488.4801803865"/>
    <x v="15"/>
    <x v="95"/>
    <x v="1"/>
  </r>
  <r>
    <x v="118"/>
    <s v="Nisha Pandey"/>
    <n v="42"/>
    <x v="3"/>
    <n v="340000"/>
    <x v="1"/>
    <n v="84"/>
    <x v="116"/>
    <n v="5911.3966788816451"/>
    <n v="496557.32102605817"/>
    <x v="10"/>
    <x v="96"/>
    <x v="1"/>
  </r>
  <r>
    <x v="119"/>
    <s v="Nisha Mitra"/>
    <n v="47"/>
    <x v="1"/>
    <n v="9320000"/>
    <x v="0"/>
    <n v="84"/>
    <x v="117"/>
    <n v="167025.9421332574"/>
    <n v="14030179.139193621"/>
    <x v="7"/>
    <x v="97"/>
    <x v="0"/>
  </r>
  <r>
    <x v="120"/>
    <s v="Sneha Banerjee"/>
    <n v="55"/>
    <x v="2"/>
    <n v="150000"/>
    <x v="10"/>
    <n v="120"/>
    <x v="118"/>
    <n v="1780.5265370378136"/>
    <n v="213663.18444453762"/>
    <x v="3"/>
    <x v="83"/>
    <x v="1"/>
  </r>
  <r>
    <x v="121"/>
    <s v="Rahul Das"/>
    <n v="21"/>
    <x v="5"/>
    <n v="1020000"/>
    <x v="3"/>
    <n v="24"/>
    <x v="119"/>
    <n v="46364.788379013757"/>
    <n v="1112754.92109633"/>
    <x v="22"/>
    <x v="98"/>
    <x v="0"/>
  </r>
  <r>
    <x v="122"/>
    <s v="Sneha Pillai"/>
    <n v="55"/>
    <x v="6"/>
    <n v="1550000"/>
    <x v="6"/>
    <n v="24"/>
    <x v="120"/>
    <n v="70811.350532718294"/>
    <n v="1699472.4127852391"/>
    <x v="15"/>
    <x v="81"/>
    <x v="1"/>
  </r>
  <r>
    <x v="123"/>
    <s v="Priya Bhat"/>
    <n v="57"/>
    <x v="4"/>
    <n v="3700000"/>
    <x v="1"/>
    <n v="12"/>
    <x v="121"/>
    <n v="327875.69930269552"/>
    <n v="3934508.3916323464"/>
    <x v="0"/>
    <x v="99"/>
    <x v="1"/>
  </r>
  <r>
    <x v="124"/>
    <s v="Anil Gupta"/>
    <n v="34"/>
    <x v="2"/>
    <n v="920000"/>
    <x v="10"/>
    <n v="12"/>
    <x v="122"/>
    <n v="79816.823534574636"/>
    <n v="957801.88241489558"/>
    <x v="30"/>
    <x v="100"/>
    <x v="0"/>
  </r>
  <r>
    <x v="125"/>
    <s v="Shweta Das"/>
    <n v="23"/>
    <x v="1"/>
    <n v="9800000"/>
    <x v="8"/>
    <n v="36"/>
    <x v="123"/>
    <n v="318523.94634593191"/>
    <n v="11466862.068453548"/>
    <x v="4"/>
    <x v="101"/>
    <x v="1"/>
  </r>
  <r>
    <x v="126"/>
    <s v="Manoj Mukherjee"/>
    <n v="21"/>
    <x v="4"/>
    <n v="3170000"/>
    <x v="5"/>
    <n v="36"/>
    <x v="124"/>
    <n v="99336.278512735793"/>
    <n v="3576106.0264584888"/>
    <x v="34"/>
    <x v="102"/>
    <x v="0"/>
  </r>
  <r>
    <x v="127"/>
    <s v="Dinesh Verma"/>
    <n v="25"/>
    <x v="5"/>
    <n v="1170000"/>
    <x v="11"/>
    <n v="84"/>
    <x v="125"/>
    <n v="20033.250628831549"/>
    <n v="1682793.0528218502"/>
    <x v="4"/>
    <x v="96"/>
    <x v="0"/>
  </r>
  <r>
    <x v="128"/>
    <s v="Divya Singh"/>
    <n v="46"/>
    <x v="1"/>
    <n v="7850000"/>
    <x v="4"/>
    <n v="84"/>
    <x v="126"/>
    <n v="128300.25619819261"/>
    <n v="10777221.52064818"/>
    <x v="34"/>
    <x v="43"/>
    <x v="1"/>
  </r>
  <r>
    <x v="129"/>
    <s v="Preeti Pandey"/>
    <n v="34"/>
    <x v="3"/>
    <n v="130000"/>
    <x v="4"/>
    <n v="180"/>
    <x v="127"/>
    <n v="1357.4920877229224"/>
    <n v="244348.57579012602"/>
    <x v="35"/>
    <x v="21"/>
    <x v="1"/>
  </r>
  <r>
    <x v="130"/>
    <s v="Pallavi Das"/>
    <n v="59"/>
    <x v="3"/>
    <n v="210000"/>
    <x v="7"/>
    <n v="60"/>
    <x v="128"/>
    <n v="4461.8793893663378"/>
    <n v="267712.76336198027"/>
    <x v="21"/>
    <x v="103"/>
    <x v="1"/>
  </r>
  <r>
    <x v="131"/>
    <s v="Pallavi Roy"/>
    <n v="47"/>
    <x v="6"/>
    <n v="990000"/>
    <x v="5"/>
    <n v="24"/>
    <x v="129"/>
    <n v="44775.01854162231"/>
    <n v="1074600.4449989353"/>
    <x v="14"/>
    <x v="83"/>
    <x v="1"/>
  </r>
  <r>
    <x v="132"/>
    <s v="Rekha Verma"/>
    <n v="29"/>
    <x v="4"/>
    <n v="2040000"/>
    <x v="1"/>
    <n v="84"/>
    <x v="130"/>
    <n v="35468.380073289867"/>
    <n v="2979343.926156349"/>
    <x v="5"/>
    <x v="104"/>
    <x v="0"/>
  </r>
  <r>
    <x v="133"/>
    <s v="Anjali Patel"/>
    <n v="35"/>
    <x v="2"/>
    <n v="890000"/>
    <x v="11"/>
    <n v="84"/>
    <x v="131"/>
    <n v="15238.968427059895"/>
    <n v="1280073.3478730312"/>
    <x v="1"/>
    <x v="100"/>
    <x v="2"/>
  </r>
  <r>
    <x v="134"/>
    <s v="Ajay Nair"/>
    <n v="35"/>
    <x v="6"/>
    <n v="1330000"/>
    <x v="10"/>
    <n v="36"/>
    <x v="132"/>
    <n v="41371.27015367306"/>
    <n v="1489365.7255322302"/>
    <x v="36"/>
    <x v="105"/>
    <x v="0"/>
  </r>
  <r>
    <x v="135"/>
    <s v="Ajay Reddy"/>
    <n v="46"/>
    <x v="4"/>
    <n v="4470000"/>
    <x v="7"/>
    <n v="24"/>
    <x v="133"/>
    <n v="206267.82072869877"/>
    <n v="4950427.6974887708"/>
    <x v="30"/>
    <x v="68"/>
    <x v="0"/>
  </r>
  <r>
    <x v="136"/>
    <s v="Rajesh Bhat"/>
    <n v="62"/>
    <x v="4"/>
    <n v="2520000"/>
    <x v="6"/>
    <n v="120"/>
    <x v="134"/>
    <n v="31922.294985062868"/>
    <n v="3830675.3982075443"/>
    <x v="7"/>
    <x v="106"/>
    <x v="1"/>
  </r>
  <r>
    <x v="137"/>
    <s v="Rahul Mukherjee"/>
    <n v="33"/>
    <x v="4"/>
    <n v="2390000"/>
    <x v="4"/>
    <n v="120"/>
    <x v="135"/>
    <n v="30926.016257025709"/>
    <n v="3711121.9508430851"/>
    <x v="30"/>
    <x v="50"/>
    <x v="0"/>
  </r>
  <r>
    <x v="138"/>
    <s v="Anjali Sharma"/>
    <n v="52"/>
    <x v="0"/>
    <n v="830000"/>
    <x v="2"/>
    <n v="180"/>
    <x v="136"/>
    <n v="9961.3949153595622"/>
    <n v="1793051.0847647211"/>
    <x v="12"/>
    <x v="107"/>
    <x v="2"/>
  </r>
  <r>
    <x v="139"/>
    <s v="Vinod Ghosh"/>
    <n v="59"/>
    <x v="4"/>
    <n v="1710000"/>
    <x v="4"/>
    <n v="60"/>
    <x v="137"/>
    <n v="35913.182839613524"/>
    <n v="2154790.9703768115"/>
    <x v="8"/>
    <x v="108"/>
    <x v="0"/>
  </r>
  <r>
    <x v="140"/>
    <s v="Anil Roy"/>
    <n v="52"/>
    <x v="4"/>
    <n v="4380000"/>
    <x v="9"/>
    <n v="120"/>
    <x v="138"/>
    <n v="65398.104110024484"/>
    <n v="7847772.4932029378"/>
    <x v="37"/>
    <x v="109"/>
    <x v="1"/>
  </r>
  <r>
    <x v="141"/>
    <s v="Anjali Das"/>
    <n v="24"/>
    <x v="6"/>
    <n v="320000"/>
    <x v="2"/>
    <n v="180"/>
    <x v="139"/>
    <n v="3840.5377986928438"/>
    <n v="691296.80376471183"/>
    <x v="31"/>
    <x v="110"/>
    <x v="0"/>
  </r>
  <r>
    <x v="142"/>
    <s v="Kavya Verma"/>
    <n v="50"/>
    <x v="5"/>
    <n v="1480000"/>
    <x v="6"/>
    <n v="120"/>
    <x v="140"/>
    <n v="18748.014515036924"/>
    <n v="2249761.7418044307"/>
    <x v="36"/>
    <x v="111"/>
    <x v="1"/>
  </r>
  <r>
    <x v="143"/>
    <s v="Divya Mishra"/>
    <n v="57"/>
    <x v="0"/>
    <n v="1070000"/>
    <x v="11"/>
    <n v="36"/>
    <x v="141"/>
    <n v="35030.427315192188"/>
    <n v="1261095.3833469187"/>
    <x v="21"/>
    <x v="97"/>
    <x v="0"/>
  </r>
  <r>
    <x v="144"/>
    <s v="Pooja Reddy"/>
    <n v="43"/>
    <x v="5"/>
    <n v="1170000"/>
    <x v="7"/>
    <n v="24"/>
    <x v="142"/>
    <n v="53989.563814894311"/>
    <n v="1295749.5315574636"/>
    <x v="20"/>
    <x v="112"/>
    <x v="0"/>
  </r>
  <r>
    <x v="145"/>
    <s v="Arjun Rao"/>
    <n v="59"/>
    <x v="6"/>
    <n v="1370000"/>
    <x v="2"/>
    <n v="36"/>
    <x v="143"/>
    <n v="45503.604443606127"/>
    <n v="1638129.7599698205"/>
    <x v="10"/>
    <x v="113"/>
    <x v="1"/>
  </r>
  <r>
    <x v="146"/>
    <s v="Rajesh Das"/>
    <n v="35"/>
    <x v="3"/>
    <n v="330000"/>
    <x v="11"/>
    <n v="12"/>
    <x v="113"/>
    <n v="29165.947312129334"/>
    <n v="349991.36774555198"/>
    <x v="6"/>
    <x v="114"/>
    <x v="0"/>
  </r>
  <r>
    <x v="147"/>
    <s v="Sneha Mishra"/>
    <n v="63"/>
    <x v="5"/>
    <n v="580000"/>
    <x v="6"/>
    <n v="36"/>
    <x v="90"/>
    <n v="18443.844942765598"/>
    <n v="663978.41793956154"/>
    <x v="8"/>
    <x v="115"/>
    <x v="1"/>
  </r>
  <r>
    <x v="148"/>
    <s v="Mukesh Patel"/>
    <n v="49"/>
    <x v="2"/>
    <n v="510000"/>
    <x v="9"/>
    <n v="24"/>
    <x v="144"/>
    <n v="24246.329520110015"/>
    <n v="581911.9084826404"/>
    <x v="26"/>
    <x v="116"/>
    <x v="0"/>
  </r>
  <r>
    <x v="149"/>
    <s v="Rahul Chatterjee"/>
    <n v="56"/>
    <x v="2"/>
    <n v="350000"/>
    <x v="1"/>
    <n v="120"/>
    <x v="145"/>
    <n v="4920.8405392643117"/>
    <n v="590500.86471171735"/>
    <x v="36"/>
    <x v="68"/>
    <x v="1"/>
  </r>
  <r>
    <x v="150"/>
    <s v="Divya Dutta"/>
    <n v="33"/>
    <x v="3"/>
    <n v="180000"/>
    <x v="6"/>
    <n v="180"/>
    <x v="146"/>
    <n v="1825.6798514912127"/>
    <n v="328622.37326841831"/>
    <x v="12"/>
    <x v="117"/>
    <x v="0"/>
  </r>
  <r>
    <x v="151"/>
    <s v="Subhayan Gupta"/>
    <n v="52"/>
    <x v="6"/>
    <n v="630000"/>
    <x v="3"/>
    <n v="180"/>
    <x v="147"/>
    <n v="6203.8592149312381"/>
    <n v="1116694.6586876228"/>
    <x v="29"/>
    <x v="118"/>
    <x v="0"/>
  </r>
  <r>
    <x v="152"/>
    <s v="Kiran Kumar"/>
    <n v="27"/>
    <x v="2"/>
    <n v="450000"/>
    <x v="10"/>
    <n v="36"/>
    <x v="148"/>
    <n v="13997.798172295395"/>
    <n v="503920.73420263425"/>
    <x v="36"/>
    <x v="119"/>
    <x v="2"/>
  </r>
  <r>
    <x v="153"/>
    <s v="Rekha Iyer"/>
    <n v="42"/>
    <x v="0"/>
    <n v="1560000"/>
    <x v="8"/>
    <n v="120"/>
    <x v="149"/>
    <n v="21049.859496985329"/>
    <n v="2525983.1396382395"/>
    <x v="1"/>
    <x v="120"/>
    <x v="1"/>
  </r>
  <r>
    <x v="154"/>
    <s v="Pallavi Verma"/>
    <n v="48"/>
    <x v="6"/>
    <n v="370000"/>
    <x v="10"/>
    <n v="84"/>
    <x v="150"/>
    <n v="5675.1620656562673"/>
    <n v="476713.61351512646"/>
    <x v="30"/>
    <x v="121"/>
    <x v="3"/>
  </r>
  <r>
    <x v="155"/>
    <s v="Vinod Pillai"/>
    <n v="22"/>
    <x v="2"/>
    <n v="570000"/>
    <x v="6"/>
    <n v="12"/>
    <x v="151"/>
    <n v="49847.341758855211"/>
    <n v="598168.10110626253"/>
    <x v="2"/>
    <x v="122"/>
    <x v="1"/>
  </r>
  <r>
    <x v="156"/>
    <s v="Rahul Kumar"/>
    <n v="62"/>
    <x v="1"/>
    <n v="7230000"/>
    <x v="1"/>
    <n v="36"/>
    <x v="152"/>
    <n v="238416.52650932537"/>
    <n v="8582994.9543357138"/>
    <x v="1"/>
    <x v="123"/>
    <x v="1"/>
  </r>
  <r>
    <x v="157"/>
    <s v="Usha Mitra"/>
    <n v="26"/>
    <x v="3"/>
    <n v="100000"/>
    <x v="7"/>
    <n v="180"/>
    <x v="153"/>
    <n v="1074.6051177081163"/>
    <n v="193428.92118746092"/>
    <x v="19"/>
    <x v="74"/>
    <x v="3"/>
  </r>
  <r>
    <x v="158"/>
    <s v="Usha Rao"/>
    <n v="48"/>
    <x v="3"/>
    <n v="330000"/>
    <x v="0"/>
    <n v="180"/>
    <x v="154"/>
    <n v="4067.322872228212"/>
    <n v="732118.11700107821"/>
    <x v="2"/>
    <x v="124"/>
    <x v="0"/>
  </r>
  <r>
    <x v="159"/>
    <s v="Rajesh Joshi"/>
    <n v="48"/>
    <x v="3"/>
    <n v="430000"/>
    <x v="9"/>
    <n v="24"/>
    <x v="155"/>
    <n v="20442.983713033937"/>
    <n v="490631.60911281448"/>
    <x v="28"/>
    <x v="125"/>
    <x v="0"/>
  </r>
  <r>
    <x v="160"/>
    <s v="Ajay Banerjee"/>
    <n v="64"/>
    <x v="6"/>
    <n v="1940000"/>
    <x v="10"/>
    <n v="120"/>
    <x v="156"/>
    <n v="23028.143212355717"/>
    <n v="2763377.1854826859"/>
    <x v="25"/>
    <x v="75"/>
    <x v="0"/>
  </r>
  <r>
    <x v="161"/>
    <s v="Mukesh Mukherjee"/>
    <n v="64"/>
    <x v="0"/>
    <n v="600000"/>
    <x v="7"/>
    <n v="180"/>
    <x v="157"/>
    <n v="6447.6307062486976"/>
    <n v="1160573.5271247656"/>
    <x v="28"/>
    <x v="126"/>
    <x v="1"/>
  </r>
  <r>
    <x v="162"/>
    <s v="Dinesh Singh"/>
    <n v="40"/>
    <x v="4"/>
    <n v="930000"/>
    <x v="10"/>
    <n v="12"/>
    <x v="158"/>
    <n v="80684.397703428709"/>
    <n v="968212.77244114457"/>
    <x v="36"/>
    <x v="127"/>
    <x v="0"/>
  </r>
  <r>
    <x v="163"/>
    <s v="Kavya Joshi"/>
    <n v="50"/>
    <x v="3"/>
    <n v="190000"/>
    <x v="0"/>
    <n v="24"/>
    <x v="159"/>
    <n v="8988.3885647449079"/>
    <n v="215721.3255538778"/>
    <x v="2"/>
    <x v="128"/>
    <x v="2"/>
  </r>
  <r>
    <x v="164"/>
    <s v="Deepak Sharma"/>
    <n v="31"/>
    <x v="0"/>
    <n v="990000"/>
    <x v="8"/>
    <n v="60"/>
    <x v="160"/>
    <n v="21278.961374336286"/>
    <n v="1276737.6824601772"/>
    <x v="29"/>
    <x v="129"/>
    <x v="0"/>
  </r>
  <r>
    <x v="165"/>
    <s v="Sunil Ghosh"/>
    <n v="48"/>
    <x v="2"/>
    <n v="810000"/>
    <x v="9"/>
    <n v="84"/>
    <x v="161"/>
    <n v="14735.490312508296"/>
    <n v="1237781.1862506969"/>
    <x v="8"/>
    <x v="130"/>
    <x v="0"/>
  </r>
  <r>
    <x v="166"/>
    <s v="Divya Sharma"/>
    <n v="45"/>
    <x v="1"/>
    <n v="1660000"/>
    <x v="9"/>
    <n v="12"/>
    <x v="162"/>
    <n v="148266.67768150329"/>
    <n v="1779200.1321780395"/>
    <x v="12"/>
    <x v="75"/>
    <x v="1"/>
  </r>
  <r>
    <x v="167"/>
    <s v="Ritu Sharma"/>
    <n v="59"/>
    <x v="6"/>
    <n v="350000"/>
    <x v="4"/>
    <n v="240"/>
    <x v="163"/>
    <n v="3262.4591574173132"/>
    <n v="782990.19778015523"/>
    <x v="4"/>
    <x v="127"/>
    <x v="1"/>
  </r>
  <r>
    <x v="168"/>
    <s v="Rahul Pandey"/>
    <n v="53"/>
    <x v="2"/>
    <n v="300000"/>
    <x v="5"/>
    <n v="48"/>
    <x v="164"/>
    <n v="7323.8767024507451"/>
    <n v="351546.08171763574"/>
    <x v="12"/>
    <x v="131"/>
    <x v="1"/>
  </r>
  <r>
    <x v="169"/>
    <s v="Pallavi Kapoor"/>
    <n v="21"/>
    <x v="4"/>
    <n v="2320000"/>
    <x v="6"/>
    <n v="84"/>
    <x v="165"/>
    <n v="37326.661563289432"/>
    <n v="3135439.5713163121"/>
    <x v="28"/>
    <x v="132"/>
    <x v="1"/>
  </r>
  <r>
    <x v="170"/>
    <s v="Hemant Kumar"/>
    <n v="47"/>
    <x v="2"/>
    <n v="600000"/>
    <x v="1"/>
    <n v="240"/>
    <x v="166"/>
    <n v="6398.5777890771542"/>
    <n v="1535658.669378517"/>
    <x v="0"/>
    <x v="133"/>
    <x v="1"/>
  </r>
  <r>
    <x v="171"/>
    <s v="Rahul Kapoor"/>
    <n v="33"/>
    <x v="0"/>
    <n v="640000"/>
    <x v="6"/>
    <n v="240"/>
    <x v="167"/>
    <n v="5758.2461174411073"/>
    <n v="1381979.0681858659"/>
    <x v="25"/>
    <x v="134"/>
    <x v="1"/>
  </r>
  <r>
    <x v="172"/>
    <s v="Vikram Bhat"/>
    <n v="61"/>
    <x v="3"/>
    <n v="220000"/>
    <x v="8"/>
    <n v="24"/>
    <x v="168"/>
    <n v="10202.729160661762"/>
    <n v="244865.49985588228"/>
    <x v="32"/>
    <x v="72"/>
    <x v="3"/>
  </r>
  <r>
    <x v="173"/>
    <s v="Arjun Gupta"/>
    <n v="23"/>
    <x v="1"/>
    <n v="6090000"/>
    <x v="11"/>
    <n v="120"/>
    <x v="34"/>
    <n v="83889.756876780797"/>
    <n v="10066770.825213695"/>
    <x v="31"/>
    <x v="135"/>
    <x v="1"/>
  </r>
  <r>
    <x v="174"/>
    <s v="Mamta Gupta"/>
    <n v="59"/>
    <x v="0"/>
    <n v="230000"/>
    <x v="10"/>
    <n v="48"/>
    <x v="169"/>
    <n v="5561.1474456781825"/>
    <n v="266935.07739255275"/>
    <x v="10"/>
    <x v="136"/>
    <x v="1"/>
  </r>
  <r>
    <x v="175"/>
    <s v="Kiran Bose"/>
    <n v="26"/>
    <x v="0"/>
    <n v="640000"/>
    <x v="3"/>
    <n v="180"/>
    <x v="170"/>
    <n v="6302.3331707237967"/>
    <n v="1134419.9707302833"/>
    <x v="2"/>
    <x v="137"/>
    <x v="1"/>
  </r>
  <r>
    <x v="176"/>
    <s v="Rohit Pillai"/>
    <n v="28"/>
    <x v="3"/>
    <n v="150000"/>
    <x v="9"/>
    <n v="84"/>
    <x v="171"/>
    <n v="2728.7945023163511"/>
    <n v="229218.7381945735"/>
    <x v="25"/>
    <x v="57"/>
    <x v="0"/>
  </r>
  <r>
    <x v="177"/>
    <s v="Preeti Das"/>
    <n v="47"/>
    <x v="5"/>
    <n v="550000"/>
    <x v="4"/>
    <n v="120"/>
    <x v="172"/>
    <n v="7116.8656658427362"/>
    <n v="854023.87990112836"/>
    <x v="9"/>
    <x v="138"/>
    <x v="0"/>
  </r>
  <r>
    <x v="178"/>
    <s v="Sunil Yadav"/>
    <n v="29"/>
    <x v="3"/>
    <n v="440000"/>
    <x v="5"/>
    <n v="36"/>
    <x v="173"/>
    <n v="13788.000803029574"/>
    <n v="496368.02890906465"/>
    <x v="34"/>
    <x v="139"/>
    <x v="2"/>
  </r>
  <r>
    <x v="179"/>
    <s v="Priya Yadav"/>
    <n v="57"/>
    <x v="5"/>
    <n v="1300000"/>
    <x v="10"/>
    <n v="240"/>
    <x v="174"/>
    <n v="10472.711516173495"/>
    <n v="2513450.7638816386"/>
    <x v="29"/>
    <x v="140"/>
    <x v="1"/>
  </r>
  <r>
    <x v="180"/>
    <s v="Vikram Reddy"/>
    <n v="53"/>
    <x v="3"/>
    <n v="180000"/>
    <x v="6"/>
    <n v="12"/>
    <x v="175"/>
    <n v="15741.265818585856"/>
    <n v="188895.18982303026"/>
    <x v="31"/>
    <x v="141"/>
    <x v="1"/>
  </r>
  <r>
    <x v="181"/>
    <s v="Sunil Pandey"/>
    <n v="62"/>
    <x v="1"/>
    <n v="4430000"/>
    <x v="1"/>
    <n v="12"/>
    <x v="176"/>
    <n v="392564.68862457864"/>
    <n v="4710776.2634949442"/>
    <x v="30"/>
    <x v="3"/>
    <x v="1"/>
  </r>
  <r>
    <x v="182"/>
    <s v="Hemant Mehta"/>
    <n v="64"/>
    <x v="0"/>
    <n v="1030000"/>
    <x v="8"/>
    <n v="36"/>
    <x v="177"/>
    <n v="33477.516809827539"/>
    <n v="1205190.6051537914"/>
    <x v="14"/>
    <x v="62"/>
    <x v="0"/>
  </r>
  <r>
    <x v="183"/>
    <s v="Sunita Verma"/>
    <n v="44"/>
    <x v="1"/>
    <n v="5020000"/>
    <x v="9"/>
    <n v="240"/>
    <x v="178"/>
    <n v="58813.10070617083"/>
    <n v="14115144.169481"/>
    <x v="8"/>
    <x v="12"/>
    <x v="1"/>
  </r>
  <r>
    <x v="184"/>
    <s v="Ritu Das"/>
    <n v="35"/>
    <x v="6"/>
    <n v="1360000"/>
    <x v="7"/>
    <n v="180"/>
    <x v="179"/>
    <n v="14614.62960083038"/>
    <n v="2630633.3281494682"/>
    <x v="12"/>
    <x v="60"/>
    <x v="2"/>
  </r>
  <r>
    <x v="185"/>
    <s v="Sunita Bose"/>
    <n v="52"/>
    <x v="3"/>
    <n v="220000"/>
    <x v="11"/>
    <n v="180"/>
    <x v="180"/>
    <n v="2500.5132560233956"/>
    <n v="450092.38608421118"/>
    <x v="17"/>
    <x v="125"/>
    <x v="0"/>
  </r>
  <r>
    <x v="186"/>
    <s v="Pooja Mukherjee"/>
    <n v="52"/>
    <x v="0"/>
    <n v="1830000"/>
    <x v="9"/>
    <n v="36"/>
    <x v="181"/>
    <n v="61659.932166023951"/>
    <n v="2219757.5579768624"/>
    <x v="24"/>
    <x v="82"/>
    <x v="0"/>
  </r>
  <r>
    <x v="187"/>
    <s v="Sanjay Mishra"/>
    <n v="44"/>
    <x v="5"/>
    <n v="890000"/>
    <x v="5"/>
    <n v="24"/>
    <x v="182"/>
    <n v="40252.2893960039"/>
    <n v="966054.94550409354"/>
    <x v="9"/>
    <x v="142"/>
    <x v="0"/>
  </r>
  <r>
    <x v="188"/>
    <s v="Ritu Menon"/>
    <n v="61"/>
    <x v="6"/>
    <n v="1000000"/>
    <x v="2"/>
    <n v="180"/>
    <x v="183"/>
    <n v="12001.680620915136"/>
    <n v="2160302.5117647247"/>
    <x v="36"/>
    <x v="143"/>
    <x v="1"/>
  </r>
  <r>
    <x v="189"/>
    <s v="Sneha Mitra"/>
    <n v="32"/>
    <x v="2"/>
    <n v="590000"/>
    <x v="5"/>
    <n v="84"/>
    <x v="184"/>
    <n v="9195.8664975750289"/>
    <n v="772452.78579630237"/>
    <x v="2"/>
    <x v="117"/>
    <x v="2"/>
  </r>
  <r>
    <x v="190"/>
    <s v="Rajesh Yadav"/>
    <n v="59"/>
    <x v="1"/>
    <n v="9950000"/>
    <x v="1"/>
    <n v="48"/>
    <x v="185"/>
    <n v="259585.63861328101"/>
    <n v="12460110.653437488"/>
    <x v="33"/>
    <x v="127"/>
    <x v="0"/>
  </r>
  <r>
    <x v="191"/>
    <s v="Preeti Patel"/>
    <n v="22"/>
    <x v="6"/>
    <n v="1560000"/>
    <x v="3"/>
    <n v="84"/>
    <x v="186"/>
    <n v="24704.917281939484"/>
    <n v="2075213.0516829167"/>
    <x v="35"/>
    <x v="144"/>
    <x v="2"/>
  </r>
  <r>
    <x v="192"/>
    <s v="Sneha Shah"/>
    <n v="23"/>
    <x v="0"/>
    <n v="950000"/>
    <x v="0"/>
    <n v="60"/>
    <x v="187"/>
    <n v="21373.041314145048"/>
    <n v="1282382.478848703"/>
    <x v="34"/>
    <x v="48"/>
    <x v="0"/>
  </r>
  <r>
    <x v="193"/>
    <s v="Deepak Kapoor"/>
    <n v="57"/>
    <x v="1"/>
    <n v="6170000"/>
    <x v="8"/>
    <n v="12"/>
    <x v="188"/>
    <n v="543876.87985749776"/>
    <n v="6526522.5582899731"/>
    <x v="37"/>
    <x v="145"/>
    <x v="1"/>
  </r>
  <r>
    <x v="194"/>
    <s v="Sunita Singh"/>
    <n v="37"/>
    <x v="6"/>
    <n v="750000"/>
    <x v="5"/>
    <n v="240"/>
    <x v="189"/>
    <n v="6273.3005174509708"/>
    <n v="1505592.1241882329"/>
    <x v="13"/>
    <x v="71"/>
    <x v="0"/>
  </r>
  <r>
    <x v="195"/>
    <s v="Lata Pillai"/>
    <n v="22"/>
    <x v="2"/>
    <n v="480000"/>
    <x v="2"/>
    <n v="48"/>
    <x v="190"/>
    <n v="12640.241007325329"/>
    <n v="606731.5683516158"/>
    <x v="22"/>
    <x v="146"/>
    <x v="1"/>
  </r>
  <r>
    <x v="196"/>
    <s v="Sneha Pillai"/>
    <n v="22"/>
    <x v="2"/>
    <n v="640000"/>
    <x v="2"/>
    <n v="240"/>
    <x v="191"/>
    <n v="7046.9512548455041"/>
    <n v="1691268.3011629209"/>
    <x v="27"/>
    <x v="147"/>
    <x v="0"/>
  </r>
  <r>
    <x v="197"/>
    <s v="Kiran Nair"/>
    <n v="48"/>
    <x v="4"/>
    <n v="4670000"/>
    <x v="10"/>
    <n v="120"/>
    <x v="192"/>
    <n v="55433.726186443921"/>
    <n v="6652047.1423732704"/>
    <x v="12"/>
    <x v="148"/>
    <x v="0"/>
  </r>
  <r>
    <x v="198"/>
    <s v="Geeta Kumar"/>
    <n v="43"/>
    <x v="5"/>
    <n v="1280000"/>
    <x v="8"/>
    <n v="120"/>
    <x v="42"/>
    <n v="17271.679587270013"/>
    <n v="2072601.5504724015"/>
    <x v="34"/>
    <x v="20"/>
    <x v="1"/>
  </r>
  <r>
    <x v="199"/>
    <s v="Neha Dutta"/>
    <n v="57"/>
    <x v="0"/>
    <n v="410000"/>
    <x v="0"/>
    <n v="48"/>
    <x v="193"/>
    <n v="10897.799545626187"/>
    <n v="523094.378190057"/>
    <x v="15"/>
    <x v="149"/>
    <x v="2"/>
  </r>
  <r>
    <x v="200"/>
    <s v="Divya Banerjee"/>
    <n v="52"/>
    <x v="4"/>
    <n v="4440000"/>
    <x v="3"/>
    <n v="24"/>
    <x v="194"/>
    <n v="201823.19647335401"/>
    <n v="4843756.7153604962"/>
    <x v="24"/>
    <x v="95"/>
    <x v="0"/>
  </r>
  <r>
    <x v="201"/>
    <s v="Sanjay Yadav"/>
    <n v="53"/>
    <x v="5"/>
    <n v="970000"/>
    <x v="6"/>
    <n v="180"/>
    <x v="195"/>
    <n v="9838.3858663693136"/>
    <n v="1770909.4559464764"/>
    <x v="13"/>
    <x v="150"/>
    <x v="0"/>
  </r>
  <r>
    <x v="202"/>
    <s v="Hemant Mitra"/>
    <n v="21"/>
    <x v="2"/>
    <n v="310000"/>
    <x v="4"/>
    <n v="180"/>
    <x v="196"/>
    <n v="3237.0965168777379"/>
    <n v="582677.37303799286"/>
    <x v="18"/>
    <x v="151"/>
    <x v="1"/>
  </r>
  <r>
    <x v="203"/>
    <s v="Mukesh Joshi"/>
    <n v="39"/>
    <x v="6"/>
    <n v="980000"/>
    <x v="4"/>
    <n v="180"/>
    <x v="197"/>
    <n v="10233.401892065107"/>
    <n v="1842012.3405717192"/>
    <x v="36"/>
    <x v="152"/>
    <x v="1"/>
  </r>
  <r>
    <x v="204"/>
    <s v="Anjali Pillai"/>
    <n v="22"/>
    <x v="0"/>
    <n v="860000"/>
    <x v="7"/>
    <n v="24"/>
    <x v="198"/>
    <n v="39684.63665026419"/>
    <n v="952431.27960634057"/>
    <x v="2"/>
    <x v="153"/>
    <x v="1"/>
  </r>
  <r>
    <x v="205"/>
    <s v="Pooja Rao"/>
    <n v="64"/>
    <x v="3"/>
    <n v="270000"/>
    <x v="8"/>
    <n v="180"/>
    <x v="199"/>
    <n v="2984.5770939823597"/>
    <n v="537223.87691682472"/>
    <x v="35"/>
    <x v="154"/>
    <x v="0"/>
  </r>
  <r>
    <x v="206"/>
    <s v="Rohit Pillai"/>
    <n v="46"/>
    <x v="1"/>
    <n v="1770000"/>
    <x v="9"/>
    <n v="180"/>
    <x v="124"/>
    <n v="22394.78636083761"/>
    <n v="4031061.5449507697"/>
    <x v="0"/>
    <x v="97"/>
    <x v="0"/>
  </r>
  <r>
    <x v="207"/>
    <s v="Anjali Ghosh"/>
    <n v="52"/>
    <x v="2"/>
    <n v="690000"/>
    <x v="9"/>
    <n v="84"/>
    <x v="200"/>
    <n v="12552.454710655215"/>
    <n v="1054406.195695038"/>
    <x v="0"/>
    <x v="155"/>
    <x v="1"/>
  </r>
  <r>
    <x v="208"/>
    <s v="Mukesh Singh"/>
    <n v="26"/>
    <x v="2"/>
    <n v="330000"/>
    <x v="7"/>
    <n v="24"/>
    <x v="201"/>
    <n v="15227.825691380447"/>
    <n v="365467.8165931307"/>
    <x v="3"/>
    <x v="156"/>
    <x v="0"/>
  </r>
  <r>
    <x v="209"/>
    <s v="Manoj Joshi"/>
    <n v="52"/>
    <x v="0"/>
    <n v="1750000"/>
    <x v="7"/>
    <n v="180"/>
    <x v="202"/>
    <n v="18805.589559892032"/>
    <n v="3385006.1207805658"/>
    <x v="8"/>
    <x v="157"/>
    <x v="1"/>
  </r>
  <r>
    <x v="210"/>
    <s v="Mamta Verma"/>
    <n v="24"/>
    <x v="0"/>
    <n v="510000"/>
    <x v="11"/>
    <n v="12"/>
    <x v="76"/>
    <n v="45074.645846018058"/>
    <n v="540895.75015221676"/>
    <x v="17"/>
    <x v="24"/>
    <x v="2"/>
  </r>
  <r>
    <x v="211"/>
    <s v="Anil Verma"/>
    <n v="31"/>
    <x v="6"/>
    <n v="230000"/>
    <x v="4"/>
    <n v="24"/>
    <x v="203"/>
    <n v="10560.333387452822"/>
    <n v="253448.00129886772"/>
    <x v="19"/>
    <x v="158"/>
    <x v="1"/>
  </r>
  <r>
    <x v="212"/>
    <s v="Sunita Kapoor"/>
    <n v="37"/>
    <x v="0"/>
    <n v="750000"/>
    <x v="6"/>
    <n v="120"/>
    <x v="204"/>
    <n v="9500.6830312687107"/>
    <n v="1140081.9637522453"/>
    <x v="6"/>
    <x v="44"/>
    <x v="1"/>
  </r>
  <r>
    <x v="213"/>
    <s v="Dinesh Rao"/>
    <n v="58"/>
    <x v="3"/>
    <n v="340000"/>
    <x v="5"/>
    <n v="120"/>
    <x v="205"/>
    <n v="4125.1382080821359"/>
    <n v="495016.58496985631"/>
    <x v="6"/>
    <x v="159"/>
    <x v="1"/>
  </r>
  <r>
    <x v="214"/>
    <s v="Rahul Gupta"/>
    <n v="44"/>
    <x v="2"/>
    <n v="710000"/>
    <x v="6"/>
    <n v="12"/>
    <x v="206"/>
    <n v="62090.548506644212"/>
    <n v="745086.58207973058"/>
    <x v="30"/>
    <x v="160"/>
    <x v="1"/>
  </r>
  <r>
    <x v="215"/>
    <s v="Ajay Dutta"/>
    <n v="25"/>
    <x v="2"/>
    <n v="710000"/>
    <x v="3"/>
    <n v="240"/>
    <x v="207"/>
    <n v="6161.5449568952909"/>
    <n v="1478770.7896548698"/>
    <x v="1"/>
    <x v="161"/>
    <x v="1"/>
  </r>
  <r>
    <x v="216"/>
    <s v="Manoj Sharma"/>
    <n v="54"/>
    <x v="6"/>
    <n v="1710000"/>
    <x v="2"/>
    <n v="240"/>
    <x v="208"/>
    <n v="18828.572884040328"/>
    <n v="4518857.4921696791"/>
    <x v="12"/>
    <x v="162"/>
    <x v="1"/>
  </r>
  <r>
    <x v="217"/>
    <s v="Subhayan Mehta"/>
    <n v="26"/>
    <x v="0"/>
    <n v="1080000"/>
    <x v="5"/>
    <n v="12"/>
    <x v="209"/>
    <n v="93947.503412254751"/>
    <n v="1127370.0409470571"/>
    <x v="24"/>
    <x v="29"/>
    <x v="1"/>
  </r>
  <r>
    <x v="218"/>
    <s v="Pooja Chatterjee"/>
    <n v="42"/>
    <x v="2"/>
    <n v="410000"/>
    <x v="3"/>
    <n v="24"/>
    <x v="210"/>
    <n v="18636.826701368278"/>
    <n v="447283.84083283867"/>
    <x v="3"/>
    <x v="56"/>
    <x v="1"/>
  </r>
  <r>
    <x v="219"/>
    <s v="Sunita Kumar"/>
    <n v="31"/>
    <x v="5"/>
    <n v="620000"/>
    <x v="5"/>
    <n v="60"/>
    <x v="211"/>
    <n v="12571.364458816483"/>
    <n v="754281.86752898898"/>
    <x v="15"/>
    <x v="163"/>
    <x v="1"/>
  </r>
  <r>
    <x v="220"/>
    <s v="Neha Shah"/>
    <n v="36"/>
    <x v="5"/>
    <n v="710000"/>
    <x v="3"/>
    <n v="240"/>
    <x v="212"/>
    <n v="6161.5449568952909"/>
    <n v="1478770.7896548698"/>
    <x v="8"/>
    <x v="122"/>
    <x v="0"/>
  </r>
  <r>
    <x v="221"/>
    <s v="Ajay Shah"/>
    <n v="53"/>
    <x v="3"/>
    <n v="220000"/>
    <x v="11"/>
    <n v="240"/>
    <x v="213"/>
    <n v="2270.8144632273247"/>
    <n v="544995.47117455793"/>
    <x v="14"/>
    <x v="164"/>
    <x v="0"/>
  </r>
  <r>
    <x v="222"/>
    <s v="Subhayan Patel"/>
    <n v="29"/>
    <x v="5"/>
    <n v="780000"/>
    <x v="11"/>
    <n v="48"/>
    <x v="214"/>
    <n v="20159.507636933195"/>
    <n v="967656.36657279334"/>
    <x v="23"/>
    <x v="165"/>
    <x v="1"/>
  </r>
  <r>
    <x v="223"/>
    <s v="Sneha Pillai"/>
    <n v="26"/>
    <x v="5"/>
    <n v="1100000"/>
    <x v="7"/>
    <n v="180"/>
    <x v="215"/>
    <n v="11820.656294789278"/>
    <n v="2127718.1330620702"/>
    <x v="17"/>
    <x v="103"/>
    <x v="1"/>
  </r>
  <r>
    <x v="224"/>
    <s v="Suresh Shah"/>
    <n v="36"/>
    <x v="2"/>
    <n v="700000"/>
    <x v="8"/>
    <n v="84"/>
    <x v="216"/>
    <n v="11802.471204103047"/>
    <n v="991407.58114465594"/>
    <x v="18"/>
    <x v="166"/>
    <x v="1"/>
  </r>
  <r>
    <x v="225"/>
    <s v="Priya Dutta"/>
    <n v="49"/>
    <x v="1"/>
    <n v="5120000"/>
    <x v="5"/>
    <n v="84"/>
    <x v="217"/>
    <n v="79801.417741668061"/>
    <n v="6703319.0903001167"/>
    <x v="1"/>
    <x v="167"/>
    <x v="1"/>
  </r>
  <r>
    <x v="226"/>
    <s v="Ramesh Pandey"/>
    <n v="23"/>
    <x v="5"/>
    <n v="1350000"/>
    <x v="1"/>
    <n v="12"/>
    <x v="218"/>
    <n v="119630.32271855105"/>
    <n v="1435563.8726226126"/>
    <x v="3"/>
    <x v="79"/>
    <x v="0"/>
  </r>
  <r>
    <x v="227"/>
    <s v="Mukesh Singh"/>
    <n v="40"/>
    <x v="3"/>
    <n v="340000"/>
    <x v="7"/>
    <n v="48"/>
    <x v="219"/>
    <n v="8623.278367814044"/>
    <n v="413917.36165507411"/>
    <x v="20"/>
    <x v="111"/>
    <x v="1"/>
  </r>
  <r>
    <x v="228"/>
    <s v="Ajay Singh"/>
    <n v="56"/>
    <x v="5"/>
    <n v="1010000"/>
    <x v="6"/>
    <n v="180"/>
    <x v="220"/>
    <n v="10244.092500034027"/>
    <n v="1843936.6500061247"/>
    <x v="18"/>
    <x v="144"/>
    <x v="1"/>
  </r>
  <r>
    <x v="229"/>
    <s v="Priya Joshi"/>
    <n v="39"/>
    <x v="2"/>
    <n v="370000"/>
    <x v="11"/>
    <n v="84"/>
    <x v="221"/>
    <n v="6335.3014809125407"/>
    <n v="532165.32439665345"/>
    <x v="20"/>
    <x v="168"/>
    <x v="1"/>
  </r>
  <r>
    <x v="230"/>
    <s v="Ramesh Pillai"/>
    <n v="46"/>
    <x v="0"/>
    <n v="1800000"/>
    <x v="4"/>
    <n v="240"/>
    <x v="222"/>
    <n v="16778.361381003328"/>
    <n v="4026806.7314407984"/>
    <x v="29"/>
    <x v="107"/>
    <x v="0"/>
  </r>
  <r>
    <x v="231"/>
    <s v="Priya Pillai"/>
    <n v="23"/>
    <x v="4"/>
    <n v="4600000"/>
    <x v="11"/>
    <n v="180"/>
    <x v="223"/>
    <n v="52283.458989580089"/>
    <n v="9411022.6181244161"/>
    <x v="37"/>
    <x v="90"/>
    <x v="1"/>
  </r>
  <r>
    <x v="232"/>
    <s v="Lata Verma"/>
    <n v="39"/>
    <x v="2"/>
    <n v="860000"/>
    <x v="4"/>
    <n v="84"/>
    <x v="224"/>
    <n v="14055.824245916641"/>
    <n v="1180689.2366569978"/>
    <x v="10"/>
    <x v="106"/>
    <x v="1"/>
  </r>
  <r>
    <x v="233"/>
    <s v="Kiran Mukherjee"/>
    <n v="40"/>
    <x v="0"/>
    <n v="1550000"/>
    <x v="5"/>
    <n v="180"/>
    <x v="225"/>
    <n v="14812.607307120448"/>
    <n v="2666269.3152816808"/>
    <x v="5"/>
    <x v="169"/>
    <x v="1"/>
  </r>
  <r>
    <x v="234"/>
    <s v="Anjali Nair"/>
    <n v="52"/>
    <x v="6"/>
    <n v="1750000"/>
    <x v="5"/>
    <n v="24"/>
    <x v="226"/>
    <n v="79147.760048322278"/>
    <n v="1899546.2411597348"/>
    <x v="17"/>
    <x v="36"/>
    <x v="1"/>
  </r>
  <r>
    <x v="235"/>
    <s v="Mukesh Pillai"/>
    <n v="27"/>
    <x v="3"/>
    <n v="310000"/>
    <x v="3"/>
    <n v="24"/>
    <x v="227"/>
    <n v="14091.259213229672"/>
    <n v="338190.22111751215"/>
    <x v="9"/>
    <x v="169"/>
    <x v="0"/>
  </r>
  <r>
    <x v="236"/>
    <s v="Rekha Yadav"/>
    <n v="61"/>
    <x v="5"/>
    <n v="1270000"/>
    <x v="0"/>
    <n v="48"/>
    <x v="228"/>
    <n v="33756.598592549402"/>
    <n v="1620316.7324423713"/>
    <x v="25"/>
    <x v="170"/>
    <x v="1"/>
  </r>
  <r>
    <x v="237"/>
    <s v="Suresh Menon"/>
    <n v="53"/>
    <x v="6"/>
    <n v="550000"/>
    <x v="4"/>
    <n v="12"/>
    <x v="229"/>
    <n v="48225.931475698846"/>
    <n v="578711.17770838621"/>
    <x v="32"/>
    <x v="171"/>
    <x v="1"/>
  </r>
  <r>
    <x v="238"/>
    <s v="Kiran Bhat"/>
    <n v="60"/>
    <x v="5"/>
    <n v="1040000"/>
    <x v="9"/>
    <n v="84"/>
    <x v="230"/>
    <n v="18919.641882726701"/>
    <n v="1589249.9181490429"/>
    <x v="19"/>
    <x v="172"/>
    <x v="1"/>
  </r>
  <r>
    <x v="239"/>
    <s v="Meena Roy"/>
    <n v="59"/>
    <x v="4"/>
    <n v="1920000"/>
    <x v="9"/>
    <n v="84"/>
    <x v="231"/>
    <n v="34928.569629649297"/>
    <n v="2933999.8488905411"/>
    <x v="11"/>
    <x v="173"/>
    <x v="1"/>
  </r>
  <r>
    <x v="240"/>
    <s v="Arjun Pillai"/>
    <n v="38"/>
    <x v="0"/>
    <n v="490000"/>
    <x v="2"/>
    <n v="60"/>
    <x v="232"/>
    <n v="10899.779365601868"/>
    <n v="653986.76193611207"/>
    <x v="37"/>
    <x v="174"/>
    <x v="0"/>
  </r>
  <r>
    <x v="241"/>
    <s v="Rekha Mitra"/>
    <n v="60"/>
    <x v="1"/>
    <n v="9190000"/>
    <x v="10"/>
    <n v="240"/>
    <x v="233"/>
    <n v="74034.014487411085"/>
    <n v="17768163.47697866"/>
    <x v="19"/>
    <x v="175"/>
    <x v="0"/>
  </r>
  <r>
    <x v="242"/>
    <s v="Arjun Ghosh"/>
    <n v="21"/>
    <x v="4"/>
    <n v="2040000"/>
    <x v="6"/>
    <n v="240"/>
    <x v="234"/>
    <n v="18354.409499343528"/>
    <n v="4405058.2798424466"/>
    <x v="25"/>
    <x v="176"/>
    <x v="0"/>
  </r>
  <r>
    <x v="243"/>
    <s v="Anil Roy"/>
    <n v="31"/>
    <x v="2"/>
    <n v="670000"/>
    <x v="7"/>
    <n v="84"/>
    <x v="178"/>
    <n v="11122.793298013559"/>
    <n v="934314.63703313901"/>
    <x v="18"/>
    <x v="177"/>
    <x v="0"/>
  </r>
  <r>
    <x v="244"/>
    <s v="Rekha Roy"/>
    <n v="48"/>
    <x v="2"/>
    <n v="770000"/>
    <x v="3"/>
    <n v="24"/>
    <x v="235"/>
    <n v="35000.869658667252"/>
    <n v="840020.87180801411"/>
    <x v="10"/>
    <x v="178"/>
    <x v="0"/>
  </r>
  <r>
    <x v="245"/>
    <s v="Kiran Rao"/>
    <n v="45"/>
    <x v="6"/>
    <n v="320000"/>
    <x v="5"/>
    <n v="12"/>
    <x v="236"/>
    <n v="27836.297307334738"/>
    <n v="334035.56768801686"/>
    <x v="23"/>
    <x v="179"/>
    <x v="1"/>
  </r>
  <r>
    <x v="246"/>
    <s v="Meena Roy"/>
    <n v="43"/>
    <x v="6"/>
    <n v="1300000"/>
    <x v="9"/>
    <n v="36"/>
    <x v="237"/>
    <n v="43802.137604279305"/>
    <n v="1576876.9537540551"/>
    <x v="25"/>
    <x v="81"/>
    <x v="0"/>
  </r>
  <r>
    <x v="247"/>
    <s v="Anjali Bose"/>
    <n v="51"/>
    <x v="2"/>
    <n v="140000"/>
    <x v="6"/>
    <n v="180"/>
    <x v="238"/>
    <n v="1419.9732178264987"/>
    <n v="255595.17920876978"/>
    <x v="13"/>
    <x v="63"/>
    <x v="0"/>
  </r>
  <r>
    <x v="248"/>
    <s v="Priya Bhat"/>
    <n v="50"/>
    <x v="3"/>
    <n v="490000"/>
    <x v="7"/>
    <n v="36"/>
    <x v="239"/>
    <n v="15810.921724980368"/>
    <n v="569193.18209929322"/>
    <x v="21"/>
    <x v="180"/>
    <x v="0"/>
  </r>
  <r>
    <x v="249"/>
    <s v="Pallavi Das"/>
    <n v="62"/>
    <x v="2"/>
    <n v="990000"/>
    <x v="8"/>
    <n v="120"/>
    <x v="99"/>
    <n v="13358.564680779151"/>
    <n v="1603027.7616934981"/>
    <x v="12"/>
    <x v="181"/>
    <x v="0"/>
  </r>
  <r>
    <x v="250"/>
    <s v="Kavya Dutta"/>
    <n v="55"/>
    <x v="2"/>
    <n v="180000"/>
    <x v="1"/>
    <n v="24"/>
    <x v="240"/>
    <n v="8431.2567537622799"/>
    <n v="202350.1620902947"/>
    <x v="8"/>
    <x v="107"/>
    <x v="3"/>
  </r>
  <r>
    <x v="251"/>
    <s v="Rajesh Nair"/>
    <n v="27"/>
    <x v="5"/>
    <n v="400000"/>
    <x v="10"/>
    <n v="60"/>
    <x v="241"/>
    <n v="8015.1794382495054"/>
    <n v="480910.76629497035"/>
    <x v="29"/>
    <x v="56"/>
    <x v="0"/>
  </r>
  <r>
    <x v="252"/>
    <s v="Sanjay Dutta"/>
    <n v="36"/>
    <x v="4"/>
    <n v="550000"/>
    <x v="0"/>
    <n v="48"/>
    <x v="242"/>
    <n v="14618.999390474153"/>
    <n v="701711.97074275929"/>
    <x v="6"/>
    <x v="87"/>
    <x v="1"/>
  </r>
  <r>
    <x v="253"/>
    <s v="Nisha Das"/>
    <n v="46"/>
    <x v="3"/>
    <n v="270000"/>
    <x v="4"/>
    <n v="48"/>
    <x v="243"/>
    <n v="6783.24690115264"/>
    <n v="325595.85125532671"/>
    <x v="13"/>
    <x v="182"/>
    <x v="1"/>
  </r>
  <r>
    <x v="254"/>
    <s v="Amit Mukherjee"/>
    <n v="22"/>
    <x v="5"/>
    <n v="590000"/>
    <x v="4"/>
    <n v="24"/>
    <x v="244"/>
    <n v="27089.550863465935"/>
    <n v="650149.22072318243"/>
    <x v="27"/>
    <x v="183"/>
    <x v="0"/>
  </r>
  <r>
    <x v="255"/>
    <s v="Kavya Bose"/>
    <n v="21"/>
    <x v="1"/>
    <n v="4880000"/>
    <x v="3"/>
    <n v="120"/>
    <x v="245"/>
    <n v="60505.016170761432"/>
    <n v="7260601.9404913718"/>
    <x v="0"/>
    <x v="90"/>
    <x v="2"/>
  </r>
  <r>
    <x v="256"/>
    <s v="Anil Rao"/>
    <n v="32"/>
    <x v="3"/>
    <n v="90000"/>
    <x v="10"/>
    <n v="48"/>
    <x v="246"/>
    <n v="2176.1011743958106"/>
    <n v="104452.85637099891"/>
    <x v="22"/>
    <x v="184"/>
    <x v="1"/>
  </r>
  <r>
    <x v="257"/>
    <s v="Sneha Sen"/>
    <n v="25"/>
    <x v="5"/>
    <n v="620000"/>
    <x v="8"/>
    <n v="180"/>
    <x v="247"/>
    <n v="6853.4733269224544"/>
    <n v="1233625.1988460417"/>
    <x v="27"/>
    <x v="5"/>
    <x v="1"/>
  </r>
  <r>
    <x v="258"/>
    <s v="Manoj Nair"/>
    <n v="57"/>
    <x v="2"/>
    <n v="110000"/>
    <x v="11"/>
    <n v="48"/>
    <x v="248"/>
    <n v="2843.0074872598097"/>
    <n v="136464.35938847088"/>
    <x v="19"/>
    <x v="185"/>
    <x v="0"/>
  </r>
  <r>
    <x v="259"/>
    <s v="Shweta Bose"/>
    <n v="52"/>
    <x v="5"/>
    <n v="760000"/>
    <x v="1"/>
    <n v="84"/>
    <x v="249"/>
    <n v="13213.710223382503"/>
    <n v="1109951.6587641302"/>
    <x v="31"/>
    <x v="186"/>
    <x v="0"/>
  </r>
  <r>
    <x v="260"/>
    <s v="Divya Mehta"/>
    <n v="29"/>
    <x v="6"/>
    <n v="1260000"/>
    <x v="9"/>
    <n v="24"/>
    <x v="250"/>
    <n v="59902.696461448271"/>
    <n v="1437664.7150747585"/>
    <x v="4"/>
    <x v="89"/>
    <x v="1"/>
  </r>
  <r>
    <x v="261"/>
    <s v="Amit Patel"/>
    <n v="61"/>
    <x v="3"/>
    <n v="290000"/>
    <x v="1"/>
    <n v="120"/>
    <x v="251"/>
    <n v="4077.2678753904288"/>
    <n v="489272.14504685148"/>
    <x v="24"/>
    <x v="145"/>
    <x v="1"/>
  </r>
  <r>
    <x v="262"/>
    <s v="Sunita Kumar"/>
    <n v="55"/>
    <x v="0"/>
    <n v="980000"/>
    <x v="6"/>
    <n v="12"/>
    <x v="252"/>
    <n v="85702.447234523002"/>
    <n v="1028429.366814276"/>
    <x v="36"/>
    <x v="187"/>
    <x v="1"/>
  </r>
  <r>
    <x v="263"/>
    <s v="Sunil Rao"/>
    <n v="39"/>
    <x v="2"/>
    <n v="160000"/>
    <x v="5"/>
    <n v="24"/>
    <x v="253"/>
    <n v="7236.3666329894641"/>
    <n v="173672.79919174715"/>
    <x v="29"/>
    <x v="188"/>
    <x v="2"/>
  </r>
  <r>
    <x v="264"/>
    <s v="Priya Patel"/>
    <n v="36"/>
    <x v="4"/>
    <n v="4550000"/>
    <x v="11"/>
    <n v="180"/>
    <x v="254"/>
    <n v="51715.160522302045"/>
    <n v="9308728.8940143678"/>
    <x v="30"/>
    <x v="130"/>
    <x v="0"/>
  </r>
  <r>
    <x v="265"/>
    <s v="Mamta Reddy"/>
    <n v="23"/>
    <x v="5"/>
    <n v="1320000"/>
    <x v="5"/>
    <n v="180"/>
    <x v="64"/>
    <n v="12614.607513160639"/>
    <n v="2270629.352368915"/>
    <x v="27"/>
    <x v="80"/>
    <x v="2"/>
  </r>
  <r>
    <x v="266"/>
    <s v="Lata Ghosh"/>
    <n v="40"/>
    <x v="2"/>
    <n v="120000"/>
    <x v="3"/>
    <n v="240"/>
    <x v="255"/>
    <n v="1041.3878800386408"/>
    <n v="249933.09120927379"/>
    <x v="12"/>
    <x v="103"/>
    <x v="1"/>
  </r>
  <r>
    <x v="267"/>
    <s v="Ritu Reddy"/>
    <n v="44"/>
    <x v="3"/>
    <n v="50000"/>
    <x v="5"/>
    <n v="36"/>
    <x v="256"/>
    <n v="1566.8182730715423"/>
    <n v="56405.45783057552"/>
    <x v="4"/>
    <x v="189"/>
    <x v="0"/>
  </r>
  <r>
    <x v="268"/>
    <s v="Mamta Kapoor"/>
    <n v="53"/>
    <x v="0"/>
    <n v="1320000"/>
    <x v="10"/>
    <n v="180"/>
    <x v="257"/>
    <n v="12236.563152036144"/>
    <n v="2202581.3673665058"/>
    <x v="2"/>
    <x v="72"/>
    <x v="0"/>
  </r>
  <r>
    <x v="269"/>
    <s v="Rohit Bose"/>
    <n v="44"/>
    <x v="6"/>
    <n v="1360000"/>
    <x v="10"/>
    <n v="12"/>
    <x v="258"/>
    <n v="117990.08696415382"/>
    <n v="1415881.0435698458"/>
    <x v="32"/>
    <x v="61"/>
    <x v="0"/>
  </r>
  <r>
    <x v="270"/>
    <s v="Preeti Verma"/>
    <n v="31"/>
    <x v="6"/>
    <n v="1060000"/>
    <x v="6"/>
    <n v="240"/>
    <x v="259"/>
    <n v="9537.0951320118329"/>
    <n v="2288902.8316828399"/>
    <x v="11"/>
    <x v="2"/>
    <x v="2"/>
  </r>
  <r>
    <x v="271"/>
    <s v="Sunita Sharma"/>
    <n v="28"/>
    <x v="3"/>
    <n v="60000"/>
    <x v="3"/>
    <n v="12"/>
    <x v="260"/>
    <n v="5233.1869476055635"/>
    <n v="62798.243371266763"/>
    <x v="29"/>
    <x v="190"/>
    <x v="1"/>
  </r>
  <r>
    <x v="272"/>
    <s v="Ajay Mitra"/>
    <n v="56"/>
    <x v="3"/>
    <n v="60000"/>
    <x v="6"/>
    <n v="240"/>
    <x v="261"/>
    <n v="539.83557351010381"/>
    <n v="129560.53764242491"/>
    <x v="23"/>
    <x v="191"/>
    <x v="1"/>
  </r>
  <r>
    <x v="273"/>
    <s v="Hemant Menon"/>
    <n v="58"/>
    <x v="5"/>
    <n v="1410000"/>
    <x v="8"/>
    <n v="120"/>
    <x v="262"/>
    <n v="19025.834545352125"/>
    <n v="2283100.1454422548"/>
    <x v="23"/>
    <x v="181"/>
    <x v="1"/>
  </r>
  <r>
    <x v="274"/>
    <s v="Divya Mukherjee"/>
    <n v="60"/>
    <x v="2"/>
    <n v="860000"/>
    <x v="7"/>
    <n v="180"/>
    <x v="75"/>
    <n v="9241.6040122897975"/>
    <n v="1663488.7222121635"/>
    <x v="15"/>
    <x v="192"/>
    <x v="1"/>
  </r>
  <r>
    <x v="275"/>
    <s v="Kavya Nair"/>
    <n v="40"/>
    <x v="4"/>
    <n v="2800000"/>
    <x v="0"/>
    <n v="240"/>
    <x v="263"/>
    <n v="31811.935392002342"/>
    <n v="7634864.4940805621"/>
    <x v="37"/>
    <x v="173"/>
    <x v="1"/>
  </r>
  <r>
    <x v="276"/>
    <s v="Ajay Gupta"/>
    <n v="55"/>
    <x v="0"/>
    <n v="1320000"/>
    <x v="0"/>
    <n v="36"/>
    <x v="264"/>
    <n v="44158.785761265812"/>
    <n v="1589716.2874055691"/>
    <x v="24"/>
    <x v="77"/>
    <x v="1"/>
  </r>
  <r>
    <x v="277"/>
    <s v="Anil Yadav"/>
    <n v="45"/>
    <x v="3"/>
    <n v="200000"/>
    <x v="0"/>
    <n v="36"/>
    <x v="265"/>
    <n v="6690.7251153433044"/>
    <n v="240866.10415235895"/>
    <x v="2"/>
    <x v="33"/>
    <x v="0"/>
  </r>
  <r>
    <x v="278"/>
    <s v="Ritu Mukherjee"/>
    <n v="55"/>
    <x v="3"/>
    <n v="60000"/>
    <x v="5"/>
    <n v="36"/>
    <x v="266"/>
    <n v="1880.181927685851"/>
    <n v="67686.549396690636"/>
    <x v="24"/>
    <x v="193"/>
    <x v="0"/>
  </r>
  <r>
    <x v="279"/>
    <s v="Rohit Ghosh"/>
    <n v="45"/>
    <x v="1"/>
    <n v="9430000"/>
    <x v="2"/>
    <n v="24"/>
    <x v="267"/>
    <n v="443902.84306538611"/>
    <n v="10653668.233569266"/>
    <x v="3"/>
    <x v="194"/>
    <x v="1"/>
  </r>
  <r>
    <x v="280"/>
    <s v="Sanjay Kapoor"/>
    <n v="49"/>
    <x v="6"/>
    <n v="1910000"/>
    <x v="2"/>
    <n v="120"/>
    <x v="268"/>
    <n v="27402.951144894185"/>
    <n v="3288354.1373873022"/>
    <x v="28"/>
    <x v="195"/>
    <x v="1"/>
  </r>
  <r>
    <x v="281"/>
    <s v="Sanjay Mukherjee"/>
    <n v="38"/>
    <x v="1"/>
    <n v="8220000"/>
    <x v="4"/>
    <n v="84"/>
    <x v="269"/>
    <n v="134347.529420273"/>
    <n v="11285192.471302932"/>
    <x v="10"/>
    <x v="196"/>
    <x v="0"/>
  </r>
  <r>
    <x v="282"/>
    <s v="Rekha Mehta"/>
    <n v="38"/>
    <x v="0"/>
    <n v="1890000"/>
    <x v="5"/>
    <n v="240"/>
    <x v="270"/>
    <n v="15808.717303976449"/>
    <n v="3794092.1529543479"/>
    <x v="7"/>
    <x v="34"/>
    <x v="0"/>
  </r>
  <r>
    <x v="283"/>
    <s v="Vinod Banerjee"/>
    <n v="22"/>
    <x v="4"/>
    <n v="2000000"/>
    <x v="10"/>
    <n v="120"/>
    <x v="271"/>
    <n v="23740.353827170846"/>
    <n v="2848842.4592605014"/>
    <x v="32"/>
    <x v="197"/>
    <x v="1"/>
  </r>
  <r>
    <x v="284"/>
    <s v="Geeta Shah"/>
    <n v="55"/>
    <x v="3"/>
    <n v="110000"/>
    <x v="5"/>
    <n v="120"/>
    <x v="272"/>
    <n v="1334.6035379089262"/>
    <n v="160152.42454907115"/>
    <x v="6"/>
    <x v="198"/>
    <x v="0"/>
  </r>
  <r>
    <x v="285"/>
    <s v="Pooja Verma"/>
    <n v="36"/>
    <x v="0"/>
    <n v="400000"/>
    <x v="6"/>
    <n v="48"/>
    <x v="273"/>
    <n v="9954.0169495736845"/>
    <n v="477792.81357953686"/>
    <x v="6"/>
    <x v="199"/>
    <x v="0"/>
  </r>
  <r>
    <x v="286"/>
    <s v="Rekha Mukherjee"/>
    <n v="61"/>
    <x v="5"/>
    <n v="1400000"/>
    <x v="0"/>
    <n v="60"/>
    <x v="274"/>
    <n v="31497.113515582176"/>
    <n v="1889826.8109349306"/>
    <x v="16"/>
    <x v="200"/>
    <x v="0"/>
  </r>
  <r>
    <x v="287"/>
    <s v="Usha Mukherjee"/>
    <n v="56"/>
    <x v="6"/>
    <n v="510000"/>
    <x v="11"/>
    <n v="120"/>
    <x v="275"/>
    <n v="7025.2505758880479"/>
    <n v="843030.06910656579"/>
    <x v="10"/>
    <x v="38"/>
    <x v="1"/>
  </r>
  <r>
    <x v="288"/>
    <s v="Arjun Yadav"/>
    <n v="53"/>
    <x v="1"/>
    <n v="5040000"/>
    <x v="3"/>
    <n v="84"/>
    <x v="276"/>
    <n v="79815.886603189108"/>
    <n v="6704534.4746678853"/>
    <x v="7"/>
    <x v="39"/>
    <x v="1"/>
  </r>
  <r>
    <x v="289"/>
    <s v="Preeti Joshi"/>
    <n v="24"/>
    <x v="6"/>
    <n v="600000"/>
    <x v="5"/>
    <n v="60"/>
    <x v="277"/>
    <n v="12165.836573048209"/>
    <n v="729950.19438289257"/>
    <x v="22"/>
    <x v="63"/>
    <x v="0"/>
  </r>
  <r>
    <x v="290"/>
    <s v="Vinod Shah"/>
    <n v="53"/>
    <x v="1"/>
    <n v="9830000"/>
    <x v="7"/>
    <n v="180"/>
    <x v="278"/>
    <n v="105633.68307070782"/>
    <n v="19014062.952727407"/>
    <x v="31"/>
    <x v="76"/>
    <x v="0"/>
  </r>
  <r>
    <x v="291"/>
    <s v="Subhayan Joshi"/>
    <n v="34"/>
    <x v="0"/>
    <n v="730000"/>
    <x v="5"/>
    <n v="36"/>
    <x v="279"/>
    <n v="22875.546786844519"/>
    <n v="823519.68432640273"/>
    <x v="1"/>
    <x v="67"/>
    <x v="3"/>
  </r>
  <r>
    <x v="292"/>
    <s v="Geeta Verma"/>
    <n v="41"/>
    <x v="3"/>
    <n v="480000"/>
    <x v="10"/>
    <n v="36"/>
    <x v="280"/>
    <n v="14930.984717115089"/>
    <n v="537515.44981614314"/>
    <x v="29"/>
    <x v="64"/>
    <x v="1"/>
  </r>
  <r>
    <x v="293"/>
    <s v="Ajay Roy"/>
    <n v="40"/>
    <x v="2"/>
    <n v="470000"/>
    <x v="11"/>
    <n v="120"/>
    <x v="281"/>
    <n v="6474.2505307203573"/>
    <n v="776910.06368644291"/>
    <x v="28"/>
    <x v="44"/>
    <x v="1"/>
  </r>
  <r>
    <x v="294"/>
    <s v="Sunil Yadav"/>
    <n v="28"/>
    <x v="2"/>
    <n v="380000"/>
    <x v="10"/>
    <n v="240"/>
    <x v="282"/>
    <n v="3061.2541354968675"/>
    <n v="734700.99251924816"/>
    <x v="4"/>
    <x v="201"/>
    <x v="0"/>
  </r>
  <r>
    <x v="295"/>
    <s v="Ritu Mishra"/>
    <n v="27"/>
    <x v="5"/>
    <n v="1130000"/>
    <x v="3"/>
    <n v="60"/>
    <x v="283"/>
    <n v="23183.680399567915"/>
    <n v="1391020.8239740748"/>
    <x v="29"/>
    <x v="120"/>
    <x v="0"/>
  </r>
  <r>
    <x v="296"/>
    <s v="Neha Mishra"/>
    <n v="23"/>
    <x v="4"/>
    <n v="1160000"/>
    <x v="2"/>
    <n v="240"/>
    <x v="284"/>
    <n v="12772.599149407475"/>
    <n v="3065423.7958577941"/>
    <x v="19"/>
    <x v="202"/>
    <x v="0"/>
  </r>
  <r>
    <x v="297"/>
    <s v="Deepak Kapoor"/>
    <n v="37"/>
    <x v="6"/>
    <n v="980000"/>
    <x v="8"/>
    <n v="84"/>
    <x v="285"/>
    <n v="16523.459685744267"/>
    <n v="1387970.6136025183"/>
    <x v="27"/>
    <x v="203"/>
    <x v="1"/>
  </r>
  <r>
    <x v="298"/>
    <s v="Pallavi Roy"/>
    <n v="53"/>
    <x v="4"/>
    <n v="3910000"/>
    <x v="9"/>
    <n v="240"/>
    <x v="286"/>
    <n v="45808.610310981669"/>
    <n v="10994066.474635601"/>
    <x v="19"/>
    <x v="204"/>
    <x v="0"/>
  </r>
  <r>
    <x v="299"/>
    <s v="Meena Mukherjee"/>
    <n v="32"/>
    <x v="1"/>
    <n v="8700000"/>
    <x v="8"/>
    <n v="48"/>
    <x v="287"/>
    <n v="222749.4038415651"/>
    <n v="10691971.384395124"/>
    <x v="26"/>
    <x v="205"/>
    <x v="0"/>
  </r>
  <r>
    <x v="300"/>
    <s v="Vikram Joshi"/>
    <n v="42"/>
    <x v="3"/>
    <n v="350000"/>
    <x v="11"/>
    <n v="48"/>
    <x v="288"/>
    <n v="9045.9329140084847"/>
    <n v="434204.77987240726"/>
    <x v="2"/>
    <x v="197"/>
    <x v="1"/>
  </r>
  <r>
    <x v="301"/>
    <s v="Shweta Mukherjee"/>
    <n v="42"/>
    <x v="5"/>
    <n v="810000"/>
    <x v="10"/>
    <n v="48"/>
    <x v="289"/>
    <n v="19584.910569562297"/>
    <n v="940075.70733899018"/>
    <x v="34"/>
    <x v="181"/>
    <x v="0"/>
  </r>
  <r>
    <x v="302"/>
    <s v="Vikas Mehta"/>
    <n v="50"/>
    <x v="2"/>
    <n v="830000"/>
    <x v="8"/>
    <n v="60"/>
    <x v="290"/>
    <n v="17839.93731383749"/>
    <n v="1070396.2388302495"/>
    <x v="3"/>
    <x v="75"/>
    <x v="1"/>
  </r>
  <r>
    <x v="303"/>
    <s v="Vikram Dutta"/>
    <n v="58"/>
    <x v="2"/>
    <n v="340000"/>
    <x v="0"/>
    <n v="84"/>
    <x v="291"/>
    <n v="6093.2210649471572"/>
    <n v="511830.56945556123"/>
    <x v="32"/>
    <x v="7"/>
    <x v="2"/>
  </r>
  <r>
    <x v="304"/>
    <s v="Kiran Mukherjee"/>
    <n v="58"/>
    <x v="5"/>
    <n v="930000"/>
    <x v="8"/>
    <n v="36"/>
    <x v="292"/>
    <n v="30227.272459358846"/>
    <n v="1088181.8085369184"/>
    <x v="16"/>
    <x v="92"/>
    <x v="0"/>
  </r>
  <r>
    <x v="305"/>
    <s v="Sanjay Das"/>
    <n v="28"/>
    <x v="0"/>
    <n v="1630000"/>
    <x v="3"/>
    <n v="36"/>
    <x v="93"/>
    <n v="51455.086000398558"/>
    <n v="1852383.0960143481"/>
    <x v="11"/>
    <x v="176"/>
    <x v="1"/>
  </r>
  <r>
    <x v="306"/>
    <s v="Kavya Singh"/>
    <n v="47"/>
    <x v="6"/>
    <n v="1940000"/>
    <x v="7"/>
    <n v="240"/>
    <x v="293"/>
    <n v="18721.419914435752"/>
    <n v="4493140.7794645801"/>
    <x v="9"/>
    <x v="42"/>
    <x v="0"/>
  </r>
  <r>
    <x v="307"/>
    <s v="Amit Sharma"/>
    <n v="47"/>
    <x v="4"/>
    <n v="1180000"/>
    <x v="6"/>
    <n v="240"/>
    <x v="294"/>
    <n v="10616.766279032043"/>
    <n v="2548023.9069676902"/>
    <x v="25"/>
    <x v="206"/>
    <x v="1"/>
  </r>
  <r>
    <x v="308"/>
    <s v="Kiran Iyer"/>
    <n v="54"/>
    <x v="1"/>
    <n v="1530000"/>
    <x v="3"/>
    <n v="84"/>
    <x v="295"/>
    <n v="24229.822718825264"/>
    <n v="2035305.1083813221"/>
    <x v="4"/>
    <x v="9"/>
    <x v="0"/>
  </r>
  <r>
    <x v="309"/>
    <s v="Vikas Bhat"/>
    <n v="41"/>
    <x v="4"/>
    <n v="1280000"/>
    <x v="4"/>
    <n v="24"/>
    <x v="296"/>
    <n v="58770.551025824403"/>
    <n v="1410493.2246197858"/>
    <x v="1"/>
    <x v="207"/>
    <x v="0"/>
  </r>
  <r>
    <x v="310"/>
    <s v="Sneha Mishra"/>
    <n v="50"/>
    <x v="2"/>
    <n v="520000"/>
    <x v="4"/>
    <n v="84"/>
    <x v="297"/>
    <n v="8498.8704742751797"/>
    <n v="713905.11983911507"/>
    <x v="35"/>
    <x v="154"/>
    <x v="1"/>
  </r>
  <r>
    <x v="311"/>
    <s v="Rekha Pillai"/>
    <n v="53"/>
    <x v="5"/>
    <n v="1100000"/>
    <x v="11"/>
    <n v="240"/>
    <x v="298"/>
    <n v="11354.072316136624"/>
    <n v="2724977.3558727899"/>
    <x v="5"/>
    <x v="140"/>
    <x v="3"/>
  </r>
  <r>
    <x v="312"/>
    <s v="Preeti Verma"/>
    <n v="48"/>
    <x v="2"/>
    <n v="500000"/>
    <x v="3"/>
    <n v="180"/>
    <x v="299"/>
    <n v="4923.6977896279659"/>
    <n v="886265.60213303391"/>
    <x v="18"/>
    <x v="43"/>
    <x v="1"/>
  </r>
  <r>
    <x v="313"/>
    <s v="Usha Iyer"/>
    <n v="53"/>
    <x v="3"/>
    <n v="340000"/>
    <x v="10"/>
    <n v="120"/>
    <x v="300"/>
    <n v="4035.8601506190435"/>
    <n v="484303.21807428519"/>
    <x v="30"/>
    <x v="205"/>
    <x v="1"/>
  </r>
  <r>
    <x v="314"/>
    <s v="Vinod Das"/>
    <n v="25"/>
    <x v="2"/>
    <n v="600000"/>
    <x v="2"/>
    <n v="240"/>
    <x v="301"/>
    <n v="6606.5168014176597"/>
    <n v="1585564.0323402383"/>
    <x v="7"/>
    <x v="84"/>
    <x v="0"/>
  </r>
  <r>
    <x v="315"/>
    <s v="Suresh Chatterjee"/>
    <n v="39"/>
    <x v="1"/>
    <n v="1940000"/>
    <x v="2"/>
    <n v="60"/>
    <x v="302"/>
    <n v="43154.228508709435"/>
    <n v="2589253.710522566"/>
    <x v="29"/>
    <x v="101"/>
    <x v="0"/>
  </r>
  <r>
    <x v="316"/>
    <s v="Subhayan Pillai"/>
    <n v="24"/>
    <x v="6"/>
    <n v="1540000"/>
    <x v="2"/>
    <n v="120"/>
    <x v="303"/>
    <n v="22094.526053998452"/>
    <n v="2651343.1264798143"/>
    <x v="29"/>
    <x v="175"/>
    <x v="1"/>
  </r>
  <r>
    <x v="317"/>
    <s v="Anjali Sen"/>
    <n v="55"/>
    <x v="6"/>
    <n v="220000"/>
    <x v="6"/>
    <n v="12"/>
    <x v="304"/>
    <n v="19239.324889382715"/>
    <n v="230871.89867259259"/>
    <x v="30"/>
    <x v="81"/>
    <x v="1"/>
  </r>
  <r>
    <x v="318"/>
    <s v="Ajay Das"/>
    <n v="37"/>
    <x v="3"/>
    <n v="420000"/>
    <x v="0"/>
    <n v="240"/>
    <x v="305"/>
    <n v="4771.7903088003513"/>
    <n v="1145229.6741120843"/>
    <x v="15"/>
    <x v="208"/>
    <x v="0"/>
  </r>
  <r>
    <x v="319"/>
    <s v="Arjun Roy"/>
    <n v="64"/>
    <x v="1"/>
    <n v="3880000"/>
    <x v="4"/>
    <n v="24"/>
    <x v="306"/>
    <n v="178148.23279703021"/>
    <n v="4275557.5871287249"/>
    <x v="8"/>
    <x v="175"/>
    <x v="1"/>
  </r>
  <r>
    <x v="320"/>
    <s v="Hemant Mishra"/>
    <n v="48"/>
    <x v="5"/>
    <n v="470000"/>
    <x v="11"/>
    <n v="12"/>
    <x v="307"/>
    <n v="41539.379505153898"/>
    <n v="498472.55406184681"/>
    <x v="21"/>
    <x v="64"/>
    <x v="0"/>
  </r>
  <r>
    <x v="321"/>
    <s v="Rahul Shah"/>
    <n v="50"/>
    <x v="4"/>
    <n v="4690000"/>
    <x v="8"/>
    <n v="120"/>
    <x v="308"/>
    <n v="63284.513487731529"/>
    <n v="7594141.6185277831"/>
    <x v="13"/>
    <x v="89"/>
    <x v="2"/>
  </r>
  <r>
    <x v="322"/>
    <s v="Kiran Menon"/>
    <n v="49"/>
    <x v="5"/>
    <n v="1210000"/>
    <x v="1"/>
    <n v="36"/>
    <x v="96"/>
    <n v="39900.967783718355"/>
    <n v="1436434.8402138609"/>
    <x v="22"/>
    <x v="209"/>
    <x v="2"/>
  </r>
  <r>
    <x v="323"/>
    <s v="Rohit Mishra"/>
    <n v="26"/>
    <x v="4"/>
    <n v="3280000"/>
    <x v="11"/>
    <n v="12"/>
    <x v="309"/>
    <n v="289891.83995086123"/>
    <n v="3478702.079410335"/>
    <x v="13"/>
    <x v="210"/>
    <x v="0"/>
  </r>
  <r>
    <x v="324"/>
    <s v="Pooja Roy"/>
    <n v="55"/>
    <x v="6"/>
    <n v="1390000"/>
    <x v="10"/>
    <n v="12"/>
    <x v="310"/>
    <n v="120592.80947071602"/>
    <n v="1447113.7136485921"/>
    <x v="0"/>
    <x v="211"/>
    <x v="1"/>
  </r>
  <r>
    <x v="325"/>
    <s v="Rajesh Mukherjee"/>
    <n v="61"/>
    <x v="2"/>
    <n v="1000000"/>
    <x v="5"/>
    <n v="48"/>
    <x v="311"/>
    <n v="24412.922341502483"/>
    <n v="1171820.2723921193"/>
    <x v="33"/>
    <x v="51"/>
    <x v="1"/>
  </r>
  <r>
    <x v="326"/>
    <s v="Hemant Shah"/>
    <n v="57"/>
    <x v="0"/>
    <n v="400000"/>
    <x v="4"/>
    <n v="60"/>
    <x v="312"/>
    <n v="8400.7445238862038"/>
    <n v="504044.67143317225"/>
    <x v="34"/>
    <x v="5"/>
    <x v="1"/>
  </r>
  <r>
    <x v="327"/>
    <s v="Mamta Mehta"/>
    <n v="44"/>
    <x v="2"/>
    <n v="650000"/>
    <x v="8"/>
    <n v="36"/>
    <x v="313"/>
    <n v="21126.588278046504"/>
    <n v="760557.17800967419"/>
    <x v="29"/>
    <x v="85"/>
    <x v="0"/>
  </r>
  <r>
    <x v="328"/>
    <s v="Neha Yadav"/>
    <n v="49"/>
    <x v="3"/>
    <n v="70000"/>
    <x v="3"/>
    <n v="60"/>
    <x v="314"/>
    <n v="1436.1571928935875"/>
    <n v="86169.431573615249"/>
    <x v="6"/>
    <x v="0"/>
    <x v="1"/>
  </r>
  <r>
    <x v="329"/>
    <s v="Shweta Reddy"/>
    <n v="51"/>
    <x v="5"/>
    <n v="780000"/>
    <x v="8"/>
    <n v="60"/>
    <x v="291"/>
    <n v="16765.242294931617"/>
    <n v="1005914.537695897"/>
    <x v="25"/>
    <x v="82"/>
    <x v="0"/>
  </r>
  <r>
    <x v="330"/>
    <s v="Mukesh Mishra"/>
    <n v="55"/>
    <x v="1"/>
    <n v="4550000"/>
    <x v="6"/>
    <n v="36"/>
    <x v="315"/>
    <n v="144688.78360273011"/>
    <n v="5208796.209698284"/>
    <x v="36"/>
    <x v="126"/>
    <x v="1"/>
  </r>
  <r>
    <x v="331"/>
    <s v="Meena Ghosh"/>
    <n v="53"/>
    <x v="4"/>
    <n v="4490000"/>
    <x v="0"/>
    <n v="12"/>
    <x v="316"/>
    <n v="399982.05357059499"/>
    <n v="4799784.6428471394"/>
    <x v="24"/>
    <x v="141"/>
    <x v="0"/>
  </r>
  <r>
    <x v="332"/>
    <s v="Pallavi Mishra"/>
    <n v="41"/>
    <x v="2"/>
    <n v="380000"/>
    <x v="1"/>
    <n v="60"/>
    <x v="317"/>
    <n v="8357.1908024507502"/>
    <n v="501431.44814704498"/>
    <x v="36"/>
    <x v="212"/>
    <x v="1"/>
  </r>
  <r>
    <x v="333"/>
    <s v="Sunita Sen"/>
    <n v="52"/>
    <x v="3"/>
    <n v="70000"/>
    <x v="6"/>
    <n v="48"/>
    <x v="318"/>
    <n v="1741.9529661753945"/>
    <n v="83613.74237641893"/>
    <x v="36"/>
    <x v="213"/>
    <x v="0"/>
  </r>
  <r>
    <x v="334"/>
    <s v="Kiran Dutta"/>
    <n v="43"/>
    <x v="5"/>
    <n v="460000"/>
    <x v="0"/>
    <n v="240"/>
    <x v="319"/>
    <n v="5226.2465286860988"/>
    <n v="1254299.1668846637"/>
    <x v="32"/>
    <x v="214"/>
    <x v="2"/>
  </r>
  <r>
    <x v="335"/>
    <s v="Manoj Sen"/>
    <n v="53"/>
    <x v="1"/>
    <n v="5700000"/>
    <x v="1"/>
    <n v="12"/>
    <x v="320"/>
    <n v="505105.80703388224"/>
    <n v="6061269.6844065869"/>
    <x v="11"/>
    <x v="215"/>
    <x v="1"/>
  </r>
  <r>
    <x v="336"/>
    <s v="Hemant Iyer"/>
    <n v="23"/>
    <x v="6"/>
    <n v="1340000"/>
    <x v="10"/>
    <n v="84"/>
    <x v="254"/>
    <n v="20553.289643187563"/>
    <n v="1726476.3300277553"/>
    <x v="26"/>
    <x v="216"/>
    <x v="2"/>
  </r>
  <r>
    <x v="337"/>
    <s v="Kiran Rao"/>
    <n v="38"/>
    <x v="1"/>
    <n v="1550000"/>
    <x v="8"/>
    <n v="180"/>
    <x v="164"/>
    <n v="17133.683317306139"/>
    <n v="3084062.9971151049"/>
    <x v="37"/>
    <x v="69"/>
    <x v="1"/>
  </r>
  <r>
    <x v="338"/>
    <s v="Neha Gupta"/>
    <n v="45"/>
    <x v="0"/>
    <n v="580000"/>
    <x v="9"/>
    <n v="24"/>
    <x v="321"/>
    <n v="27574.257101301584"/>
    <n v="661782.17043123802"/>
    <x v="22"/>
    <x v="217"/>
    <x v="3"/>
  </r>
  <r>
    <x v="339"/>
    <s v="Geeta Das"/>
    <n v="62"/>
    <x v="6"/>
    <n v="1980000"/>
    <x v="7"/>
    <n v="240"/>
    <x v="322"/>
    <n v="19107.428572465356"/>
    <n v="4585782.8573916852"/>
    <x v="28"/>
    <x v="112"/>
    <x v="1"/>
  </r>
  <r>
    <x v="340"/>
    <s v="Manoj Mehta"/>
    <n v="51"/>
    <x v="5"/>
    <n v="960000"/>
    <x v="11"/>
    <n v="48"/>
    <x v="323"/>
    <n v="24811.701706994703"/>
    <n v="1190961.6819357458"/>
    <x v="29"/>
    <x v="89"/>
    <x v="1"/>
  </r>
  <r>
    <x v="341"/>
    <s v="Ritu Pillai"/>
    <n v="23"/>
    <x v="1"/>
    <n v="1260000"/>
    <x v="1"/>
    <n v="240"/>
    <x v="324"/>
    <n v="13437.013357062024"/>
    <n v="3224883.2056948859"/>
    <x v="21"/>
    <x v="20"/>
    <x v="1"/>
  </r>
  <r>
    <x v="342"/>
    <s v="Divya Gupta"/>
    <n v="60"/>
    <x v="3"/>
    <n v="160000"/>
    <x v="11"/>
    <n v="120"/>
    <x v="325"/>
    <n v="2204.0001806707596"/>
    <n v="264480.02168049116"/>
    <x v="19"/>
    <x v="218"/>
    <x v="3"/>
  </r>
  <r>
    <x v="343"/>
    <s v="Pooja Singh"/>
    <n v="44"/>
    <x v="5"/>
    <n v="600000"/>
    <x v="7"/>
    <n v="48"/>
    <x v="326"/>
    <n v="15217.550060848313"/>
    <n v="730442.402920719"/>
    <x v="21"/>
    <x v="147"/>
    <x v="1"/>
  </r>
  <r>
    <x v="344"/>
    <s v="Nisha Bose"/>
    <n v="52"/>
    <x v="6"/>
    <n v="1780000"/>
    <x v="2"/>
    <n v="240"/>
    <x v="327"/>
    <n v="19599.333177539058"/>
    <n v="4703839.962609374"/>
    <x v="22"/>
    <x v="24"/>
    <x v="1"/>
  </r>
  <r>
    <x v="345"/>
    <s v="Suresh Banerjee"/>
    <n v="42"/>
    <x v="0"/>
    <n v="1920000"/>
    <x v="1"/>
    <n v="60"/>
    <x v="328"/>
    <n v="42225.806159751162"/>
    <n v="2533548.3695850698"/>
    <x v="1"/>
    <x v="215"/>
    <x v="1"/>
  </r>
  <r>
    <x v="346"/>
    <s v="Deepak Gupta"/>
    <n v="43"/>
    <x v="3"/>
    <n v="420000"/>
    <x v="7"/>
    <n v="12"/>
    <x v="26"/>
    <n v="36924.672636604031"/>
    <n v="443096.0716392484"/>
    <x v="23"/>
    <x v="109"/>
    <x v="1"/>
  </r>
  <r>
    <x v="347"/>
    <s v="Rekha Reddy"/>
    <n v="22"/>
    <x v="0"/>
    <n v="1920000"/>
    <x v="8"/>
    <n v="120"/>
    <x v="329"/>
    <n v="25907.519380905022"/>
    <n v="3108902.3257086026"/>
    <x v="4"/>
    <x v="219"/>
    <x v="0"/>
  </r>
  <r>
    <x v="348"/>
    <s v="Anil Shah"/>
    <n v="47"/>
    <x v="2"/>
    <n v="520000"/>
    <x v="4"/>
    <n v="120"/>
    <x v="330"/>
    <n v="6728.672993160405"/>
    <n v="807440.75917924859"/>
    <x v="24"/>
    <x v="26"/>
    <x v="1"/>
  </r>
  <r>
    <x v="349"/>
    <s v="Rajesh Reddy"/>
    <n v="62"/>
    <x v="3"/>
    <n v="90000"/>
    <x v="3"/>
    <n v="120"/>
    <x v="87"/>
    <n v="1115.8711998706001"/>
    <n v="133904.54398447202"/>
    <x v="16"/>
    <x v="220"/>
    <x v="0"/>
  </r>
  <r>
    <x v="350"/>
    <s v="Rahul Verma"/>
    <n v="22"/>
    <x v="2"/>
    <n v="410000"/>
    <x v="10"/>
    <n v="84"/>
    <x v="331"/>
    <n v="6288.6930997812697"/>
    <n v="528250.22038162663"/>
    <x v="33"/>
    <x v="125"/>
    <x v="0"/>
  </r>
  <r>
    <x v="351"/>
    <s v="Rekha Bose"/>
    <n v="46"/>
    <x v="3"/>
    <n v="140000"/>
    <x v="7"/>
    <n v="240"/>
    <x v="332"/>
    <n v="1351.0303031036108"/>
    <n v="324247.27274486661"/>
    <x v="36"/>
    <x v="76"/>
    <x v="1"/>
  </r>
  <r>
    <x v="352"/>
    <s v="Sunil Banerjee"/>
    <n v="37"/>
    <x v="6"/>
    <n v="1380000"/>
    <x v="2"/>
    <n v="12"/>
    <x v="333"/>
    <n v="122611.32837611152"/>
    <n v="1471335.9405133382"/>
    <x v="0"/>
    <x v="167"/>
    <x v="2"/>
  </r>
  <r>
    <x v="353"/>
    <s v="Amit Bhat"/>
    <n v="60"/>
    <x v="4"/>
    <n v="2520000"/>
    <x v="6"/>
    <n v="12"/>
    <x v="334"/>
    <n v="220377.72146020198"/>
    <n v="2644532.6575224237"/>
    <x v="12"/>
    <x v="107"/>
    <x v="2"/>
  </r>
  <r>
    <x v="354"/>
    <s v="Preeti Bose"/>
    <n v="53"/>
    <x v="4"/>
    <n v="3760000"/>
    <x v="10"/>
    <n v="60"/>
    <x v="335"/>
    <n v="75342.686719545338"/>
    <n v="4520561.20317272"/>
    <x v="31"/>
    <x v="1"/>
    <x v="1"/>
  </r>
  <r>
    <x v="355"/>
    <s v="Pallavi Mitra"/>
    <n v="29"/>
    <x v="2"/>
    <n v="810000"/>
    <x v="4"/>
    <n v="48"/>
    <x v="336"/>
    <n v="20349.740703457919"/>
    <n v="976787.55376598006"/>
    <x v="4"/>
    <x v="45"/>
    <x v="0"/>
  </r>
  <r>
    <x v="356"/>
    <s v="Lata Joshi"/>
    <n v="63"/>
    <x v="2"/>
    <n v="670000"/>
    <x v="10"/>
    <n v="180"/>
    <x v="244"/>
    <n v="6210.9828120183456"/>
    <n v="1117976.9061633023"/>
    <x v="3"/>
    <x v="85"/>
    <x v="1"/>
  </r>
  <r>
    <x v="357"/>
    <s v="Usha Bhat"/>
    <n v="59"/>
    <x v="0"/>
    <n v="900000"/>
    <x v="11"/>
    <n v="48"/>
    <x v="81"/>
    <n v="23260.970350307532"/>
    <n v="1116526.5768147616"/>
    <x v="9"/>
    <x v="221"/>
    <x v="1"/>
  </r>
  <r>
    <x v="358"/>
    <s v="Rekha Shah"/>
    <n v="49"/>
    <x v="1"/>
    <n v="7440000"/>
    <x v="1"/>
    <n v="84"/>
    <x v="337"/>
    <n v="129355.26850258658"/>
    <n v="10865842.554217273"/>
    <x v="12"/>
    <x v="192"/>
    <x v="1"/>
  </r>
  <r>
    <x v="359"/>
    <s v="Divya Roy"/>
    <n v="62"/>
    <x v="3"/>
    <n v="450000"/>
    <x v="7"/>
    <n v="240"/>
    <x v="87"/>
    <n v="4342.5974028330356"/>
    <n v="1042223.3766799285"/>
    <x v="27"/>
    <x v="222"/>
    <x v="1"/>
  </r>
  <r>
    <x v="360"/>
    <s v="Mamta Pillai"/>
    <n v="46"/>
    <x v="3"/>
    <n v="440000"/>
    <x v="2"/>
    <n v="48"/>
    <x v="160"/>
    <n v="11586.887590048218"/>
    <n v="556170.6043223145"/>
    <x v="14"/>
    <x v="168"/>
    <x v="0"/>
  </r>
  <r>
    <x v="361"/>
    <s v="Nisha Iyer"/>
    <n v="55"/>
    <x v="3"/>
    <n v="120000"/>
    <x v="6"/>
    <n v="48"/>
    <x v="338"/>
    <n v="2986.2050848721051"/>
    <n v="143337.84407386105"/>
    <x v="5"/>
    <x v="223"/>
    <x v="0"/>
  </r>
  <r>
    <x v="362"/>
    <s v="Nisha Rao"/>
    <n v="45"/>
    <x v="3"/>
    <n v="460000"/>
    <x v="3"/>
    <n v="60"/>
    <x v="339"/>
    <n v="9437.604410443575"/>
    <n v="566256.26462661452"/>
    <x v="8"/>
    <x v="30"/>
    <x v="1"/>
  </r>
  <r>
    <x v="363"/>
    <s v="Ajay Iyer"/>
    <n v="44"/>
    <x v="1"/>
    <n v="2320000"/>
    <x v="5"/>
    <n v="180"/>
    <x v="340"/>
    <n v="22171.128356464153"/>
    <n v="3990803.1041635475"/>
    <x v="29"/>
    <x v="127"/>
    <x v="1"/>
  </r>
  <r>
    <x v="364"/>
    <s v="Amit Bose"/>
    <n v="33"/>
    <x v="0"/>
    <n v="1250000"/>
    <x v="6"/>
    <n v="36"/>
    <x v="341"/>
    <n v="39749.665824925854"/>
    <n v="1430987.9696973308"/>
    <x v="18"/>
    <x v="128"/>
    <x v="1"/>
  </r>
  <r>
    <x v="365"/>
    <s v="Anil Mukherjee"/>
    <n v="27"/>
    <x v="2"/>
    <n v="880000"/>
    <x v="0"/>
    <n v="24"/>
    <x v="342"/>
    <n v="41630.431247239569"/>
    <n v="999130.34993374965"/>
    <x v="35"/>
    <x v="224"/>
    <x v="2"/>
  </r>
  <r>
    <x v="366"/>
    <s v="Vinod Ghosh"/>
    <n v="56"/>
    <x v="4"/>
    <n v="3400000"/>
    <x v="6"/>
    <n v="36"/>
    <x v="343"/>
    <n v="108119.09104379833"/>
    <n v="3892287.2775767399"/>
    <x v="26"/>
    <x v="225"/>
    <x v="0"/>
  </r>
  <r>
    <x v="367"/>
    <s v="Meena Dutta"/>
    <n v="40"/>
    <x v="1"/>
    <n v="1900000"/>
    <x v="4"/>
    <n v="36"/>
    <x v="344"/>
    <n v="60862.604507485208"/>
    <n v="2191053.7622694676"/>
    <x v="25"/>
    <x v="39"/>
    <x v="1"/>
  </r>
  <r>
    <x v="368"/>
    <s v="Rajesh Menon"/>
    <n v="21"/>
    <x v="6"/>
    <n v="400000"/>
    <x v="1"/>
    <n v="240"/>
    <x v="345"/>
    <n v="4265.7185260514361"/>
    <n v="1023772.4462523446"/>
    <x v="18"/>
    <x v="15"/>
    <x v="3"/>
  </r>
  <r>
    <x v="369"/>
    <s v="Pooja Yadav"/>
    <n v="28"/>
    <x v="1"/>
    <n v="8330000"/>
    <x v="9"/>
    <n v="24"/>
    <x v="346"/>
    <n v="396023.38216179691"/>
    <n v="9504561.1718831249"/>
    <x v="33"/>
    <x v="207"/>
    <x v="0"/>
  </r>
  <r>
    <x v="370"/>
    <s v="Divya Mitra"/>
    <n v="36"/>
    <x v="0"/>
    <n v="690000"/>
    <x v="10"/>
    <n v="120"/>
    <x v="347"/>
    <n v="8190.422070373942"/>
    <n v="982850.64844487305"/>
    <x v="2"/>
    <x v="226"/>
    <x v="1"/>
  </r>
  <r>
    <x v="371"/>
    <s v="Vinod Pandey"/>
    <n v="34"/>
    <x v="1"/>
    <n v="2280000"/>
    <x v="6"/>
    <n v="12"/>
    <x v="348"/>
    <n v="199389.36703542084"/>
    <n v="2392672.4044250501"/>
    <x v="6"/>
    <x v="227"/>
    <x v="1"/>
  </r>
  <r>
    <x v="372"/>
    <s v="Preeti Mukherjee"/>
    <n v="32"/>
    <x v="1"/>
    <n v="6710000"/>
    <x v="2"/>
    <n v="120"/>
    <x v="349"/>
    <n v="96269.006378136124"/>
    <n v="11552280.765376335"/>
    <x v="3"/>
    <x v="80"/>
    <x v="1"/>
  </r>
  <r>
    <x v="373"/>
    <s v="Amit Gupta"/>
    <n v="43"/>
    <x v="0"/>
    <n v="1470000"/>
    <x v="8"/>
    <n v="60"/>
    <x v="350"/>
    <n v="31596.033555832666"/>
    <n v="1895762.0133499599"/>
    <x v="34"/>
    <x v="148"/>
    <x v="0"/>
  </r>
  <r>
    <x v="374"/>
    <s v="Ajay Singh"/>
    <n v="35"/>
    <x v="5"/>
    <n v="1130000"/>
    <x v="7"/>
    <n v="240"/>
    <x v="351"/>
    <n v="10904.744589336287"/>
    <n v="2617138.7014407092"/>
    <x v="27"/>
    <x v="78"/>
    <x v="1"/>
  </r>
  <r>
    <x v="375"/>
    <s v="Rajesh Kumar"/>
    <n v="48"/>
    <x v="6"/>
    <n v="1820000"/>
    <x v="3"/>
    <n v="60"/>
    <x v="352"/>
    <n v="37340.087015233279"/>
    <n v="2240405.2209139969"/>
    <x v="8"/>
    <x v="228"/>
    <x v="1"/>
  </r>
  <r>
    <x v="376"/>
    <s v="Rahul Rao"/>
    <n v="54"/>
    <x v="2"/>
    <n v="440000"/>
    <x v="3"/>
    <n v="36"/>
    <x v="353"/>
    <n v="13889.716466365255"/>
    <n v="500029.79278914916"/>
    <x v="3"/>
    <x v="57"/>
    <x v="3"/>
  </r>
  <r>
    <x v="377"/>
    <s v="Usha Mehta"/>
    <n v="22"/>
    <x v="4"/>
    <n v="750000"/>
    <x v="6"/>
    <n v="36"/>
    <x v="354"/>
    <n v="23849.799494955514"/>
    <n v="858592.78181839851"/>
    <x v="13"/>
    <x v="229"/>
    <x v="1"/>
  </r>
  <r>
    <x v="378"/>
    <s v="Deepak Mishra"/>
    <n v="52"/>
    <x v="4"/>
    <n v="2790000"/>
    <x v="2"/>
    <n v="60"/>
    <x v="355"/>
    <n v="62062.00904087595"/>
    <n v="3723720.542452557"/>
    <x v="26"/>
    <x v="107"/>
    <x v="0"/>
  </r>
  <r>
    <x v="379"/>
    <s v="Ritu Mehta"/>
    <n v="43"/>
    <x v="2"/>
    <n v="920000"/>
    <x v="7"/>
    <n v="12"/>
    <x v="356"/>
    <n v="80882.616251608822"/>
    <n v="970591.39501930587"/>
    <x v="16"/>
    <x v="156"/>
    <x v="1"/>
  </r>
  <r>
    <x v="380"/>
    <s v="Usha Rao"/>
    <n v="42"/>
    <x v="5"/>
    <n v="1240000"/>
    <x v="9"/>
    <n v="84"/>
    <x v="357"/>
    <n v="22558.034552481837"/>
    <n v="1894874.9024084744"/>
    <x v="25"/>
    <x v="146"/>
    <x v="1"/>
  </r>
  <r>
    <x v="381"/>
    <s v="Rekha Rao"/>
    <n v="45"/>
    <x v="0"/>
    <n v="1230000"/>
    <x v="9"/>
    <n v="180"/>
    <x v="358"/>
    <n v="15562.478657531219"/>
    <n v="2801246.1583556193"/>
    <x v="22"/>
    <x v="230"/>
    <x v="0"/>
  </r>
  <r>
    <x v="382"/>
    <s v="Vikram Iyer"/>
    <n v="42"/>
    <x v="4"/>
    <n v="2410000"/>
    <x v="7"/>
    <n v="36"/>
    <x v="359"/>
    <n v="77763.92113714834"/>
    <n v="2799501.16093734"/>
    <x v="31"/>
    <x v="231"/>
    <x v="0"/>
  </r>
  <r>
    <x v="383"/>
    <s v="Amit Ghosh"/>
    <n v="42"/>
    <x v="1"/>
    <n v="6970000"/>
    <x v="2"/>
    <n v="12"/>
    <x v="360"/>
    <n v="619276.05708804156"/>
    <n v="7431312.6850564983"/>
    <x v="0"/>
    <x v="170"/>
    <x v="1"/>
  </r>
  <r>
    <x v="384"/>
    <s v="Divya Sharma"/>
    <n v="62"/>
    <x v="4"/>
    <n v="3650000"/>
    <x v="10"/>
    <n v="36"/>
    <x v="361"/>
    <n v="113537.69628639599"/>
    <n v="4087357.0663102558"/>
    <x v="30"/>
    <x v="23"/>
    <x v="1"/>
  </r>
  <r>
    <x v="385"/>
    <s v="Lata Das"/>
    <n v="26"/>
    <x v="6"/>
    <n v="1110000"/>
    <x v="9"/>
    <n v="84"/>
    <x v="362"/>
    <n v="20193.079317140997"/>
    <n v="1696218.6626398438"/>
    <x v="37"/>
    <x v="92"/>
    <x v="0"/>
  </r>
  <r>
    <x v="386"/>
    <s v="Sneha Sen"/>
    <n v="35"/>
    <x v="6"/>
    <n v="590000"/>
    <x v="9"/>
    <n v="12"/>
    <x v="363"/>
    <n v="52697.192669931901"/>
    <n v="632366.31203918275"/>
    <x v="29"/>
    <x v="212"/>
    <x v="0"/>
  </r>
  <r>
    <x v="387"/>
    <s v="Priya Sen"/>
    <n v="63"/>
    <x v="2"/>
    <n v="810000"/>
    <x v="7"/>
    <n v="60"/>
    <x v="364"/>
    <n v="17210.106216127304"/>
    <n v="1032606.3729676382"/>
    <x v="13"/>
    <x v="155"/>
    <x v="1"/>
  </r>
  <r>
    <x v="388"/>
    <s v="Amit Das"/>
    <n v="57"/>
    <x v="5"/>
    <n v="1100000"/>
    <x v="2"/>
    <n v="180"/>
    <x v="365"/>
    <n v="13201.84868300665"/>
    <n v="2376332.762941197"/>
    <x v="4"/>
    <x v="232"/>
    <x v="1"/>
  </r>
  <r>
    <x v="389"/>
    <s v="Kavya Dutta"/>
    <n v="53"/>
    <x v="3"/>
    <n v="90000"/>
    <x v="2"/>
    <n v="240"/>
    <x v="366"/>
    <n v="990.97752021264898"/>
    <n v="237834.60485103575"/>
    <x v="19"/>
    <x v="181"/>
    <x v="1"/>
  </r>
  <r>
    <x v="390"/>
    <s v="Amit Yadav"/>
    <n v="28"/>
    <x v="3"/>
    <n v="450000"/>
    <x v="3"/>
    <n v="84"/>
    <x v="367"/>
    <n v="7126.4184467133127"/>
    <n v="598619.14952391828"/>
    <x v="26"/>
    <x v="126"/>
    <x v="0"/>
  </r>
  <r>
    <x v="391"/>
    <s v="Suresh Das"/>
    <n v="64"/>
    <x v="5"/>
    <n v="920000"/>
    <x v="2"/>
    <n v="24"/>
    <x v="368"/>
    <n v="43307.594445403527"/>
    <n v="1039382.2666896847"/>
    <x v="6"/>
    <x v="56"/>
    <x v="0"/>
  </r>
  <r>
    <x v="392"/>
    <s v="Pooja Iyer"/>
    <n v="64"/>
    <x v="4"/>
    <n v="2570000"/>
    <x v="6"/>
    <n v="84"/>
    <x v="369"/>
    <n v="41348.931128299075"/>
    <n v="3473310.2147771223"/>
    <x v="20"/>
    <x v="54"/>
    <x v="0"/>
  </r>
  <r>
    <x v="393"/>
    <s v="Rohit Pandey"/>
    <n v="25"/>
    <x v="5"/>
    <n v="450000"/>
    <x v="11"/>
    <n v="240"/>
    <x v="320"/>
    <n v="4644.8477656922551"/>
    <n v="1114763.4637661413"/>
    <x v="7"/>
    <x v="233"/>
    <x v="1"/>
  </r>
  <r>
    <x v="394"/>
    <s v="Deepak Mishra"/>
    <n v="59"/>
    <x v="0"/>
    <n v="370000"/>
    <x v="1"/>
    <n v="48"/>
    <x v="370"/>
    <n v="9652.9332951672332"/>
    <n v="463340.79816802719"/>
    <x v="15"/>
    <x v="0"/>
    <x v="0"/>
  </r>
  <r>
    <x v="395"/>
    <s v="Sunita Sen"/>
    <n v="24"/>
    <x v="5"/>
    <n v="860000"/>
    <x v="4"/>
    <n v="36"/>
    <x v="371"/>
    <n v="27548.336777072251"/>
    <n v="991740.12397460104"/>
    <x v="31"/>
    <x v="6"/>
    <x v="1"/>
  </r>
  <r>
    <x v="396"/>
    <s v="Ramesh Kumar"/>
    <n v="26"/>
    <x v="0"/>
    <n v="520000"/>
    <x v="3"/>
    <n v="240"/>
    <x v="372"/>
    <n v="4512.6808135007768"/>
    <n v="1083043.3952401865"/>
    <x v="29"/>
    <x v="179"/>
    <x v="0"/>
  </r>
  <r>
    <x v="397"/>
    <s v="Mamta Yadav"/>
    <n v="52"/>
    <x v="4"/>
    <n v="3690000"/>
    <x v="11"/>
    <n v="24"/>
    <x v="373"/>
    <n v="171982.9229451775"/>
    <n v="4127590.1506842598"/>
    <x v="4"/>
    <x v="132"/>
    <x v="1"/>
  </r>
  <r>
    <x v="398"/>
    <s v="Rohit Sen"/>
    <n v="50"/>
    <x v="6"/>
    <n v="1690000"/>
    <x v="10"/>
    <n v="240"/>
    <x v="374"/>
    <n v="13614.524971025543"/>
    <n v="3267485.9930461305"/>
    <x v="18"/>
    <x v="52"/>
    <x v="3"/>
  </r>
  <r>
    <x v="399"/>
    <s v="Meena Joshi"/>
    <n v="55"/>
    <x v="1"/>
    <n v="3590000"/>
    <x v="5"/>
    <n v="36"/>
    <x v="375"/>
    <n v="112497.55200653676"/>
    <n v="4049911.8722353233"/>
    <x v="11"/>
    <x v="95"/>
    <x v="0"/>
  </r>
  <r>
    <x v="400"/>
    <s v="Anjali Pandey"/>
    <n v="60"/>
    <x v="2"/>
    <n v="880000"/>
    <x v="10"/>
    <n v="120"/>
    <x v="376"/>
    <n v="10445.755683955171"/>
    <n v="1253490.6820746204"/>
    <x v="14"/>
    <x v="224"/>
    <x v="0"/>
  </r>
  <r>
    <x v="401"/>
    <s v="Amit Menon"/>
    <n v="36"/>
    <x v="3"/>
    <n v="250000"/>
    <x v="6"/>
    <n v="240"/>
    <x v="377"/>
    <n v="2249.3148896254329"/>
    <n v="539835.57351010386"/>
    <x v="35"/>
    <x v="212"/>
    <x v="1"/>
  </r>
  <r>
    <x v="402"/>
    <s v="Sanjay Pandey"/>
    <n v="33"/>
    <x v="6"/>
    <n v="860000"/>
    <x v="2"/>
    <n v="240"/>
    <x v="378"/>
    <n v="9469.3407486986453"/>
    <n v="2272641.7796876747"/>
    <x v="26"/>
    <x v="147"/>
    <x v="1"/>
  </r>
  <r>
    <x v="403"/>
    <s v="Usha Bose"/>
    <n v="62"/>
    <x v="5"/>
    <n v="1060000"/>
    <x v="6"/>
    <n v="120"/>
    <x v="379"/>
    <n v="13427.632017526446"/>
    <n v="1611315.8421031735"/>
    <x v="2"/>
    <x v="205"/>
    <x v="0"/>
  </r>
  <r>
    <x v="404"/>
    <s v="Kavya Gupta"/>
    <n v="50"/>
    <x v="5"/>
    <n v="520000"/>
    <x v="10"/>
    <n v="24"/>
    <x v="380"/>
    <n v="23399.788178844756"/>
    <n v="561594.91629227414"/>
    <x v="3"/>
    <x v="234"/>
    <x v="1"/>
  </r>
  <r>
    <x v="405"/>
    <s v="Sunil Banerjee"/>
    <n v="39"/>
    <x v="3"/>
    <n v="100000"/>
    <x v="1"/>
    <n v="84"/>
    <x v="381"/>
    <n v="1738.6460820240134"/>
    <n v="146046.27089001713"/>
    <x v="6"/>
    <x v="186"/>
    <x v="0"/>
  </r>
  <r>
    <x v="406"/>
    <s v="Kiran Patel"/>
    <n v="37"/>
    <x v="4"/>
    <n v="540000"/>
    <x v="11"/>
    <n v="48"/>
    <x v="382"/>
    <n v="13956.582210184519"/>
    <n v="669915.9460888569"/>
    <x v="20"/>
    <x v="91"/>
    <x v="3"/>
  </r>
  <r>
    <x v="407"/>
    <s v="Sanjay Bhat"/>
    <n v="39"/>
    <x v="2"/>
    <n v="420000"/>
    <x v="10"/>
    <n v="48"/>
    <x v="383"/>
    <n v="10155.138813847117"/>
    <n v="487446.66306466167"/>
    <x v="5"/>
    <x v="135"/>
    <x v="3"/>
  </r>
  <r>
    <x v="408"/>
    <s v="Mamta Roy"/>
    <n v="48"/>
    <x v="1"/>
    <n v="8460000"/>
    <x v="7"/>
    <n v="84"/>
    <x v="384"/>
    <n v="140446.01686745477"/>
    <n v="11797465.416866202"/>
    <x v="3"/>
    <x v="235"/>
    <x v="0"/>
  </r>
  <r>
    <x v="409"/>
    <s v="Rohit Roy"/>
    <n v="46"/>
    <x v="0"/>
    <n v="950000"/>
    <x v="2"/>
    <n v="84"/>
    <x v="385"/>
    <n v="16770.096157220127"/>
    <n v="1408688.0772064906"/>
    <x v="8"/>
    <x v="50"/>
    <x v="1"/>
  </r>
  <r>
    <x v="410"/>
    <s v="Preeti Roy"/>
    <n v="57"/>
    <x v="0"/>
    <n v="1800000"/>
    <x v="6"/>
    <n v="84"/>
    <x v="231"/>
    <n v="28960.34086806939"/>
    <n v="2432668.6329178289"/>
    <x v="29"/>
    <x v="236"/>
    <x v="1"/>
  </r>
  <r>
    <x v="411"/>
    <s v="Priya Nair"/>
    <n v="46"/>
    <x v="4"/>
    <n v="2760000"/>
    <x v="3"/>
    <n v="60"/>
    <x v="386"/>
    <n v="56625.62646266145"/>
    <n v="3397537.5877596871"/>
    <x v="9"/>
    <x v="142"/>
    <x v="2"/>
  </r>
  <r>
    <x v="412"/>
    <s v="Divya Reddy"/>
    <n v="43"/>
    <x v="3"/>
    <n v="100000"/>
    <x v="7"/>
    <n v="48"/>
    <x v="387"/>
    <n v="2536.2583434747189"/>
    <n v="121740.4004867865"/>
    <x v="31"/>
    <x v="205"/>
    <x v="1"/>
  </r>
  <r>
    <x v="413"/>
    <s v="Ramesh Gupta"/>
    <n v="29"/>
    <x v="4"/>
    <n v="1610000"/>
    <x v="9"/>
    <n v="240"/>
    <x v="388"/>
    <n v="18862.368951580687"/>
    <n v="4526968.5483793654"/>
    <x v="10"/>
    <x v="0"/>
    <x v="1"/>
  </r>
  <r>
    <x v="414"/>
    <s v="Shweta Chatterjee"/>
    <n v="32"/>
    <x v="1"/>
    <n v="2460000"/>
    <x v="3"/>
    <n v="180"/>
    <x v="389"/>
    <n v="24224.593124969597"/>
    <n v="4360426.7624945277"/>
    <x v="37"/>
    <x v="48"/>
    <x v="0"/>
  </r>
  <r>
    <x v="415"/>
    <s v="Anil Mitra"/>
    <n v="21"/>
    <x v="0"/>
    <n v="590000"/>
    <x v="7"/>
    <n v="240"/>
    <x v="390"/>
    <n v="5693.6277059366457"/>
    <n v="1366470.6494247951"/>
    <x v="5"/>
    <x v="63"/>
    <x v="3"/>
  </r>
  <r>
    <x v="416"/>
    <s v="Rekha Dutta"/>
    <n v="21"/>
    <x v="1"/>
    <n v="8230000"/>
    <x v="10"/>
    <n v="12"/>
    <x v="356"/>
    <n v="714013.54096690135"/>
    <n v="8568162.4916028157"/>
    <x v="5"/>
    <x v="109"/>
    <x v="1"/>
  </r>
  <r>
    <x v="417"/>
    <s v="Dinesh Patel"/>
    <n v="54"/>
    <x v="5"/>
    <n v="1240000"/>
    <x v="10"/>
    <n v="24"/>
    <x v="116"/>
    <n v="55799.494888014422"/>
    <n v="1339187.8773123461"/>
    <x v="9"/>
    <x v="237"/>
    <x v="0"/>
  </r>
  <r>
    <x v="418"/>
    <s v="Ajay Nair"/>
    <n v="52"/>
    <x v="4"/>
    <n v="4800000"/>
    <x v="3"/>
    <n v="84"/>
    <x v="391"/>
    <n v="76015.130098275346"/>
    <n v="6385270.9282551287"/>
    <x v="4"/>
    <x v="238"/>
    <x v="0"/>
  </r>
  <r>
    <x v="419"/>
    <s v="Rajesh Banerjee"/>
    <n v="45"/>
    <x v="0"/>
    <n v="1060000"/>
    <x v="2"/>
    <n v="180"/>
    <x v="392"/>
    <n v="12721.781458170044"/>
    <n v="2289920.662470608"/>
    <x v="12"/>
    <x v="239"/>
    <x v="1"/>
  </r>
  <r>
    <x v="420"/>
    <s v="Suresh Reddy"/>
    <n v="60"/>
    <x v="6"/>
    <n v="420000"/>
    <x v="9"/>
    <n v="48"/>
    <x v="393"/>
    <n v="11267.548275381256"/>
    <n v="540842.3172183003"/>
    <x v="0"/>
    <x v="240"/>
    <x v="1"/>
  </r>
  <r>
    <x v="421"/>
    <s v="Arjun Ghosh"/>
    <n v="21"/>
    <x v="0"/>
    <n v="260000"/>
    <x v="3"/>
    <n v="48"/>
    <x v="394"/>
    <n v="6408.5588732972838"/>
    <n v="307610.82591826963"/>
    <x v="9"/>
    <x v="238"/>
    <x v="1"/>
  </r>
  <r>
    <x v="422"/>
    <s v="Hemant Chatterjee"/>
    <n v="36"/>
    <x v="6"/>
    <n v="390000"/>
    <x v="5"/>
    <n v="12"/>
    <x v="207"/>
    <n v="33925.48734331422"/>
    <n v="407105.84811977064"/>
    <x v="24"/>
    <x v="140"/>
    <x v="0"/>
  </r>
  <r>
    <x v="423"/>
    <s v="Manoj Yadav"/>
    <n v="59"/>
    <x v="4"/>
    <n v="3470000"/>
    <x v="1"/>
    <n v="84"/>
    <x v="395"/>
    <n v="60331.019046233254"/>
    <n v="5067805.5998835936"/>
    <x v="37"/>
    <x v="128"/>
    <x v="1"/>
  </r>
  <r>
    <x v="424"/>
    <s v="Divya Sen"/>
    <n v="25"/>
    <x v="1"/>
    <n v="2560000"/>
    <x v="7"/>
    <n v="120"/>
    <x v="396"/>
    <n v="33830.588641730981"/>
    <n v="4059670.637007718"/>
    <x v="5"/>
    <x v="241"/>
    <x v="0"/>
  </r>
  <r>
    <x v="425"/>
    <s v="Pallavi Mishra"/>
    <n v="42"/>
    <x v="2"/>
    <n v="730000"/>
    <x v="5"/>
    <n v="24"/>
    <x v="397"/>
    <n v="33015.922763014431"/>
    <n v="792382.14631234633"/>
    <x v="8"/>
    <x v="242"/>
    <x v="1"/>
  </r>
  <r>
    <x v="426"/>
    <s v="Ajay Dutta"/>
    <n v="49"/>
    <x v="1"/>
    <n v="6440000"/>
    <x v="7"/>
    <n v="120"/>
    <x v="398"/>
    <n v="85105.074551854501"/>
    <n v="10212608.94622254"/>
    <x v="21"/>
    <x v="96"/>
    <x v="0"/>
  </r>
  <r>
    <x v="427"/>
    <s v="Sunil Rao"/>
    <n v="23"/>
    <x v="1"/>
    <n v="7460000"/>
    <x v="9"/>
    <n v="60"/>
    <x v="399"/>
    <n v="169737.92490991121"/>
    <n v="10184275.494594673"/>
    <x v="18"/>
    <x v="243"/>
    <x v="1"/>
  </r>
  <r>
    <x v="428"/>
    <s v="Ritu Bhat"/>
    <n v="32"/>
    <x v="2"/>
    <n v="110000"/>
    <x v="0"/>
    <n v="240"/>
    <x v="221"/>
    <n v="1249.7546046858063"/>
    <n v="299941.10512459348"/>
    <x v="19"/>
    <x v="244"/>
    <x v="3"/>
  </r>
  <r>
    <x v="429"/>
    <s v="Kiran Dutta"/>
    <n v="46"/>
    <x v="3"/>
    <n v="200000"/>
    <x v="8"/>
    <n v="60"/>
    <x v="31"/>
    <n v="4298.7800756234919"/>
    <n v="257926.80453740951"/>
    <x v="11"/>
    <x v="111"/>
    <x v="0"/>
  </r>
  <r>
    <x v="430"/>
    <s v="Vikram Rao"/>
    <n v="36"/>
    <x v="1"/>
    <n v="7940000"/>
    <x v="2"/>
    <n v="12"/>
    <x v="173"/>
    <n v="705459.38210603304"/>
    <n v="8465512.585272396"/>
    <x v="2"/>
    <x v="31"/>
    <x v="1"/>
  </r>
  <r>
    <x v="431"/>
    <s v="Neha Das"/>
    <n v="57"/>
    <x v="2"/>
    <n v="510000"/>
    <x v="5"/>
    <n v="240"/>
    <x v="400"/>
    <n v="4265.8443518666609"/>
    <n v="1023802.6444479986"/>
    <x v="35"/>
    <x v="183"/>
    <x v="1"/>
  </r>
  <r>
    <x v="432"/>
    <s v="Rajesh Pandey"/>
    <n v="42"/>
    <x v="4"/>
    <n v="1210000"/>
    <x v="7"/>
    <n v="84"/>
    <x v="401"/>
    <n v="20087.432672531948"/>
    <n v="1687344.3444926837"/>
    <x v="33"/>
    <x v="56"/>
    <x v="2"/>
  </r>
  <r>
    <x v="433"/>
    <s v="Vikas Mukherjee"/>
    <n v="49"/>
    <x v="2"/>
    <n v="860000"/>
    <x v="4"/>
    <n v="240"/>
    <x v="402"/>
    <n v="8016.3282153682558"/>
    <n v="1923918.7716883814"/>
    <x v="22"/>
    <x v="187"/>
    <x v="0"/>
  </r>
  <r>
    <x v="434"/>
    <s v="Usha Mehta"/>
    <n v="34"/>
    <x v="0"/>
    <n v="1370000"/>
    <x v="7"/>
    <n v="240"/>
    <x v="403"/>
    <n v="13220.796537513907"/>
    <n v="3172991.1690033376"/>
    <x v="26"/>
    <x v="198"/>
    <x v="0"/>
  </r>
  <r>
    <x v="435"/>
    <s v="Amit Iyer"/>
    <n v="48"/>
    <x v="6"/>
    <n v="710000"/>
    <x v="3"/>
    <n v="180"/>
    <x v="404"/>
    <n v="6991.6508612717125"/>
    <n v="1258497.1550289083"/>
    <x v="27"/>
    <x v="208"/>
    <x v="0"/>
  </r>
  <r>
    <x v="436"/>
    <s v="Ritu Kumar"/>
    <n v="25"/>
    <x v="2"/>
    <n v="700000"/>
    <x v="3"/>
    <n v="180"/>
    <x v="405"/>
    <n v="6893.176905479153"/>
    <n v="1240771.8429862475"/>
    <x v="21"/>
    <x v="112"/>
    <x v="1"/>
  </r>
  <r>
    <x v="437"/>
    <s v="Dinesh Verma"/>
    <n v="50"/>
    <x v="1"/>
    <n v="9740000"/>
    <x v="9"/>
    <n v="12"/>
    <x v="406"/>
    <n v="869950.26543243497"/>
    <n v="10439403.185189219"/>
    <x v="2"/>
    <x v="94"/>
    <x v="1"/>
  </r>
  <r>
    <x v="438"/>
    <s v="Lata Roy"/>
    <n v="25"/>
    <x v="3"/>
    <n v="140000"/>
    <x v="8"/>
    <n v="60"/>
    <x v="407"/>
    <n v="3009.1460529364444"/>
    <n v="180548.76317618668"/>
    <x v="27"/>
    <x v="245"/>
    <x v="1"/>
  </r>
  <r>
    <x v="439"/>
    <s v="Sunita Mehta"/>
    <n v="32"/>
    <x v="4"/>
    <n v="3690000"/>
    <x v="0"/>
    <n v="48"/>
    <x v="408"/>
    <n v="98080.195910635666"/>
    <n v="4707849.4037105124"/>
    <x v="36"/>
    <x v="202"/>
    <x v="1"/>
  </r>
  <r>
    <x v="440"/>
    <s v="Manoj Pillai"/>
    <n v="36"/>
    <x v="2"/>
    <n v="280000"/>
    <x v="11"/>
    <n v="84"/>
    <x v="409"/>
    <n v="4794.2822017716526"/>
    <n v="402719.70494881883"/>
    <x v="3"/>
    <x v="56"/>
    <x v="3"/>
  </r>
  <r>
    <x v="441"/>
    <s v="Mamta Banerjee"/>
    <n v="46"/>
    <x v="1"/>
    <n v="3330000"/>
    <x v="0"/>
    <n v="240"/>
    <x v="410"/>
    <n v="37833.480305488498"/>
    <n v="9080035.2733172402"/>
    <x v="23"/>
    <x v="211"/>
    <x v="0"/>
  </r>
  <r>
    <x v="442"/>
    <s v="Manoj Shah"/>
    <n v="46"/>
    <x v="3"/>
    <n v="190000"/>
    <x v="7"/>
    <n v="24"/>
    <x v="411"/>
    <n v="8767.5360041281365"/>
    <n v="210420.86409907526"/>
    <x v="8"/>
    <x v="1"/>
    <x v="0"/>
  </r>
  <r>
    <x v="443"/>
    <s v="Subhayan Kapoor"/>
    <n v="41"/>
    <x v="2"/>
    <n v="420000"/>
    <x v="3"/>
    <n v="24"/>
    <x v="412"/>
    <n v="19091.383450182137"/>
    <n v="458193.20280437125"/>
    <x v="25"/>
    <x v="203"/>
    <x v="1"/>
  </r>
  <r>
    <x v="444"/>
    <s v="Kavya Gupta"/>
    <n v="59"/>
    <x v="4"/>
    <n v="2750000"/>
    <x v="9"/>
    <n v="36"/>
    <x v="413"/>
    <n v="92658.36800905237"/>
    <n v="3335701.2483258853"/>
    <x v="18"/>
    <x v="74"/>
    <x v="1"/>
  </r>
  <r>
    <x v="445"/>
    <s v="Kiran Ghosh"/>
    <n v="56"/>
    <x v="4"/>
    <n v="4640000"/>
    <x v="1"/>
    <n v="240"/>
    <x v="414"/>
    <n v="49482.334902196664"/>
    <n v="11875760.3765272"/>
    <x v="9"/>
    <x v="48"/>
    <x v="0"/>
  </r>
  <r>
    <x v="446"/>
    <s v="Rekha Iyer"/>
    <n v="53"/>
    <x v="6"/>
    <n v="510000"/>
    <x v="9"/>
    <n v="240"/>
    <x v="415"/>
    <n v="5975.0361275193472"/>
    <n v="1434008.6706046434"/>
    <x v="36"/>
    <x v="94"/>
    <x v="2"/>
  </r>
  <r>
    <x v="447"/>
    <s v="Mukesh Sen"/>
    <n v="50"/>
    <x v="4"/>
    <n v="1030000"/>
    <x v="2"/>
    <n v="12"/>
    <x v="416"/>
    <n v="91514.252338691935"/>
    <n v="1098171.0280643031"/>
    <x v="2"/>
    <x v="44"/>
    <x v="1"/>
  </r>
  <r>
    <x v="448"/>
    <s v="Kiran Banerjee"/>
    <n v="57"/>
    <x v="3"/>
    <n v="140000"/>
    <x v="7"/>
    <n v="24"/>
    <x v="417"/>
    <n v="6460.2896872523106"/>
    <n v="155046.95249405544"/>
    <x v="15"/>
    <x v="246"/>
    <x v="1"/>
  </r>
  <r>
    <x v="449"/>
    <s v="Pallavi Chatterjee"/>
    <n v="43"/>
    <x v="1"/>
    <n v="8290000"/>
    <x v="6"/>
    <n v="48"/>
    <x v="418"/>
    <n v="206297.00127991461"/>
    <n v="9902256.0614359006"/>
    <x v="32"/>
    <x v="247"/>
    <x v="1"/>
  </r>
  <r>
    <x v="450"/>
    <s v="Dinesh Mishra"/>
    <n v="30"/>
    <x v="4"/>
    <n v="2810000"/>
    <x v="0"/>
    <n v="48"/>
    <x v="332"/>
    <n v="74689.796885877033"/>
    <n v="3585110.2505220976"/>
    <x v="29"/>
    <x v="164"/>
    <x v="2"/>
  </r>
  <r>
    <x v="451"/>
    <s v="Amit Gupta"/>
    <n v="25"/>
    <x v="4"/>
    <n v="4030000"/>
    <x v="2"/>
    <n v="120"/>
    <x v="419"/>
    <n v="57818.79220624271"/>
    <n v="6938255.0647491254"/>
    <x v="28"/>
    <x v="187"/>
    <x v="1"/>
  </r>
  <r>
    <x v="452"/>
    <s v="Geeta Das"/>
    <n v="56"/>
    <x v="1"/>
    <n v="6030000"/>
    <x v="3"/>
    <n v="24"/>
    <x v="420"/>
    <n v="274097.71953475778"/>
    <n v="6578345.2688341867"/>
    <x v="1"/>
    <x v="225"/>
    <x v="1"/>
  </r>
  <r>
    <x v="453"/>
    <s v="Vinod Banerjee"/>
    <n v="54"/>
    <x v="1"/>
    <n v="9120000"/>
    <x v="8"/>
    <n v="48"/>
    <x v="421"/>
    <n v="233502.82333736477"/>
    <n v="11208135.52019351"/>
    <x v="16"/>
    <x v="248"/>
    <x v="1"/>
  </r>
  <r>
    <x v="454"/>
    <s v="Kiran Joshi"/>
    <n v="51"/>
    <x v="3"/>
    <n v="460000"/>
    <x v="4"/>
    <n v="240"/>
    <x v="422"/>
    <n v="4287.803464034183"/>
    <n v="1029072.831368204"/>
    <x v="34"/>
    <x v="249"/>
    <x v="0"/>
  </r>
  <r>
    <x v="455"/>
    <s v="Sunil Nair"/>
    <n v="30"/>
    <x v="4"/>
    <n v="1150000"/>
    <x v="9"/>
    <n v="120"/>
    <x v="423"/>
    <n v="17170.735097380857"/>
    <n v="2060488.2116857029"/>
    <x v="9"/>
    <x v="168"/>
    <x v="1"/>
  </r>
  <r>
    <x v="456"/>
    <s v="Pallavi Shah"/>
    <n v="39"/>
    <x v="3"/>
    <n v="240000"/>
    <x v="9"/>
    <n v="24"/>
    <x v="424"/>
    <n v="11410.037421228244"/>
    <n v="273840.89810947783"/>
    <x v="8"/>
    <x v="250"/>
    <x v="1"/>
  </r>
  <r>
    <x v="457"/>
    <s v="Hemant Nair"/>
    <n v="52"/>
    <x v="4"/>
    <n v="2610000"/>
    <x v="4"/>
    <n v="36"/>
    <x v="425"/>
    <n v="83605.998823440197"/>
    <n v="3009815.957643847"/>
    <x v="2"/>
    <x v="43"/>
    <x v="0"/>
  </r>
  <r>
    <x v="458"/>
    <s v="Ajay Ghosh"/>
    <n v="21"/>
    <x v="2"/>
    <n v="360000"/>
    <x v="3"/>
    <n v="12"/>
    <x v="426"/>
    <n v="31399.121685633381"/>
    <n v="376789.46022760059"/>
    <x v="30"/>
    <x v="132"/>
    <x v="1"/>
  </r>
  <r>
    <x v="459"/>
    <s v="Mukesh Mehta"/>
    <n v="25"/>
    <x v="0"/>
    <n v="1710000"/>
    <x v="3"/>
    <n v="180"/>
    <x v="427"/>
    <n v="16839.046440527647"/>
    <n v="3031028.3592949766"/>
    <x v="27"/>
    <x v="83"/>
    <x v="0"/>
  </r>
  <r>
    <x v="460"/>
    <s v="Lata Banerjee"/>
    <n v="24"/>
    <x v="4"/>
    <n v="4660000"/>
    <x v="9"/>
    <n v="84"/>
    <x v="428"/>
    <n v="84774.549205294636"/>
    <n v="7121062.1332447492"/>
    <x v="33"/>
    <x v="197"/>
    <x v="1"/>
  </r>
  <r>
    <x v="461"/>
    <s v="Rajesh Rao"/>
    <n v="36"/>
    <x v="6"/>
    <n v="1450000"/>
    <x v="10"/>
    <n v="12"/>
    <x v="429"/>
    <n v="125798.25448384046"/>
    <n v="1509579.0538060856"/>
    <x v="28"/>
    <x v="37"/>
    <x v="0"/>
  </r>
  <r>
    <x v="462"/>
    <s v="Sanjay Rao"/>
    <n v="44"/>
    <x v="0"/>
    <n v="1490000"/>
    <x v="9"/>
    <n v="24"/>
    <x v="430"/>
    <n v="70837.315656792009"/>
    <n v="1700095.5757630081"/>
    <x v="4"/>
    <x v="20"/>
    <x v="2"/>
  </r>
  <r>
    <x v="463"/>
    <s v="Nisha Patel"/>
    <n v="36"/>
    <x v="0"/>
    <n v="610000"/>
    <x v="2"/>
    <n v="24"/>
    <x v="105"/>
    <n v="28714.818056191467"/>
    <n v="689155.63334859523"/>
    <x v="16"/>
    <x v="251"/>
    <x v="1"/>
  </r>
  <r>
    <x v="464"/>
    <s v="Kavya Mehta"/>
    <n v="22"/>
    <x v="6"/>
    <n v="1160000"/>
    <x v="8"/>
    <n v="12"/>
    <x v="431"/>
    <n v="102252.37935732535"/>
    <n v="1227028.5522879041"/>
    <x v="7"/>
    <x v="164"/>
    <x v="1"/>
  </r>
  <r>
    <x v="465"/>
    <s v="Rohit Ghosh"/>
    <n v="48"/>
    <x v="6"/>
    <n v="420000"/>
    <x v="2"/>
    <n v="36"/>
    <x v="432"/>
    <n v="13950.010121397499"/>
    <n v="502200.36437030998"/>
    <x v="1"/>
    <x v="72"/>
    <x v="1"/>
  </r>
  <r>
    <x v="466"/>
    <s v="Divya Sen"/>
    <n v="52"/>
    <x v="6"/>
    <n v="480000"/>
    <x v="10"/>
    <n v="60"/>
    <x v="433"/>
    <n v="9618.2153258994076"/>
    <n v="577092.9195539644"/>
    <x v="33"/>
    <x v="49"/>
    <x v="2"/>
  </r>
  <r>
    <x v="467"/>
    <s v="Arjun Verma"/>
    <n v="47"/>
    <x v="3"/>
    <n v="210000"/>
    <x v="3"/>
    <n v="240"/>
    <x v="35"/>
    <n v="1822.4287900676213"/>
    <n v="437382.90961622912"/>
    <x v="28"/>
    <x v="252"/>
    <x v="1"/>
  </r>
  <r>
    <x v="468"/>
    <s v="Deepak Ghosh"/>
    <n v="40"/>
    <x v="0"/>
    <n v="210000"/>
    <x v="2"/>
    <n v="24"/>
    <x v="434"/>
    <n v="9885.4291668855876"/>
    <n v="237250.3000052541"/>
    <x v="21"/>
    <x v="253"/>
    <x v="1"/>
  </r>
  <r>
    <x v="469"/>
    <s v="Pallavi Rao"/>
    <n v="44"/>
    <x v="4"/>
    <n v="3820000"/>
    <x v="7"/>
    <n v="48"/>
    <x v="435"/>
    <n v="96885.068720734256"/>
    <n v="4650483.2985952441"/>
    <x v="1"/>
    <x v="254"/>
    <x v="3"/>
  </r>
  <r>
    <x v="470"/>
    <s v="Sunil Sen"/>
    <n v="32"/>
    <x v="2"/>
    <n v="450000"/>
    <x v="2"/>
    <n v="60"/>
    <x v="436"/>
    <n v="10010.001458205797"/>
    <n v="600600.08749234781"/>
    <x v="5"/>
    <x v="18"/>
    <x v="0"/>
  </r>
  <r>
    <x v="471"/>
    <s v="Hemant Yadav"/>
    <n v="55"/>
    <x v="3"/>
    <n v="490000"/>
    <x v="6"/>
    <n v="120"/>
    <x v="437"/>
    <n v="6207.1129137622247"/>
    <n v="744853.54965146701"/>
    <x v="10"/>
    <x v="29"/>
    <x v="1"/>
  </r>
  <r>
    <x v="472"/>
    <s v="Geeta Patel"/>
    <n v="53"/>
    <x v="1"/>
    <n v="7370000"/>
    <x v="0"/>
    <n v="120"/>
    <x v="438"/>
    <n v="107879.23631200702"/>
    <n v="12945508.357440842"/>
    <x v="16"/>
    <x v="138"/>
    <x v="1"/>
  </r>
  <r>
    <x v="473"/>
    <s v="Kavya Joshi"/>
    <n v="53"/>
    <x v="0"/>
    <n v="1890000"/>
    <x v="2"/>
    <n v="180"/>
    <x v="439"/>
    <n v="22683.176373529608"/>
    <n v="4082971.7472353294"/>
    <x v="37"/>
    <x v="30"/>
    <x v="0"/>
  </r>
  <r>
    <x v="474"/>
    <s v="Nisha Nair"/>
    <n v="63"/>
    <x v="4"/>
    <n v="3260000"/>
    <x v="5"/>
    <n v="120"/>
    <x v="440"/>
    <n v="39552.795759846362"/>
    <n v="4746335.4911815636"/>
    <x v="33"/>
    <x v="107"/>
    <x v="1"/>
  </r>
  <r>
    <x v="475"/>
    <s v="Arjun Joshi"/>
    <n v="57"/>
    <x v="5"/>
    <n v="1220000"/>
    <x v="11"/>
    <n v="120"/>
    <x v="441"/>
    <n v="16805.501377614546"/>
    <n v="2016660.1653137456"/>
    <x v="33"/>
    <x v="96"/>
    <x v="0"/>
  </r>
  <r>
    <x v="476"/>
    <s v="Subhayan Banerjee"/>
    <n v="32"/>
    <x v="4"/>
    <n v="3310000"/>
    <x v="3"/>
    <n v="84"/>
    <x v="442"/>
    <n v="52418.766796935699"/>
    <n v="4403176.4109425992"/>
    <x v="3"/>
    <x v="171"/>
    <x v="1"/>
  </r>
  <r>
    <x v="477"/>
    <s v="Divya Singh"/>
    <n v="23"/>
    <x v="3"/>
    <n v="280000"/>
    <x v="7"/>
    <n v="12"/>
    <x v="443"/>
    <n v="24616.448424402686"/>
    <n v="295397.38109283225"/>
    <x v="14"/>
    <x v="255"/>
    <x v="0"/>
  </r>
  <r>
    <x v="478"/>
    <s v="Manoj Sharma"/>
    <n v="21"/>
    <x v="6"/>
    <n v="1910000"/>
    <x v="9"/>
    <n v="120"/>
    <x v="444"/>
    <n v="28518.351335649946"/>
    <n v="3422202.1602779934"/>
    <x v="4"/>
    <x v="162"/>
    <x v="0"/>
  </r>
  <r>
    <x v="479"/>
    <s v="Rahul Shah"/>
    <n v="53"/>
    <x v="5"/>
    <n v="590000"/>
    <x v="5"/>
    <n v="24"/>
    <x v="445"/>
    <n v="26684.101959148651"/>
    <n v="640418.4470195676"/>
    <x v="19"/>
    <x v="252"/>
    <x v="1"/>
  </r>
  <r>
    <x v="480"/>
    <s v="Geeta Banerjee"/>
    <n v="60"/>
    <x v="3"/>
    <n v="210000"/>
    <x v="6"/>
    <n v="240"/>
    <x v="446"/>
    <n v="1889.4245072853632"/>
    <n v="453461.88174848718"/>
    <x v="8"/>
    <x v="211"/>
    <x v="1"/>
  </r>
  <r>
    <x v="481"/>
    <s v="Pooja Chatterjee"/>
    <n v="30"/>
    <x v="4"/>
    <n v="3190000"/>
    <x v="7"/>
    <n v="12"/>
    <x v="447"/>
    <n v="280451.68026373064"/>
    <n v="3365420.1631647674"/>
    <x v="37"/>
    <x v="131"/>
    <x v="1"/>
  </r>
  <r>
    <x v="482"/>
    <s v="Dinesh Patel"/>
    <n v="63"/>
    <x v="2"/>
    <n v="730000"/>
    <x v="7"/>
    <n v="24"/>
    <x v="448"/>
    <n v="33685.79622638705"/>
    <n v="808459.10943328915"/>
    <x v="25"/>
    <x v="256"/>
    <x v="1"/>
  </r>
  <r>
    <x v="483"/>
    <s v="Subhayan Pandey"/>
    <n v="64"/>
    <x v="3"/>
    <n v="410000"/>
    <x v="3"/>
    <n v="12"/>
    <x v="449"/>
    <n v="35760.110808638019"/>
    <n v="429121.32970365626"/>
    <x v="26"/>
    <x v="246"/>
    <x v="0"/>
  </r>
  <r>
    <x v="484"/>
    <s v="Geeta Iyer"/>
    <n v="49"/>
    <x v="2"/>
    <n v="310000"/>
    <x v="0"/>
    <n v="24"/>
    <x v="450"/>
    <n v="14665.265553004851"/>
    <n v="351966.37327211641"/>
    <x v="32"/>
    <x v="257"/>
    <x v="0"/>
  </r>
  <r>
    <x v="485"/>
    <s v="Pallavi Mishra"/>
    <n v="33"/>
    <x v="5"/>
    <n v="1300000"/>
    <x v="5"/>
    <n v="84"/>
    <x v="451"/>
    <n v="20262.078723470404"/>
    <n v="1702014.6127715139"/>
    <x v="26"/>
    <x v="26"/>
    <x v="0"/>
  </r>
  <r>
    <x v="486"/>
    <s v="Anil Kumar"/>
    <n v="32"/>
    <x v="1"/>
    <n v="6270000"/>
    <x v="9"/>
    <n v="240"/>
    <x v="452"/>
    <n v="73457.79709714964"/>
    <n v="17629871.303315915"/>
    <x v="7"/>
    <x v="243"/>
    <x v="1"/>
  </r>
  <r>
    <x v="487"/>
    <s v="Rahul Rao"/>
    <n v="51"/>
    <x v="0"/>
    <n v="570000"/>
    <x v="0"/>
    <n v="24"/>
    <x v="453"/>
    <n v="26965.165694234722"/>
    <n v="647163.97666163335"/>
    <x v="15"/>
    <x v="258"/>
    <x v="0"/>
  </r>
  <r>
    <x v="488"/>
    <s v="Pallavi Patel"/>
    <n v="22"/>
    <x v="0"/>
    <n v="1040000"/>
    <x v="0"/>
    <n v="60"/>
    <x v="454"/>
    <n v="23397.855754432472"/>
    <n v="1403871.3452659482"/>
    <x v="11"/>
    <x v="205"/>
    <x v="1"/>
  </r>
  <r>
    <x v="489"/>
    <s v="Sneha Bose"/>
    <n v="55"/>
    <x v="3"/>
    <n v="220000"/>
    <x v="9"/>
    <n v="60"/>
    <x v="455"/>
    <n v="5005.6760697292848"/>
    <n v="300340.56418375706"/>
    <x v="26"/>
    <x v="235"/>
    <x v="1"/>
  </r>
  <r>
    <x v="490"/>
    <s v="Dinesh Gupta"/>
    <n v="43"/>
    <x v="5"/>
    <n v="910000"/>
    <x v="7"/>
    <n v="24"/>
    <x v="456"/>
    <n v="41991.882967140024"/>
    <n v="1007805.1912113605"/>
    <x v="24"/>
    <x v="144"/>
    <x v="2"/>
  </r>
  <r>
    <x v="491"/>
    <s v="Preeti Chatterjee"/>
    <n v="37"/>
    <x v="2"/>
    <n v="870000"/>
    <x v="11"/>
    <n v="60"/>
    <x v="457"/>
    <n v="18915.90807319968"/>
    <n v="1134954.4843919808"/>
    <x v="1"/>
    <x v="221"/>
    <x v="1"/>
  </r>
  <r>
    <x v="492"/>
    <s v="Rahul Singh"/>
    <n v="46"/>
    <x v="5"/>
    <n v="1330000"/>
    <x v="10"/>
    <n v="180"/>
    <x v="321"/>
    <n v="12329.264388036418"/>
    <n v="2219267.5898465551"/>
    <x v="24"/>
    <x v="259"/>
    <x v="2"/>
  </r>
  <r>
    <x v="493"/>
    <s v="Suresh Roy"/>
    <n v="28"/>
    <x v="6"/>
    <n v="1410000"/>
    <x v="4"/>
    <n v="120"/>
    <x v="458"/>
    <n v="18245.05561606956"/>
    <n v="2189406.673928347"/>
    <x v="8"/>
    <x v="260"/>
    <x v="1"/>
  </r>
  <r>
    <x v="494"/>
    <s v="Preeti Joshi"/>
    <n v="49"/>
    <x v="3"/>
    <n v="460000"/>
    <x v="6"/>
    <n v="120"/>
    <x v="204"/>
    <n v="5827.0855925114756"/>
    <n v="699250.27110137709"/>
    <x v="21"/>
    <x v="181"/>
    <x v="0"/>
  </r>
  <r>
    <x v="495"/>
    <s v="Vikram Das"/>
    <n v="46"/>
    <x v="6"/>
    <n v="710000"/>
    <x v="6"/>
    <n v="12"/>
    <x v="459"/>
    <n v="62090.548506644212"/>
    <n v="745086.58207973058"/>
    <x v="28"/>
    <x v="67"/>
    <x v="3"/>
  </r>
  <r>
    <x v="496"/>
    <s v="Rohit Shah"/>
    <n v="30"/>
    <x v="1"/>
    <n v="6470000"/>
    <x v="9"/>
    <n v="180"/>
    <x v="337"/>
    <n v="81861.168222948778"/>
    <n v="14735010.280130779"/>
    <x v="32"/>
    <x v="261"/>
    <x v="0"/>
  </r>
  <r>
    <x v="497"/>
    <s v="Rekha Yadav"/>
    <n v="46"/>
    <x v="5"/>
    <n v="1090000"/>
    <x v="5"/>
    <n v="36"/>
    <x v="460"/>
    <n v="34156.638352959621"/>
    <n v="1229638.9807065465"/>
    <x v="23"/>
    <x v="136"/>
    <x v="1"/>
  </r>
  <r>
    <x v="498"/>
    <s v="Mamta Roy"/>
    <n v="54"/>
    <x v="5"/>
    <n v="890000"/>
    <x v="7"/>
    <n v="240"/>
    <x v="461"/>
    <n v="8588.6926411586701"/>
    <n v="2061286.2338780807"/>
    <x v="9"/>
    <x v="19"/>
    <x v="2"/>
  </r>
  <r>
    <x v="499"/>
    <s v="Vikas Das"/>
    <n v="61"/>
    <x v="5"/>
    <n v="1120000"/>
    <x v="4"/>
    <n v="48"/>
    <x v="462"/>
    <n v="28137.913071447991"/>
    <n v="1350619.8274295037"/>
    <x v="5"/>
    <x v="63"/>
    <x v="0"/>
  </r>
  <r>
    <x v="500"/>
    <s v="Hemant Bose"/>
    <n v="27"/>
    <x v="5"/>
    <n v="1070000"/>
    <x v="5"/>
    <n v="36"/>
    <x v="296"/>
    <n v="33529.911043731008"/>
    <n v="1207076.7975743164"/>
    <x v="37"/>
    <x v="78"/>
    <x v="3"/>
  </r>
  <r>
    <x v="501"/>
    <s v="Neha Menon"/>
    <n v="24"/>
    <x v="1"/>
    <n v="2910000"/>
    <x v="9"/>
    <n v="120"/>
    <x v="463"/>
    <n v="43449.425333372434"/>
    <n v="5213931.040004692"/>
    <x v="22"/>
    <x v="160"/>
    <x v="1"/>
  </r>
  <r>
    <x v="502"/>
    <s v="Neha Joshi"/>
    <n v="31"/>
    <x v="2"/>
    <n v="690000"/>
    <x v="10"/>
    <n v="240"/>
    <x v="464"/>
    <n v="5558.5930355074697"/>
    <n v="1334062.3285217928"/>
    <x v="4"/>
    <x v="164"/>
    <x v="2"/>
  </r>
  <r>
    <x v="503"/>
    <s v="Sunil Reddy"/>
    <n v="49"/>
    <x v="4"/>
    <n v="2180000"/>
    <x v="10"/>
    <n v="60"/>
    <x v="465"/>
    <n v="43682.727938459808"/>
    <n v="2620963.6763075884"/>
    <x v="23"/>
    <x v="32"/>
    <x v="2"/>
  </r>
  <r>
    <x v="504"/>
    <s v="Sanjay Pandey"/>
    <n v="56"/>
    <x v="1"/>
    <n v="4020000"/>
    <x v="8"/>
    <n v="36"/>
    <x v="466"/>
    <n v="130659.82288884145"/>
    <n v="4703753.6239982918"/>
    <x v="21"/>
    <x v="234"/>
    <x v="1"/>
  </r>
  <r>
    <x v="505"/>
    <s v="Vikas Sharma"/>
    <n v="45"/>
    <x v="2"/>
    <n v="810000"/>
    <x v="11"/>
    <n v="60"/>
    <x v="467"/>
    <n v="17611.36268884108"/>
    <n v="1056681.7613304649"/>
    <x v="35"/>
    <x v="171"/>
    <x v="1"/>
  </r>
  <r>
    <x v="506"/>
    <s v="Vikas Ghosh"/>
    <n v="41"/>
    <x v="0"/>
    <n v="1810000"/>
    <x v="9"/>
    <n v="84"/>
    <x v="468"/>
    <n v="32927.453661283966"/>
    <n v="2765906.1075478531"/>
    <x v="23"/>
    <x v="172"/>
    <x v="1"/>
  </r>
  <r>
    <x v="507"/>
    <s v="Anjali Sen"/>
    <n v="56"/>
    <x v="3"/>
    <n v="340000"/>
    <x v="8"/>
    <n v="12"/>
    <x v="469"/>
    <n v="29970.524984043641"/>
    <n v="359646.29980852368"/>
    <x v="34"/>
    <x v="85"/>
    <x v="0"/>
  </r>
  <r>
    <x v="508"/>
    <s v="Deepak Chatterjee"/>
    <n v="30"/>
    <x v="2"/>
    <n v="130000"/>
    <x v="3"/>
    <n v="240"/>
    <x v="470"/>
    <n v="1128.1702033751942"/>
    <n v="270760.84881004662"/>
    <x v="5"/>
    <x v="29"/>
    <x v="1"/>
  </r>
  <r>
    <x v="509"/>
    <s v="Deepak Rao"/>
    <n v="57"/>
    <x v="3"/>
    <n v="430000"/>
    <x v="8"/>
    <n v="240"/>
    <x v="107"/>
    <n v="4293.0335139688286"/>
    <n v="1030328.0433525189"/>
    <x v="14"/>
    <x v="164"/>
    <x v="0"/>
  </r>
  <r>
    <x v="510"/>
    <s v="Vikram Kumar"/>
    <n v="29"/>
    <x v="0"/>
    <n v="1170000"/>
    <x v="11"/>
    <n v="36"/>
    <x v="471"/>
    <n v="38304.29902689239"/>
    <n v="1378954.7649681261"/>
    <x v="30"/>
    <x v="262"/>
    <x v="0"/>
  </r>
  <r>
    <x v="511"/>
    <s v="Kiran Kumar"/>
    <n v="44"/>
    <x v="2"/>
    <n v="840000"/>
    <x v="8"/>
    <n v="24"/>
    <x v="472"/>
    <n v="38955.874977072184"/>
    <n v="934940.99944973248"/>
    <x v="30"/>
    <x v="11"/>
    <x v="0"/>
  </r>
  <r>
    <x v="512"/>
    <s v="Mukesh Gupta"/>
    <n v="55"/>
    <x v="5"/>
    <n v="740000"/>
    <x v="7"/>
    <n v="12"/>
    <x v="473"/>
    <n v="65057.756550207094"/>
    <n v="780693.07860248513"/>
    <x v="9"/>
    <x v="57"/>
    <x v="0"/>
  </r>
  <r>
    <x v="513"/>
    <s v="Meena Mitra"/>
    <n v="55"/>
    <x v="1"/>
    <n v="8360000"/>
    <x v="1"/>
    <n v="12"/>
    <x v="474"/>
    <n v="740821.85031636071"/>
    <n v="8889862.203796329"/>
    <x v="33"/>
    <x v="91"/>
    <x v="1"/>
  </r>
  <r>
    <x v="514"/>
    <s v="Rekha Mishra"/>
    <n v="56"/>
    <x v="0"/>
    <n v="1870000"/>
    <x v="8"/>
    <n v="120"/>
    <x v="475"/>
    <n v="25232.844397027286"/>
    <n v="3027941.3276432743"/>
    <x v="8"/>
    <x v="228"/>
    <x v="1"/>
  </r>
  <r>
    <x v="515"/>
    <s v="Mamta Iyer"/>
    <n v="38"/>
    <x v="2"/>
    <n v="410000"/>
    <x v="5"/>
    <n v="240"/>
    <x v="476"/>
    <n v="3429.4042828731976"/>
    <n v="823057.02788956743"/>
    <x v="37"/>
    <x v="86"/>
    <x v="0"/>
  </r>
  <r>
    <x v="516"/>
    <s v="Geeta Sharma"/>
    <n v="59"/>
    <x v="4"/>
    <n v="1080000"/>
    <x v="11"/>
    <n v="240"/>
    <x v="477"/>
    <n v="11147.634637661413"/>
    <n v="2675432.3130387389"/>
    <x v="1"/>
    <x v="263"/>
    <x v="1"/>
  </r>
  <r>
    <x v="517"/>
    <s v="Nisha Joshi"/>
    <n v="52"/>
    <x v="4"/>
    <n v="3930000"/>
    <x v="2"/>
    <n v="24"/>
    <x v="158"/>
    <n v="184998.7458374303"/>
    <n v="4439969.9000983275"/>
    <x v="32"/>
    <x v="53"/>
    <x v="0"/>
  </r>
  <r>
    <x v="518"/>
    <s v="Geeta Banerjee"/>
    <n v="44"/>
    <x v="6"/>
    <n v="1610000"/>
    <x v="0"/>
    <n v="60"/>
    <x v="478"/>
    <n v="36221.680542919501"/>
    <n v="2173300.8325751699"/>
    <x v="33"/>
    <x v="228"/>
    <x v="0"/>
  </r>
  <r>
    <x v="519"/>
    <s v="Rajesh Gupta"/>
    <n v="43"/>
    <x v="2"/>
    <n v="620000"/>
    <x v="0"/>
    <n v="48"/>
    <x v="274"/>
    <n v="16479.599312898135"/>
    <n v="791020.7670191105"/>
    <x v="36"/>
    <x v="264"/>
    <x v="0"/>
  </r>
  <r>
    <x v="520"/>
    <s v="Nisha Menon"/>
    <n v="52"/>
    <x v="1"/>
    <n v="3340000"/>
    <x v="6"/>
    <n v="84"/>
    <x v="479"/>
    <n v="53737.521388528759"/>
    <n v="4513951.7966364156"/>
    <x v="11"/>
    <x v="167"/>
    <x v="1"/>
  </r>
  <r>
    <x v="521"/>
    <s v="Sunita Roy"/>
    <n v="57"/>
    <x v="5"/>
    <n v="940000"/>
    <x v="3"/>
    <n v="48"/>
    <x v="480"/>
    <n v="23169.405157305566"/>
    <n v="1112131.4475506672"/>
    <x v="30"/>
    <x v="121"/>
    <x v="1"/>
  </r>
  <r>
    <x v="522"/>
    <s v="Sunil Mukherjee"/>
    <n v="32"/>
    <x v="6"/>
    <n v="710000"/>
    <x v="11"/>
    <n v="120"/>
    <x v="481"/>
    <n v="9780.2508017264972"/>
    <n v="1173630.0962071796"/>
    <x v="26"/>
    <x v="172"/>
    <x v="1"/>
  </r>
  <r>
    <x v="523"/>
    <s v="Kavya Reddy"/>
    <n v="33"/>
    <x v="2"/>
    <n v="360000"/>
    <x v="5"/>
    <n v="240"/>
    <x v="307"/>
    <n v="3011.1842483764663"/>
    <n v="722684.21961035195"/>
    <x v="21"/>
    <x v="232"/>
    <x v="1"/>
  </r>
  <r>
    <x v="524"/>
    <s v="Rohit Shah"/>
    <n v="43"/>
    <x v="5"/>
    <n v="620000"/>
    <x v="10"/>
    <n v="36"/>
    <x v="482"/>
    <n v="19285.855259606989"/>
    <n v="694290.78934585163"/>
    <x v="31"/>
    <x v="106"/>
    <x v="1"/>
  </r>
  <r>
    <x v="525"/>
    <s v="Nisha Chatterjee"/>
    <n v="45"/>
    <x v="1"/>
    <n v="8100000"/>
    <x v="4"/>
    <n v="36"/>
    <x v="168"/>
    <n v="259466.89290033167"/>
    <n v="9340808.1444119401"/>
    <x v="5"/>
    <x v="109"/>
    <x v="1"/>
  </r>
  <r>
    <x v="526"/>
    <s v="Suresh Menon"/>
    <n v="55"/>
    <x v="1"/>
    <n v="7320000"/>
    <x v="10"/>
    <n v="36"/>
    <x v="483"/>
    <n v="227697.51693600512"/>
    <n v="8197110.6096961843"/>
    <x v="10"/>
    <x v="132"/>
    <x v="1"/>
  </r>
  <r>
    <x v="527"/>
    <s v="Manoj Dutta"/>
    <n v="61"/>
    <x v="6"/>
    <n v="360000"/>
    <x v="7"/>
    <n v="48"/>
    <x v="185"/>
    <n v="9130.5300365089879"/>
    <n v="438265.44175243145"/>
    <x v="35"/>
    <x v="36"/>
    <x v="1"/>
  </r>
  <r>
    <x v="528"/>
    <s v="Suresh Gupta"/>
    <n v="50"/>
    <x v="6"/>
    <n v="1140000"/>
    <x v="4"/>
    <n v="60"/>
    <x v="484"/>
    <n v="23942.12189307568"/>
    <n v="1436527.3135845407"/>
    <x v="36"/>
    <x v="265"/>
    <x v="1"/>
  </r>
  <r>
    <x v="529"/>
    <s v="Rahul Kumar"/>
    <n v="37"/>
    <x v="2"/>
    <n v="730000"/>
    <x v="5"/>
    <n v="48"/>
    <x v="485"/>
    <n v="17821.433309296812"/>
    <n v="855428.79884624691"/>
    <x v="0"/>
    <x v="136"/>
    <x v="2"/>
  </r>
  <r>
    <x v="530"/>
    <s v="Sanjay Yadav"/>
    <n v="40"/>
    <x v="5"/>
    <n v="1310000"/>
    <x v="5"/>
    <n v="24"/>
    <x v="486"/>
    <n v="59247.751807601242"/>
    <n v="1421946.0433824298"/>
    <x v="14"/>
    <x v="266"/>
    <x v="0"/>
  </r>
  <r>
    <x v="531"/>
    <s v="Preeti Menon"/>
    <n v="45"/>
    <x v="0"/>
    <n v="1420000"/>
    <x v="7"/>
    <n v="36"/>
    <x v="487"/>
    <n v="45819.405815249229"/>
    <n v="1649498.6093489723"/>
    <x v="37"/>
    <x v="172"/>
    <x v="0"/>
  </r>
  <r>
    <x v="532"/>
    <s v="Geeta Mishra"/>
    <n v="42"/>
    <x v="4"/>
    <n v="3860000"/>
    <x v="3"/>
    <n v="12"/>
    <x v="488"/>
    <n v="336668.36029595794"/>
    <n v="4040020.3235514956"/>
    <x v="13"/>
    <x v="172"/>
    <x v="3"/>
  </r>
  <r>
    <x v="533"/>
    <s v="Rohit Mishra"/>
    <n v="33"/>
    <x v="5"/>
    <n v="1420000"/>
    <x v="8"/>
    <n v="240"/>
    <x v="489"/>
    <n v="14176.994394966829"/>
    <n v="3402478.6547920387"/>
    <x v="23"/>
    <x v="88"/>
    <x v="0"/>
  </r>
  <r>
    <x v="534"/>
    <s v="Sanjay Banerjee"/>
    <n v="39"/>
    <x v="1"/>
    <n v="9500000"/>
    <x v="3"/>
    <n v="180"/>
    <x v="490"/>
    <n v="93550.258002931369"/>
    <n v="16839046.440527648"/>
    <x v="17"/>
    <x v="173"/>
    <x v="0"/>
  </r>
  <r>
    <x v="535"/>
    <s v="Vinod Rao"/>
    <n v="56"/>
    <x v="0"/>
    <n v="1650000"/>
    <x v="9"/>
    <n v="240"/>
    <x v="491"/>
    <n v="19330.999236092008"/>
    <n v="4639439.8166620815"/>
    <x v="11"/>
    <x v="9"/>
    <x v="1"/>
  </r>
  <r>
    <x v="536"/>
    <s v="Shweta Shah"/>
    <n v="32"/>
    <x v="1"/>
    <n v="8020000"/>
    <x v="5"/>
    <n v="24"/>
    <x v="481"/>
    <n v="362722.87747859687"/>
    <n v="8705349.0594863258"/>
    <x v="19"/>
    <x v="254"/>
    <x v="2"/>
  </r>
  <r>
    <x v="537"/>
    <s v="Dinesh Mishra"/>
    <n v="61"/>
    <x v="0"/>
    <n v="1340000"/>
    <x v="1"/>
    <n v="60"/>
    <x v="492"/>
    <n v="29470.093882326331"/>
    <n v="1768205.6329395799"/>
    <x v="7"/>
    <x v="26"/>
    <x v="1"/>
  </r>
  <r>
    <x v="538"/>
    <s v="Vikram Yadav"/>
    <n v="39"/>
    <x v="2"/>
    <n v="140000"/>
    <x v="5"/>
    <n v="24"/>
    <x v="493"/>
    <n v="6331.8208038657813"/>
    <n v="151963.69929277874"/>
    <x v="33"/>
    <x v="152"/>
    <x v="0"/>
  </r>
  <r>
    <x v="539"/>
    <s v="Priya Pillai"/>
    <n v="32"/>
    <x v="4"/>
    <n v="3520000"/>
    <x v="7"/>
    <n v="60"/>
    <x v="494"/>
    <n v="74789.597383664324"/>
    <n v="4487375.8430198599"/>
    <x v="27"/>
    <x v="267"/>
    <x v="2"/>
  </r>
  <r>
    <x v="540"/>
    <s v="Ajay Ghosh"/>
    <n v="29"/>
    <x v="3"/>
    <n v="420000"/>
    <x v="2"/>
    <n v="24"/>
    <x v="495"/>
    <n v="19770.858333771175"/>
    <n v="474500.60001050821"/>
    <x v="18"/>
    <x v="191"/>
    <x v="0"/>
  </r>
  <r>
    <x v="541"/>
    <s v="Ritu Yadav"/>
    <n v="27"/>
    <x v="2"/>
    <n v="950000"/>
    <x v="2"/>
    <n v="48"/>
    <x v="108"/>
    <n v="25017.143660331378"/>
    <n v="1200822.8956959061"/>
    <x v="7"/>
    <x v="60"/>
    <x v="3"/>
  </r>
  <r>
    <x v="542"/>
    <s v="Sunita Mitra"/>
    <n v="48"/>
    <x v="1"/>
    <n v="2430000"/>
    <x v="11"/>
    <n v="180"/>
    <x v="172"/>
    <n v="27619.305509712958"/>
    <n v="4971474.991748332"/>
    <x v="6"/>
    <x v="168"/>
    <x v="2"/>
  </r>
  <r>
    <x v="543"/>
    <s v="Vikram Das"/>
    <n v="34"/>
    <x v="0"/>
    <n v="430000"/>
    <x v="9"/>
    <n v="84"/>
    <x v="496"/>
    <n v="7822.5442399735393"/>
    <n v="657093.71615777735"/>
    <x v="12"/>
    <x v="168"/>
    <x v="0"/>
  </r>
  <r>
    <x v="544"/>
    <s v="Preeti Pandey"/>
    <n v="51"/>
    <x v="1"/>
    <n v="5160000"/>
    <x v="10"/>
    <n v="84"/>
    <x v="497"/>
    <n v="79145.50340212525"/>
    <n v="6648222.2857785206"/>
    <x v="2"/>
    <x v="268"/>
    <x v="1"/>
  </r>
  <r>
    <x v="545"/>
    <s v="Amit Sen"/>
    <n v="39"/>
    <x v="5"/>
    <n v="1040000"/>
    <x v="8"/>
    <n v="36"/>
    <x v="54"/>
    <n v="33802.541244874403"/>
    <n v="1216891.4848154786"/>
    <x v="26"/>
    <x v="269"/>
    <x v="1"/>
  </r>
  <r>
    <x v="546"/>
    <s v="Manoj Pandey"/>
    <n v="36"/>
    <x v="4"/>
    <n v="1900000"/>
    <x v="0"/>
    <n v="48"/>
    <x v="498"/>
    <n v="50501.997894365253"/>
    <n v="2424095.8989295322"/>
    <x v="13"/>
    <x v="235"/>
    <x v="2"/>
  </r>
  <r>
    <x v="547"/>
    <s v="Priya Sen"/>
    <n v="25"/>
    <x v="5"/>
    <n v="390000"/>
    <x v="3"/>
    <n v="24"/>
    <x v="499"/>
    <n v="17727.713203740557"/>
    <n v="425465.1168897734"/>
    <x v="13"/>
    <x v="270"/>
    <x v="0"/>
  </r>
  <r>
    <x v="548"/>
    <s v="Arjun Iyer"/>
    <n v="55"/>
    <x v="5"/>
    <n v="1480000"/>
    <x v="2"/>
    <n v="60"/>
    <x v="500"/>
    <n v="32921.782573654622"/>
    <n v="1975306.9544192774"/>
    <x v="33"/>
    <x v="271"/>
    <x v="2"/>
  </r>
  <r>
    <x v="549"/>
    <s v="Hemant Chatterjee"/>
    <n v="32"/>
    <x v="2"/>
    <n v="780000"/>
    <x v="8"/>
    <n v="24"/>
    <x v="144"/>
    <n v="36173.312478709879"/>
    <n v="868159.49948903709"/>
    <x v="33"/>
    <x v="200"/>
    <x v="1"/>
  </r>
  <r>
    <x v="550"/>
    <s v="Neha Menon"/>
    <n v="45"/>
    <x v="5"/>
    <n v="1140000"/>
    <x v="3"/>
    <n v="48"/>
    <x v="501"/>
    <n v="28099.065829072708"/>
    <n v="1348755.1597954901"/>
    <x v="32"/>
    <x v="234"/>
    <x v="1"/>
  </r>
  <r>
    <x v="551"/>
    <s v="Manoj Kumar"/>
    <n v="41"/>
    <x v="6"/>
    <n v="1780000"/>
    <x v="10"/>
    <n v="84"/>
    <x v="502"/>
    <n v="27302.131018562584"/>
    <n v="2293379.0055592572"/>
    <x v="21"/>
    <x v="272"/>
    <x v="2"/>
  </r>
  <r>
    <x v="552"/>
    <s v="Sunil Reddy"/>
    <n v="56"/>
    <x v="6"/>
    <n v="900000"/>
    <x v="5"/>
    <n v="180"/>
    <x v="503"/>
    <n v="8600.8687589731635"/>
    <n v="1548156.3766151695"/>
    <x v="14"/>
    <x v="273"/>
    <x v="0"/>
  </r>
  <r>
    <x v="553"/>
    <s v="Dinesh Gupta"/>
    <n v="43"/>
    <x v="5"/>
    <n v="1200000"/>
    <x v="7"/>
    <n v="180"/>
    <x v="504"/>
    <n v="12895.261412497395"/>
    <n v="2321147.0542495311"/>
    <x v="14"/>
    <x v="155"/>
    <x v="1"/>
  </r>
  <r>
    <x v="554"/>
    <s v="Pallavi Nair"/>
    <n v="36"/>
    <x v="4"/>
    <n v="1390000"/>
    <x v="6"/>
    <n v="84"/>
    <x v="505"/>
    <n v="22363.818781453585"/>
    <n v="1878560.777642101"/>
    <x v="35"/>
    <x v="148"/>
    <x v="1"/>
  </r>
  <r>
    <x v="555"/>
    <s v="Rekha Mehta"/>
    <n v="59"/>
    <x v="5"/>
    <n v="320000"/>
    <x v="6"/>
    <n v="60"/>
    <x v="506"/>
    <n v="6642.6736724332823"/>
    <n v="398560.42034599691"/>
    <x v="25"/>
    <x v="55"/>
    <x v="1"/>
  </r>
  <r>
    <x v="556"/>
    <s v="Ritu Mukherjee"/>
    <n v="62"/>
    <x v="1"/>
    <n v="2650000"/>
    <x v="8"/>
    <n v="36"/>
    <x v="507"/>
    <n v="86131.475287420355"/>
    <n v="3100733.1103471327"/>
    <x v="26"/>
    <x v="178"/>
    <x v="0"/>
  </r>
  <r>
    <x v="557"/>
    <s v="Anjali Bhat"/>
    <n v="59"/>
    <x v="1"/>
    <n v="5340000"/>
    <x v="9"/>
    <n v="84"/>
    <x v="508"/>
    <n v="97145.084282462107"/>
    <n v="8160187.0797268171"/>
    <x v="36"/>
    <x v="270"/>
    <x v="1"/>
  </r>
  <r>
    <x v="558"/>
    <s v="Meena Mehta"/>
    <n v="34"/>
    <x v="4"/>
    <n v="2360000"/>
    <x v="1"/>
    <n v="84"/>
    <x v="309"/>
    <n v="41032.047535766716"/>
    <n v="3446691.993004404"/>
    <x v="3"/>
    <x v="274"/>
    <x v="1"/>
  </r>
  <r>
    <x v="559"/>
    <s v="Rekha Banerjee"/>
    <n v="51"/>
    <x v="2"/>
    <n v="640000"/>
    <x v="9"/>
    <n v="120"/>
    <x v="509"/>
    <n v="9555.8873585423898"/>
    <n v="1146706.4830250868"/>
    <x v="6"/>
    <x v="139"/>
    <x v="1"/>
  </r>
  <r>
    <x v="560"/>
    <s v="Dinesh Joshi"/>
    <n v="25"/>
    <x v="6"/>
    <n v="1770000"/>
    <x v="9"/>
    <n v="36"/>
    <x v="510"/>
    <n v="59638.295045826439"/>
    <n v="2146978.6216497519"/>
    <x v="36"/>
    <x v="275"/>
    <x v="3"/>
  </r>
  <r>
    <x v="561"/>
    <s v="Vinod Dutta"/>
    <n v="55"/>
    <x v="6"/>
    <n v="1290000"/>
    <x v="1"/>
    <n v="12"/>
    <x v="511"/>
    <n v="114313.41948661544"/>
    <n v="1371761.0338393853"/>
    <x v="3"/>
    <x v="46"/>
    <x v="1"/>
  </r>
  <r>
    <x v="562"/>
    <s v="Mukesh Sharma"/>
    <n v="43"/>
    <x v="2"/>
    <n v="690000"/>
    <x v="4"/>
    <n v="84"/>
    <x v="512"/>
    <n v="11277.34736009591"/>
    <n v="947297.17824805644"/>
    <x v="12"/>
    <x v="258"/>
    <x v="1"/>
  </r>
  <r>
    <x v="563"/>
    <s v="Rajesh Gupta"/>
    <n v="49"/>
    <x v="5"/>
    <n v="760000"/>
    <x v="0"/>
    <n v="48"/>
    <x v="73"/>
    <n v="20200.7991577461"/>
    <n v="969638.35957181279"/>
    <x v="35"/>
    <x v="111"/>
    <x v="1"/>
  </r>
  <r>
    <x v="564"/>
    <s v="Ritu Rao"/>
    <n v="63"/>
    <x v="4"/>
    <n v="4240000"/>
    <x v="4"/>
    <n v="48"/>
    <x v="513"/>
    <n v="106522.09948476739"/>
    <n v="5113060.7752688341"/>
    <x v="34"/>
    <x v="0"/>
    <x v="2"/>
  </r>
  <r>
    <x v="565"/>
    <s v="Ritu Patel"/>
    <n v="31"/>
    <x v="0"/>
    <n v="980000"/>
    <x v="4"/>
    <n v="120"/>
    <x v="514"/>
    <n v="12680.960640956147"/>
    <n v="1521715.2769147377"/>
    <x v="3"/>
    <x v="156"/>
    <x v="0"/>
  </r>
  <r>
    <x v="566"/>
    <s v="Vinod Bhat"/>
    <n v="38"/>
    <x v="3"/>
    <n v="260000"/>
    <x v="6"/>
    <n v="60"/>
    <x v="515"/>
    <n v="5397.1723588520417"/>
    <n v="323830.34153112251"/>
    <x v="12"/>
    <x v="276"/>
    <x v="1"/>
  </r>
  <r>
    <x v="567"/>
    <s v="Shweta Dutta"/>
    <n v="32"/>
    <x v="3"/>
    <n v="290000"/>
    <x v="5"/>
    <n v="84"/>
    <x v="516"/>
    <n v="4520.0021767741673"/>
    <n v="379680.18284903007"/>
    <x v="1"/>
    <x v="277"/>
    <x v="1"/>
  </r>
  <r>
    <x v="568"/>
    <s v="Subhayan Mukherjee"/>
    <n v="29"/>
    <x v="5"/>
    <n v="1350000"/>
    <x v="10"/>
    <n v="36"/>
    <x v="330"/>
    <n v="41993.394516886183"/>
    <n v="1511762.2026079027"/>
    <x v="35"/>
    <x v="278"/>
    <x v="1"/>
  </r>
  <r>
    <x v="569"/>
    <s v="Divya Mishra"/>
    <n v="30"/>
    <x v="2"/>
    <n v="260000"/>
    <x v="8"/>
    <n v="84"/>
    <x v="517"/>
    <n v="4383.7750186668454"/>
    <n v="368237.101568015"/>
    <x v="37"/>
    <x v="215"/>
    <x v="0"/>
  </r>
  <r>
    <x v="570"/>
    <s v="Rekha Sharma"/>
    <n v="64"/>
    <x v="4"/>
    <n v="3390000"/>
    <x v="2"/>
    <n v="180"/>
    <x v="518"/>
    <n v="40685.697304902307"/>
    <n v="7323425.5148824155"/>
    <x v="23"/>
    <x v="203"/>
    <x v="1"/>
  </r>
  <r>
    <x v="571"/>
    <s v="Kavya Kapoor"/>
    <n v="37"/>
    <x v="6"/>
    <n v="250000"/>
    <x v="1"/>
    <n v="180"/>
    <x v="519"/>
    <n v="2920.4745247699952"/>
    <n v="525685.41445859917"/>
    <x v="9"/>
    <x v="106"/>
    <x v="0"/>
  </r>
  <r>
    <x v="572"/>
    <s v="Ramesh Yadav"/>
    <n v="58"/>
    <x v="0"/>
    <n v="1210000"/>
    <x v="11"/>
    <n v="180"/>
    <x v="374"/>
    <n v="13752.822908128675"/>
    <n v="2475508.1234631618"/>
    <x v="34"/>
    <x v="279"/>
    <x v="2"/>
  </r>
  <r>
    <x v="573"/>
    <s v="Dinesh Chatterjee"/>
    <n v="27"/>
    <x v="6"/>
    <n v="420000"/>
    <x v="3"/>
    <n v="84"/>
    <x v="520"/>
    <n v="6651.3238835990915"/>
    <n v="558711.2062223237"/>
    <x v="8"/>
    <x v="195"/>
    <x v="0"/>
  </r>
  <r>
    <x v="574"/>
    <s v="Neha Sen"/>
    <n v="33"/>
    <x v="5"/>
    <n v="920000"/>
    <x v="10"/>
    <n v="60"/>
    <x v="196"/>
    <n v="18434.912707973861"/>
    <n v="1106094.7624784317"/>
    <x v="29"/>
    <x v="273"/>
    <x v="1"/>
  </r>
  <r>
    <x v="575"/>
    <s v="Rahul Verma"/>
    <n v="60"/>
    <x v="1"/>
    <n v="7980000"/>
    <x v="7"/>
    <n v="180"/>
    <x v="521"/>
    <n v="85753.488393107662"/>
    <n v="15435627.910759378"/>
    <x v="23"/>
    <x v="120"/>
    <x v="1"/>
  </r>
  <r>
    <x v="576"/>
    <s v="Manoj Shah"/>
    <n v="62"/>
    <x v="2"/>
    <n v="190000"/>
    <x v="10"/>
    <n v="240"/>
    <x v="522"/>
    <n v="1530.6270677484338"/>
    <n v="367350.49625962408"/>
    <x v="32"/>
    <x v="280"/>
    <x v="0"/>
  </r>
  <r>
    <x v="577"/>
    <s v="Pooja Menon"/>
    <n v="29"/>
    <x v="3"/>
    <n v="110000"/>
    <x v="8"/>
    <n v="24"/>
    <x v="503"/>
    <n v="5101.3645803308809"/>
    <n v="122432.74992794114"/>
    <x v="22"/>
    <x v="89"/>
    <x v="1"/>
  </r>
  <r>
    <x v="578"/>
    <s v="Geeta Mishra"/>
    <n v="47"/>
    <x v="2"/>
    <n v="970000"/>
    <x v="5"/>
    <n v="36"/>
    <x v="523"/>
    <n v="30396.274497587925"/>
    <n v="1094265.8819131653"/>
    <x v="37"/>
    <x v="146"/>
    <x v="1"/>
  </r>
  <r>
    <x v="579"/>
    <s v="Dinesh Patel"/>
    <n v="22"/>
    <x v="0"/>
    <n v="1730000"/>
    <x v="4"/>
    <n v="24"/>
    <x v="524"/>
    <n v="79432.072870840799"/>
    <n v="1906369.7489001793"/>
    <x v="8"/>
    <x v="155"/>
    <x v="2"/>
  </r>
  <r>
    <x v="580"/>
    <s v="Amit Chatterjee"/>
    <n v="25"/>
    <x v="5"/>
    <n v="600000"/>
    <x v="0"/>
    <n v="60"/>
    <x v="525"/>
    <n v="13498.762935249502"/>
    <n v="809925.7761149701"/>
    <x v="20"/>
    <x v="94"/>
    <x v="1"/>
  </r>
  <r>
    <x v="581"/>
    <s v="Mamta Roy"/>
    <n v="49"/>
    <x v="2"/>
    <n v="470000"/>
    <x v="0"/>
    <n v="36"/>
    <x v="526"/>
    <n v="15723.204021056767"/>
    <n v="566035.34475804365"/>
    <x v="0"/>
    <x v="281"/>
    <x v="0"/>
  </r>
  <r>
    <x v="582"/>
    <s v="Kiran Banerjee"/>
    <n v="57"/>
    <x v="6"/>
    <n v="850000"/>
    <x v="2"/>
    <n v="240"/>
    <x v="527"/>
    <n v="9359.2321353416846"/>
    <n v="2246215.7124820044"/>
    <x v="6"/>
    <x v="182"/>
    <x v="2"/>
  </r>
  <r>
    <x v="583"/>
    <s v="Meena Joshi"/>
    <n v="58"/>
    <x v="5"/>
    <n v="1020000"/>
    <x v="11"/>
    <n v="48"/>
    <x v="528"/>
    <n v="26362.43306368187"/>
    <n v="1265396.7870567297"/>
    <x v="36"/>
    <x v="282"/>
    <x v="0"/>
  </r>
  <r>
    <x v="584"/>
    <s v="Mukesh Mitra"/>
    <n v="39"/>
    <x v="6"/>
    <n v="1150000"/>
    <x v="6"/>
    <n v="60"/>
    <x v="529"/>
    <n v="23872.108510307109"/>
    <n v="1432326.5106184266"/>
    <x v="20"/>
    <x v="280"/>
    <x v="1"/>
  </r>
  <r>
    <x v="585"/>
    <s v="Mukesh Reddy"/>
    <n v="28"/>
    <x v="4"/>
    <n v="2240000"/>
    <x v="5"/>
    <n v="24"/>
    <x v="307"/>
    <n v="101309.1328618525"/>
    <n v="2431419.1886844598"/>
    <x v="14"/>
    <x v="106"/>
    <x v="0"/>
  </r>
  <r>
    <x v="586"/>
    <s v="Vikram Das"/>
    <n v="21"/>
    <x v="4"/>
    <n v="4870000"/>
    <x v="10"/>
    <n v="24"/>
    <x v="530"/>
    <n v="219148.01621341149"/>
    <n v="5259552.3891218761"/>
    <x v="31"/>
    <x v="74"/>
    <x v="2"/>
  </r>
  <r>
    <x v="587"/>
    <s v="Rohit Mishra"/>
    <n v="42"/>
    <x v="1"/>
    <n v="9100000"/>
    <x v="6"/>
    <n v="12"/>
    <x v="531"/>
    <n v="795808.43860628491"/>
    <n v="9549701.2632754184"/>
    <x v="34"/>
    <x v="283"/>
    <x v="0"/>
  </r>
  <r>
    <x v="588"/>
    <s v="Rohit Chatterjee"/>
    <n v="37"/>
    <x v="2"/>
    <n v="470000"/>
    <x v="3"/>
    <n v="240"/>
    <x v="532"/>
    <n v="4078.7691968180093"/>
    <n v="978904.60723632225"/>
    <x v="30"/>
    <x v="227"/>
    <x v="0"/>
  </r>
  <r>
    <x v="589"/>
    <s v="Suresh Iyer"/>
    <n v="27"/>
    <x v="4"/>
    <n v="4490000"/>
    <x v="0"/>
    <n v="12"/>
    <x v="533"/>
    <n v="399982.05357059499"/>
    <n v="4799784.6428471394"/>
    <x v="8"/>
    <x v="122"/>
    <x v="2"/>
  </r>
  <r>
    <x v="590"/>
    <s v="Geeta Kapoor"/>
    <n v="45"/>
    <x v="2"/>
    <n v="200000"/>
    <x v="4"/>
    <n v="120"/>
    <x v="534"/>
    <n v="2587.9511512155404"/>
    <n v="310554.13814586482"/>
    <x v="31"/>
    <x v="263"/>
    <x v="1"/>
  </r>
  <r>
    <x v="591"/>
    <s v="Manoj Reddy"/>
    <n v="24"/>
    <x v="6"/>
    <n v="1120000"/>
    <x v="5"/>
    <n v="48"/>
    <x v="535"/>
    <n v="27342.473022482784"/>
    <n v="1312438.7050791737"/>
    <x v="8"/>
    <x v="177"/>
    <x v="1"/>
  </r>
  <r>
    <x v="592"/>
    <s v="Pallavi Iyer"/>
    <n v="56"/>
    <x v="5"/>
    <n v="1250000"/>
    <x v="11"/>
    <n v="12"/>
    <x v="536"/>
    <n v="110477.07315200505"/>
    <n v="1325724.8778240606"/>
    <x v="3"/>
    <x v="14"/>
    <x v="0"/>
  </r>
  <r>
    <x v="593"/>
    <s v="Kiran Mishra"/>
    <n v="26"/>
    <x v="4"/>
    <n v="3180000"/>
    <x v="5"/>
    <n v="240"/>
    <x v="537"/>
    <n v="26598.794193992118"/>
    <n v="6383710.6065581087"/>
    <x v="17"/>
    <x v="284"/>
    <x v="0"/>
  </r>
  <r>
    <x v="594"/>
    <s v="Mukesh Singh"/>
    <n v="51"/>
    <x v="5"/>
    <n v="440000"/>
    <x v="4"/>
    <n v="60"/>
    <x v="538"/>
    <n v="9240.8189762748225"/>
    <n v="554449.13857648941"/>
    <x v="36"/>
    <x v="31"/>
    <x v="0"/>
  </r>
  <r>
    <x v="595"/>
    <s v="Usha Verma"/>
    <n v="39"/>
    <x v="0"/>
    <n v="830000"/>
    <x v="8"/>
    <n v="240"/>
    <x v="503"/>
    <n v="8286.5530618468092"/>
    <n v="1988772.7348432343"/>
    <x v="16"/>
    <x v="190"/>
    <x v="0"/>
  </r>
  <r>
    <x v="596"/>
    <s v="Mamta Kapoor"/>
    <n v="64"/>
    <x v="4"/>
    <n v="870000"/>
    <x v="11"/>
    <n v="240"/>
    <x v="539"/>
    <n v="8980.0390136716924"/>
    <n v="2155209.3632812062"/>
    <x v="2"/>
    <x v="285"/>
    <x v="1"/>
  </r>
  <r>
    <x v="597"/>
    <s v="Pooja Bhat"/>
    <n v="59"/>
    <x v="2"/>
    <n v="950000"/>
    <x v="11"/>
    <n v="180"/>
    <x v="540"/>
    <n v="10797.670878282843"/>
    <n v="1943580.7580909117"/>
    <x v="19"/>
    <x v="89"/>
    <x v="3"/>
  </r>
  <r>
    <x v="598"/>
    <s v="Sneha Rao"/>
    <n v="47"/>
    <x v="0"/>
    <n v="1690000"/>
    <x v="0"/>
    <n v="36"/>
    <x v="535"/>
    <n v="56536.627224650932"/>
    <n v="2035318.5800874336"/>
    <x v="31"/>
    <x v="215"/>
    <x v="0"/>
  </r>
  <r>
    <x v="599"/>
    <s v="Rekha Mehta"/>
    <n v="30"/>
    <x v="4"/>
    <n v="1470000"/>
    <x v="4"/>
    <n v="84"/>
    <x v="268"/>
    <n v="24025.653071508681"/>
    <n v="2018154.8580067293"/>
    <x v="6"/>
    <x v="198"/>
    <x v="1"/>
  </r>
  <r>
    <x v="600"/>
    <s v="Shweta Rao"/>
    <n v="46"/>
    <x v="3"/>
    <n v="60000"/>
    <x v="5"/>
    <n v="120"/>
    <x v="61"/>
    <n v="727.96556613214159"/>
    <n v="87355.867935856993"/>
    <x v="31"/>
    <x v="286"/>
    <x v="0"/>
  </r>
  <r>
    <x v="601"/>
    <s v="Subhayan Joshi"/>
    <n v="39"/>
    <x v="4"/>
    <n v="3380000"/>
    <x v="0"/>
    <n v="48"/>
    <x v="260"/>
    <n v="89840.396254186606"/>
    <n v="4312339.0202009566"/>
    <x v="4"/>
    <x v="144"/>
    <x v="2"/>
  </r>
  <r>
    <x v="602"/>
    <s v="Sanjay Dutta"/>
    <n v="59"/>
    <x v="6"/>
    <n v="1560000"/>
    <x v="1"/>
    <n v="60"/>
    <x v="541"/>
    <n v="34308.467504797823"/>
    <n v="2058508.0502878693"/>
    <x v="28"/>
    <x v="52"/>
    <x v="1"/>
  </r>
  <r>
    <x v="603"/>
    <s v="Sunil Pandey"/>
    <n v="23"/>
    <x v="1"/>
    <n v="2830000"/>
    <x v="8"/>
    <n v="36"/>
    <x v="542"/>
    <n v="91981.915118264005"/>
    <n v="3311348.9442575043"/>
    <x v="9"/>
    <x v="287"/>
    <x v="0"/>
  </r>
  <r>
    <x v="604"/>
    <s v="Dinesh Bhat"/>
    <n v="33"/>
    <x v="6"/>
    <n v="1620000"/>
    <x v="3"/>
    <n v="180"/>
    <x v="306"/>
    <n v="15952.780838394612"/>
    <n v="2871500.5509110303"/>
    <x v="37"/>
    <x v="226"/>
    <x v="1"/>
  </r>
  <r>
    <x v="605"/>
    <s v="Suresh Mishra"/>
    <n v="48"/>
    <x v="5"/>
    <n v="640000"/>
    <x v="7"/>
    <n v="240"/>
    <x v="543"/>
    <n v="6176.1385284736498"/>
    <n v="1482273.246833676"/>
    <x v="4"/>
    <x v="285"/>
    <x v="0"/>
  </r>
  <r>
    <x v="606"/>
    <s v="Divya Iyer"/>
    <n v="40"/>
    <x v="2"/>
    <n v="880000"/>
    <x v="8"/>
    <n v="240"/>
    <x v="544"/>
    <n v="8785.7430053315566"/>
    <n v="2108578.3212795737"/>
    <x v="24"/>
    <x v="118"/>
    <x v="3"/>
  </r>
  <r>
    <x v="607"/>
    <s v="Lata Mehta"/>
    <n v="48"/>
    <x v="0"/>
    <n v="710000"/>
    <x v="7"/>
    <n v="24"/>
    <x v="545"/>
    <n v="32762.897699636716"/>
    <n v="786309.54479128122"/>
    <x v="26"/>
    <x v="97"/>
    <x v="1"/>
  </r>
  <r>
    <x v="608"/>
    <s v="Mukesh Sen"/>
    <n v="28"/>
    <x v="2"/>
    <n v="640000"/>
    <x v="3"/>
    <n v="120"/>
    <x v="546"/>
    <n v="7935.0840879687121"/>
    <n v="952210.09055624541"/>
    <x v="16"/>
    <x v="288"/>
    <x v="0"/>
  </r>
  <r>
    <x v="609"/>
    <s v="Divya Bose"/>
    <n v="61"/>
    <x v="4"/>
    <n v="1960000"/>
    <x v="11"/>
    <n v="84"/>
    <x v="547"/>
    <n v="33559.975412401567"/>
    <n v="2819037.9346417314"/>
    <x v="18"/>
    <x v="201"/>
    <x v="3"/>
  </r>
  <r>
    <x v="610"/>
    <s v="Rajesh Menon"/>
    <n v="59"/>
    <x v="2"/>
    <n v="680000"/>
    <x v="10"/>
    <n v="240"/>
    <x v="548"/>
    <n v="5478.0337161522893"/>
    <n v="1314728.0918765494"/>
    <x v="25"/>
    <x v="91"/>
    <x v="1"/>
  </r>
  <r>
    <x v="611"/>
    <s v="Ritu Bhat"/>
    <n v="21"/>
    <x v="0"/>
    <n v="540000"/>
    <x v="4"/>
    <n v="12"/>
    <x v="549"/>
    <n v="47349.096357958872"/>
    <n v="568189.15629550652"/>
    <x v="19"/>
    <x v="205"/>
    <x v="1"/>
  </r>
  <r>
    <x v="612"/>
    <s v="Kavya Banerjee"/>
    <n v="23"/>
    <x v="1"/>
    <n v="6550000"/>
    <x v="11"/>
    <n v="48"/>
    <x v="550"/>
    <n v="169288.17310501591"/>
    <n v="8125832.3090407643"/>
    <x v="0"/>
    <x v="148"/>
    <x v="0"/>
  </r>
  <r>
    <x v="613"/>
    <s v="Kiran Pandey"/>
    <n v="33"/>
    <x v="1"/>
    <n v="8150000"/>
    <x v="11"/>
    <n v="36"/>
    <x v="551"/>
    <n v="266820.54450356663"/>
    <n v="9605539.6021283995"/>
    <x v="13"/>
    <x v="63"/>
    <x v="0"/>
  </r>
  <r>
    <x v="614"/>
    <s v="Usha Das"/>
    <n v="48"/>
    <x v="4"/>
    <n v="4380000"/>
    <x v="4"/>
    <n v="240"/>
    <x v="552"/>
    <n v="40827.346027108098"/>
    <n v="9798563.0465059429"/>
    <x v="7"/>
    <x v="289"/>
    <x v="1"/>
  </r>
  <r>
    <x v="615"/>
    <s v="Rekha Sharma"/>
    <n v="45"/>
    <x v="4"/>
    <n v="2440000"/>
    <x v="6"/>
    <n v="36"/>
    <x v="553"/>
    <n v="77591.347690255265"/>
    <n v="2793288.5168491895"/>
    <x v="25"/>
    <x v="2"/>
    <x v="1"/>
  </r>
  <r>
    <x v="616"/>
    <s v="Ritu Ghosh"/>
    <n v="53"/>
    <x v="5"/>
    <n v="1150000"/>
    <x v="4"/>
    <n v="180"/>
    <x v="554"/>
    <n v="12008.583852933543"/>
    <n v="2161545.0935280379"/>
    <x v="26"/>
    <x v="290"/>
    <x v="1"/>
  </r>
  <r>
    <x v="617"/>
    <s v="Pallavi Banerjee"/>
    <n v="58"/>
    <x v="4"/>
    <n v="2050000"/>
    <x v="2"/>
    <n v="36"/>
    <x v="555"/>
    <n v="68089.335116344941"/>
    <n v="2451216.064188418"/>
    <x v="7"/>
    <x v="291"/>
    <x v="1"/>
  </r>
  <r>
    <x v="618"/>
    <s v="Usha Bose"/>
    <n v="26"/>
    <x v="6"/>
    <n v="590000"/>
    <x v="10"/>
    <n v="36"/>
    <x v="556"/>
    <n v="18352.668714787298"/>
    <n v="660696.07373234269"/>
    <x v="26"/>
    <x v="223"/>
    <x v="0"/>
  </r>
  <r>
    <x v="619"/>
    <s v="Suresh Iyer"/>
    <n v="64"/>
    <x v="6"/>
    <n v="1540000"/>
    <x v="3"/>
    <n v="36"/>
    <x v="557"/>
    <n v="48614.007632278393"/>
    <n v="1750104.2747620221"/>
    <x v="17"/>
    <x v="164"/>
    <x v="2"/>
  </r>
  <r>
    <x v="620"/>
    <s v="Priya Singh"/>
    <n v="52"/>
    <x v="6"/>
    <n v="1580000"/>
    <x v="9"/>
    <n v="180"/>
    <x v="558"/>
    <n v="19990.826243007585"/>
    <n v="3598348.7237413651"/>
    <x v="35"/>
    <x v="97"/>
    <x v="0"/>
  </r>
  <r>
    <x v="621"/>
    <s v="Shweta Pandey"/>
    <n v="41"/>
    <x v="1"/>
    <n v="8250000"/>
    <x v="0"/>
    <n v="84"/>
    <x v="4"/>
    <n v="147850.21701710013"/>
    <n v="12419418.229436411"/>
    <x v="7"/>
    <x v="179"/>
    <x v="1"/>
  </r>
  <r>
    <x v="622"/>
    <s v="Anil Bhat"/>
    <n v="36"/>
    <x v="3"/>
    <n v="260000"/>
    <x v="5"/>
    <n v="12"/>
    <x v="559"/>
    <n v="22616.991562209474"/>
    <n v="271403.8987465137"/>
    <x v="25"/>
    <x v="255"/>
    <x v="1"/>
  </r>
  <r>
    <x v="623"/>
    <s v="Anjali Bhat"/>
    <n v="41"/>
    <x v="2"/>
    <n v="130000"/>
    <x v="5"/>
    <n v="48"/>
    <x v="560"/>
    <n v="3173.6799043953229"/>
    <n v="152336.63541097549"/>
    <x v="2"/>
    <x v="0"/>
    <x v="0"/>
  </r>
  <r>
    <x v="624"/>
    <s v="Neha Patel"/>
    <n v="31"/>
    <x v="0"/>
    <n v="1750000"/>
    <x v="0"/>
    <n v="180"/>
    <x v="561"/>
    <n v="21569.136443634456"/>
    <n v="3882444.559854202"/>
    <x v="7"/>
    <x v="292"/>
    <x v="0"/>
  </r>
  <r>
    <x v="625"/>
    <s v="Hemant Menon"/>
    <n v="57"/>
    <x v="5"/>
    <n v="710000"/>
    <x v="7"/>
    <n v="48"/>
    <x v="423"/>
    <n v="18007.434238670503"/>
    <n v="864356.84345618414"/>
    <x v="5"/>
    <x v="97"/>
    <x v="1"/>
  </r>
  <r>
    <x v="626"/>
    <s v="Rajesh Mitra"/>
    <n v="56"/>
    <x v="4"/>
    <n v="4270000"/>
    <x v="1"/>
    <n v="24"/>
    <x v="562"/>
    <n v="200008.14632536075"/>
    <n v="4800195.511808658"/>
    <x v="34"/>
    <x v="8"/>
    <x v="1"/>
  </r>
  <r>
    <x v="627"/>
    <s v="Suresh Reddy"/>
    <n v="55"/>
    <x v="5"/>
    <n v="1200000"/>
    <x v="8"/>
    <n v="60"/>
    <x v="563"/>
    <n v="25792.680453740952"/>
    <n v="1547560.8272244572"/>
    <x v="2"/>
    <x v="87"/>
    <x v="0"/>
  </r>
  <r>
    <x v="628"/>
    <s v="Suresh Gupta"/>
    <n v="39"/>
    <x v="1"/>
    <n v="7520000"/>
    <x v="2"/>
    <n v="84"/>
    <x v="564"/>
    <n v="132748.55063399512"/>
    <n v="11150878.253255591"/>
    <x v="32"/>
    <x v="127"/>
    <x v="0"/>
  </r>
  <r>
    <x v="629"/>
    <s v="Pallavi Roy"/>
    <n v="40"/>
    <x v="4"/>
    <n v="540000"/>
    <x v="6"/>
    <n v="48"/>
    <x v="565"/>
    <n v="13437.922881924473"/>
    <n v="645020.29833237466"/>
    <x v="16"/>
    <x v="34"/>
    <x v="1"/>
  </r>
  <r>
    <x v="630"/>
    <s v="Sunita Mehta"/>
    <n v="38"/>
    <x v="4"/>
    <n v="2300000"/>
    <x v="1"/>
    <n v="12"/>
    <x v="566"/>
    <n v="203814.62389086475"/>
    <n v="2445775.4866903769"/>
    <x v="8"/>
    <x v="118"/>
    <x v="1"/>
  </r>
  <r>
    <x v="631"/>
    <s v="Vikas Banerjee"/>
    <n v="61"/>
    <x v="1"/>
    <n v="4450000"/>
    <x v="10"/>
    <n v="48"/>
    <x v="567"/>
    <n v="107596.11362290398"/>
    <n v="5164613.453899391"/>
    <x v="34"/>
    <x v="102"/>
    <x v="0"/>
  </r>
  <r>
    <x v="632"/>
    <s v="Vinod Chatterjee"/>
    <n v="34"/>
    <x v="2"/>
    <n v="390000"/>
    <x v="8"/>
    <n v="240"/>
    <x v="568"/>
    <n v="3893.6815591810305"/>
    <n v="934483.57420344732"/>
    <x v="3"/>
    <x v="286"/>
    <x v="1"/>
  </r>
  <r>
    <x v="633"/>
    <s v="Vikram Bhat"/>
    <n v="35"/>
    <x v="4"/>
    <n v="1020000"/>
    <x v="1"/>
    <n v="84"/>
    <x v="569"/>
    <n v="17734.190036644934"/>
    <n v="1489671.9630781745"/>
    <x v="24"/>
    <x v="189"/>
    <x v="0"/>
  </r>
  <r>
    <x v="634"/>
    <s v="Anil Bhat"/>
    <n v="51"/>
    <x v="2"/>
    <n v="710000"/>
    <x v="8"/>
    <n v="120"/>
    <x v="474"/>
    <n v="9580.3847710638347"/>
    <n v="1149646.1725276602"/>
    <x v="2"/>
    <x v="160"/>
    <x v="0"/>
  </r>
  <r>
    <x v="635"/>
    <s v="Divya Bose"/>
    <n v="21"/>
    <x v="1"/>
    <n v="2710000"/>
    <x v="1"/>
    <n v="180"/>
    <x v="570"/>
    <n v="31657.943848506751"/>
    <n v="5698429.8927312149"/>
    <x v="7"/>
    <x v="101"/>
    <x v="1"/>
  </r>
  <r>
    <x v="636"/>
    <s v="Ritu Chatterjee"/>
    <n v="23"/>
    <x v="5"/>
    <n v="1430000"/>
    <x v="0"/>
    <n v="180"/>
    <x v="571"/>
    <n v="17625.065779655582"/>
    <n v="3172511.8403380048"/>
    <x v="32"/>
    <x v="238"/>
    <x v="3"/>
  </r>
  <r>
    <x v="637"/>
    <s v="Dinesh Bhat"/>
    <n v="36"/>
    <x v="4"/>
    <n v="2070000"/>
    <x v="11"/>
    <n v="12"/>
    <x v="572"/>
    <n v="182950.03313972033"/>
    <n v="2195400.3976766439"/>
    <x v="21"/>
    <x v="60"/>
    <x v="1"/>
  </r>
  <r>
    <x v="638"/>
    <s v="Divya Sharma"/>
    <n v="43"/>
    <x v="3"/>
    <n v="240000"/>
    <x v="2"/>
    <n v="12"/>
    <x v="220"/>
    <n v="21323.709282802003"/>
    <n v="255884.51139362404"/>
    <x v="33"/>
    <x v="293"/>
    <x v="1"/>
  </r>
  <r>
    <x v="639"/>
    <s v="Vikas Gupta"/>
    <n v="31"/>
    <x v="0"/>
    <n v="880000"/>
    <x v="6"/>
    <n v="84"/>
    <x v="573"/>
    <n v="14158.388868833925"/>
    <n v="1189304.6649820497"/>
    <x v="14"/>
    <x v="24"/>
    <x v="0"/>
  </r>
  <r>
    <x v="640"/>
    <s v="Kiran Chatterjee"/>
    <n v="32"/>
    <x v="2"/>
    <n v="310000"/>
    <x v="11"/>
    <n v="24"/>
    <x v="574"/>
    <n v="14448.42984092277"/>
    <n v="346762.31618214649"/>
    <x v="34"/>
    <x v="102"/>
    <x v="1"/>
  </r>
  <r>
    <x v="641"/>
    <s v="Geeta Das"/>
    <n v="30"/>
    <x v="4"/>
    <n v="4340000"/>
    <x v="4"/>
    <n v="240"/>
    <x v="575"/>
    <n v="40454.49355197468"/>
    <n v="9709078.4524739236"/>
    <x v="0"/>
    <x v="254"/>
    <x v="1"/>
  </r>
  <r>
    <x v="642"/>
    <s v="Vikram Reddy"/>
    <n v="52"/>
    <x v="2"/>
    <n v="220000"/>
    <x v="5"/>
    <n v="60"/>
    <x v="576"/>
    <n v="4460.8067434510094"/>
    <n v="267648.40460706054"/>
    <x v="19"/>
    <x v="152"/>
    <x v="0"/>
  </r>
  <r>
    <x v="643"/>
    <s v="Anjali Sen"/>
    <n v="36"/>
    <x v="4"/>
    <n v="2700000"/>
    <x v="8"/>
    <n v="60"/>
    <x v="577"/>
    <n v="58033.531020917144"/>
    <n v="3482011.8612550288"/>
    <x v="31"/>
    <x v="68"/>
    <x v="0"/>
  </r>
  <r>
    <x v="644"/>
    <s v="Anjali Mishra"/>
    <n v="28"/>
    <x v="0"/>
    <n v="1610000"/>
    <x v="9"/>
    <n v="240"/>
    <x v="578"/>
    <n v="18862.368951580687"/>
    <n v="4526968.5483793654"/>
    <x v="22"/>
    <x v="291"/>
    <x v="1"/>
  </r>
  <r>
    <x v="645"/>
    <s v="Meena Banerjee"/>
    <n v="58"/>
    <x v="4"/>
    <n v="4610000"/>
    <x v="10"/>
    <n v="36"/>
    <x v="579"/>
    <n v="143399.66572062616"/>
    <n v="5162387.9659425421"/>
    <x v="30"/>
    <x v="6"/>
    <x v="0"/>
  </r>
  <r>
    <x v="646"/>
    <s v="Sanjay Pillai"/>
    <n v="32"/>
    <x v="4"/>
    <n v="4930000"/>
    <x v="1"/>
    <n v="120"/>
    <x v="421"/>
    <n v="69313.553881637286"/>
    <n v="8317626.4657964744"/>
    <x v="8"/>
    <x v="129"/>
    <x v="2"/>
  </r>
  <r>
    <x v="647"/>
    <s v="Amit Sharma"/>
    <n v="44"/>
    <x v="5"/>
    <n v="960000"/>
    <x v="2"/>
    <n v="120"/>
    <x v="190"/>
    <n v="13773.211046648386"/>
    <n v="1652785.3255978064"/>
    <x v="20"/>
    <x v="281"/>
    <x v="1"/>
  </r>
  <r>
    <x v="648"/>
    <s v="Ritu Roy"/>
    <n v="48"/>
    <x v="3"/>
    <n v="360000"/>
    <x v="1"/>
    <n v="84"/>
    <x v="580"/>
    <n v="6259.1258952864473"/>
    <n v="525766.57520406158"/>
    <x v="10"/>
    <x v="294"/>
    <x v="0"/>
  </r>
  <r>
    <x v="649"/>
    <s v="Rahul Joshi"/>
    <n v="28"/>
    <x v="4"/>
    <n v="3760000"/>
    <x v="2"/>
    <n v="24"/>
    <x v="119"/>
    <n v="176996.25555947528"/>
    <n v="4247910.1334274067"/>
    <x v="28"/>
    <x v="174"/>
    <x v="2"/>
  </r>
  <r>
    <x v="650"/>
    <s v="Lata Nair"/>
    <n v="48"/>
    <x v="2"/>
    <n v="740000"/>
    <x v="0"/>
    <n v="240"/>
    <x v="581"/>
    <n v="8407.4400678863331"/>
    <n v="2017785.61629272"/>
    <x v="14"/>
    <x v="166"/>
    <x v="1"/>
  </r>
  <r>
    <x v="651"/>
    <s v="Ajay Singh"/>
    <n v="56"/>
    <x v="5"/>
    <n v="1120000"/>
    <x v="2"/>
    <n v="60"/>
    <x v="582"/>
    <n v="24913.781407089984"/>
    <n v="1494826.8844253991"/>
    <x v="28"/>
    <x v="215"/>
    <x v="1"/>
  </r>
  <r>
    <x v="652"/>
    <s v="Kiran Kapoor"/>
    <n v="46"/>
    <x v="0"/>
    <n v="1430000"/>
    <x v="3"/>
    <n v="120"/>
    <x v="583"/>
    <n v="17729.953509055089"/>
    <n v="2127594.4210866108"/>
    <x v="6"/>
    <x v="236"/>
    <x v="0"/>
  </r>
  <r>
    <x v="653"/>
    <s v="Rekha Pandey"/>
    <n v="28"/>
    <x v="6"/>
    <n v="440000"/>
    <x v="5"/>
    <n v="48"/>
    <x v="584"/>
    <n v="10741.685830261093"/>
    <n v="515600.91985253245"/>
    <x v="22"/>
    <x v="292"/>
    <x v="1"/>
  </r>
  <r>
    <x v="654"/>
    <s v="Arjun Kumar"/>
    <n v="48"/>
    <x v="2"/>
    <n v="460000"/>
    <x v="11"/>
    <n v="240"/>
    <x v="561"/>
    <n v="4748.0666049298607"/>
    <n v="1139535.9851831666"/>
    <x v="21"/>
    <x v="295"/>
    <x v="2"/>
  </r>
  <r>
    <x v="655"/>
    <s v="Arjun Gupta"/>
    <n v="48"/>
    <x v="2"/>
    <n v="470000"/>
    <x v="3"/>
    <n v="120"/>
    <x v="585"/>
    <n v="5827.3273771020231"/>
    <n v="699279.28525224281"/>
    <x v="24"/>
    <x v="189"/>
    <x v="1"/>
  </r>
  <r>
    <x v="656"/>
    <s v="Vikas Bhat"/>
    <n v="57"/>
    <x v="3"/>
    <n v="490000"/>
    <x v="3"/>
    <n v="84"/>
    <x v="586"/>
    <n v="7759.8778641989402"/>
    <n v="651829.74059271102"/>
    <x v="4"/>
    <x v="250"/>
    <x v="0"/>
  </r>
  <r>
    <x v="657"/>
    <s v="Usha Yadav"/>
    <n v="61"/>
    <x v="6"/>
    <n v="1160000"/>
    <x v="6"/>
    <n v="84"/>
    <x v="587"/>
    <n v="18663.330781644716"/>
    <n v="1567719.785658156"/>
    <x v="14"/>
    <x v="283"/>
    <x v="1"/>
  </r>
  <r>
    <x v="658"/>
    <s v="Kiran Iyer"/>
    <n v="56"/>
    <x v="5"/>
    <n v="660000"/>
    <x v="6"/>
    <n v="180"/>
    <x v="588"/>
    <n v="6694.1594554677804"/>
    <n v="1204948.7019842004"/>
    <x v="9"/>
    <x v="257"/>
    <x v="1"/>
  </r>
  <r>
    <x v="659"/>
    <s v="Sunil Singh"/>
    <n v="47"/>
    <x v="4"/>
    <n v="3000000"/>
    <x v="3"/>
    <n v="180"/>
    <x v="589"/>
    <n v="29542.186737767799"/>
    <n v="5317593.6127982037"/>
    <x v="26"/>
    <x v="296"/>
    <x v="1"/>
  </r>
  <r>
    <x v="660"/>
    <s v="Nisha Mishra"/>
    <n v="37"/>
    <x v="2"/>
    <n v="740000"/>
    <x v="10"/>
    <n v="12"/>
    <x v="336"/>
    <n v="64200.488495201331"/>
    <n v="770405.86194241594"/>
    <x v="20"/>
    <x v="77"/>
    <x v="1"/>
  </r>
  <r>
    <x v="661"/>
    <s v="Sunita Mishra"/>
    <n v="29"/>
    <x v="0"/>
    <n v="1440000"/>
    <x v="8"/>
    <n v="240"/>
    <x v="88"/>
    <n v="14376.670372360728"/>
    <n v="3450400.8893665746"/>
    <x v="29"/>
    <x v="133"/>
    <x v="0"/>
  </r>
  <r>
    <x v="662"/>
    <s v="Sunita Mukherjee"/>
    <n v="53"/>
    <x v="3"/>
    <n v="90000"/>
    <x v="5"/>
    <n v="36"/>
    <x v="590"/>
    <n v="2820.2728915287767"/>
    <n v="101529.82409503596"/>
    <x v="28"/>
    <x v="290"/>
    <x v="1"/>
  </r>
  <r>
    <x v="663"/>
    <s v="Subhayan Pillai"/>
    <n v="40"/>
    <x v="0"/>
    <n v="1610000"/>
    <x v="0"/>
    <n v="180"/>
    <x v="579"/>
    <n v="19843.6055281437"/>
    <n v="3571848.995065866"/>
    <x v="24"/>
    <x v="189"/>
    <x v="1"/>
  </r>
  <r>
    <x v="664"/>
    <s v="Rajesh Pillai"/>
    <n v="33"/>
    <x v="3"/>
    <n v="120000"/>
    <x v="8"/>
    <n v="36"/>
    <x v="2"/>
    <n v="3900.2932205624315"/>
    <n v="140410.55594024755"/>
    <x v="3"/>
    <x v="297"/>
    <x v="0"/>
  </r>
  <r>
    <x v="665"/>
    <s v="Geeta Mukherjee"/>
    <n v="48"/>
    <x v="3"/>
    <n v="210000"/>
    <x v="6"/>
    <n v="48"/>
    <x v="591"/>
    <n v="5225.8588985261831"/>
    <n v="250841.22712925679"/>
    <x v="9"/>
    <x v="298"/>
    <x v="0"/>
  </r>
  <r>
    <x v="666"/>
    <s v="Divya Kumar"/>
    <n v="49"/>
    <x v="6"/>
    <n v="450000"/>
    <x v="0"/>
    <n v="24"/>
    <x v="592"/>
    <n v="21288.288705974781"/>
    <n v="510918.92894339474"/>
    <x v="10"/>
    <x v="225"/>
    <x v="1"/>
  </r>
  <r>
    <x v="667"/>
    <s v="Sneha Mishra"/>
    <n v="33"/>
    <x v="4"/>
    <n v="2500000"/>
    <x v="3"/>
    <n v="240"/>
    <x v="554"/>
    <n v="21695.580834138349"/>
    <n v="5206939.4001932042"/>
    <x v="34"/>
    <x v="132"/>
    <x v="1"/>
  </r>
  <r>
    <x v="668"/>
    <s v="Lata Pandey"/>
    <n v="55"/>
    <x v="5"/>
    <n v="940000"/>
    <x v="2"/>
    <n v="60"/>
    <x v="593"/>
    <n v="20909.780823807665"/>
    <n v="1254586.84942846"/>
    <x v="33"/>
    <x v="200"/>
    <x v="0"/>
  </r>
  <r>
    <x v="669"/>
    <s v="Sanjay Chatterjee"/>
    <n v="26"/>
    <x v="2"/>
    <n v="220000"/>
    <x v="4"/>
    <n v="48"/>
    <x v="594"/>
    <n v="5527.0900676058545"/>
    <n v="265300.323245081"/>
    <x v="33"/>
    <x v="299"/>
    <x v="1"/>
  </r>
  <r>
    <x v="670"/>
    <s v="Ajay Banerjee"/>
    <n v="38"/>
    <x v="3"/>
    <n v="150000"/>
    <x v="7"/>
    <n v="36"/>
    <x v="595"/>
    <n v="4840.0780790756226"/>
    <n v="174242.81084672242"/>
    <x v="13"/>
    <x v="53"/>
    <x v="0"/>
  </r>
  <r>
    <x v="671"/>
    <s v="Sunita Mishra"/>
    <n v="25"/>
    <x v="0"/>
    <n v="980000"/>
    <x v="9"/>
    <n v="36"/>
    <x v="596"/>
    <n v="33020.072963225939"/>
    <n v="1188722.6266761338"/>
    <x v="28"/>
    <x v="195"/>
    <x v="1"/>
  </r>
  <r>
    <x v="672"/>
    <s v="Sanjay Verma"/>
    <n v="45"/>
    <x v="0"/>
    <n v="1650000"/>
    <x v="5"/>
    <n v="36"/>
    <x v="597"/>
    <n v="51705.003011360903"/>
    <n v="1861380.1084089924"/>
    <x v="16"/>
    <x v="6"/>
    <x v="0"/>
  </r>
  <r>
    <x v="673"/>
    <s v="Usha Bhat"/>
    <n v="22"/>
    <x v="4"/>
    <n v="1690000"/>
    <x v="5"/>
    <n v="84"/>
    <x v="485"/>
    <n v="26340.702340511521"/>
    <n v="2212618.9966029678"/>
    <x v="6"/>
    <x v="187"/>
    <x v="3"/>
  </r>
  <r>
    <x v="674"/>
    <s v="Pallavi Patel"/>
    <n v="30"/>
    <x v="4"/>
    <n v="4790000"/>
    <x v="8"/>
    <n v="24"/>
    <x v="209"/>
    <n v="222141.23945259018"/>
    <n v="5331389.7468621638"/>
    <x v="26"/>
    <x v="122"/>
    <x v="0"/>
  </r>
  <r>
    <x v="675"/>
    <s v="Kiran Bose"/>
    <n v="50"/>
    <x v="1"/>
    <n v="7520000"/>
    <x v="1"/>
    <n v="48"/>
    <x v="598"/>
    <n v="196189.34697204756"/>
    <n v="9417088.6546582822"/>
    <x v="22"/>
    <x v="277"/>
    <x v="1"/>
  </r>
  <r>
    <x v="676"/>
    <s v="Preeti Nair"/>
    <n v="25"/>
    <x v="3"/>
    <n v="270000"/>
    <x v="8"/>
    <n v="120"/>
    <x v="164"/>
    <n v="3643.2449129397683"/>
    <n v="437189.38955277216"/>
    <x v="37"/>
    <x v="231"/>
    <x v="3"/>
  </r>
  <r>
    <x v="677"/>
    <s v="Preeti Joshi"/>
    <n v="53"/>
    <x v="6"/>
    <n v="1450000"/>
    <x v="1"/>
    <n v="84"/>
    <x v="599"/>
    <n v="25210.368189348192"/>
    <n v="2117670.927905248"/>
    <x v="10"/>
    <x v="238"/>
    <x v="0"/>
  </r>
  <r>
    <x v="678"/>
    <s v="Geeta Mitra"/>
    <n v="21"/>
    <x v="4"/>
    <n v="1660000"/>
    <x v="7"/>
    <n v="24"/>
    <x v="600"/>
    <n v="76600.577720277404"/>
    <n v="1838413.8652866576"/>
    <x v="21"/>
    <x v="241"/>
    <x v="1"/>
  </r>
  <r>
    <x v="679"/>
    <s v="Vinod Rao"/>
    <n v="38"/>
    <x v="5"/>
    <n v="1100000"/>
    <x v="4"/>
    <n v="180"/>
    <x v="601"/>
    <n v="11486.471511501652"/>
    <n v="2067564.8720702974"/>
    <x v="24"/>
    <x v="25"/>
    <x v="0"/>
  </r>
  <r>
    <x v="680"/>
    <s v="Subhayan Pandey"/>
    <n v="52"/>
    <x v="1"/>
    <n v="8100000"/>
    <x v="1"/>
    <n v="180"/>
    <x v="602"/>
    <n v="94623.374602547861"/>
    <n v="17032207.428458616"/>
    <x v="36"/>
    <x v="171"/>
    <x v="0"/>
  </r>
  <r>
    <x v="681"/>
    <s v="Rahul Menon"/>
    <n v="31"/>
    <x v="4"/>
    <n v="2060000"/>
    <x v="11"/>
    <n v="180"/>
    <x v="603"/>
    <n v="23413.896851855432"/>
    <n v="4214501.4333339781"/>
    <x v="15"/>
    <x v="123"/>
    <x v="0"/>
  </r>
  <r>
    <x v="682"/>
    <s v="Mamta Ghosh"/>
    <n v="41"/>
    <x v="3"/>
    <n v="310000"/>
    <x v="10"/>
    <n v="48"/>
    <x v="604"/>
    <n v="7495.4596006966813"/>
    <n v="359782.06083344069"/>
    <x v="3"/>
    <x v="74"/>
    <x v="0"/>
  </r>
  <r>
    <x v="683"/>
    <s v="Dinesh Dutta"/>
    <n v="46"/>
    <x v="3"/>
    <n v="380000"/>
    <x v="9"/>
    <n v="36"/>
    <x v="605"/>
    <n v="12803.701761250873"/>
    <n v="460933.26340503147"/>
    <x v="24"/>
    <x v="66"/>
    <x v="1"/>
  </r>
  <r>
    <x v="684"/>
    <s v="Geeta Sen"/>
    <n v="45"/>
    <x v="4"/>
    <n v="1950000"/>
    <x v="2"/>
    <n v="120"/>
    <x v="231"/>
    <n v="27976.834938504537"/>
    <n v="3357220.1926205442"/>
    <x v="19"/>
    <x v="80"/>
    <x v="1"/>
  </r>
  <r>
    <x v="685"/>
    <s v="Nisha Yadav"/>
    <n v="42"/>
    <x v="0"/>
    <n v="1360000"/>
    <x v="2"/>
    <n v="12"/>
    <x v="606"/>
    <n v="120834.35260254469"/>
    <n v="1450012.2312305362"/>
    <x v="35"/>
    <x v="94"/>
    <x v="1"/>
  </r>
  <r>
    <x v="686"/>
    <s v="Lata Das"/>
    <n v="47"/>
    <x v="0"/>
    <n v="550000"/>
    <x v="1"/>
    <n v="48"/>
    <x v="607"/>
    <n v="14348.954898221562"/>
    <n v="688749.83511463495"/>
    <x v="24"/>
    <x v="250"/>
    <x v="1"/>
  </r>
  <r>
    <x v="687"/>
    <s v="Kavya Yadav"/>
    <n v="33"/>
    <x v="5"/>
    <n v="1330000"/>
    <x v="8"/>
    <n v="12"/>
    <x v="608"/>
    <n v="117237.64184934717"/>
    <n v="1406851.7021921661"/>
    <x v="36"/>
    <x v="196"/>
    <x v="0"/>
  </r>
  <r>
    <x v="688"/>
    <s v="Sunita Mukherjee"/>
    <n v="53"/>
    <x v="1"/>
    <n v="5850000"/>
    <x v="5"/>
    <n v="36"/>
    <x v="609"/>
    <n v="183317.73794937049"/>
    <n v="6599438.5661773374"/>
    <x v="22"/>
    <x v="300"/>
    <x v="0"/>
  </r>
  <r>
    <x v="689"/>
    <s v="Pooja Chatterjee"/>
    <n v="54"/>
    <x v="0"/>
    <n v="490000"/>
    <x v="8"/>
    <n v="36"/>
    <x v="553"/>
    <n v="15926.197317296595"/>
    <n v="573343.10342267738"/>
    <x v="19"/>
    <x v="169"/>
    <x v="1"/>
  </r>
  <r>
    <x v="690"/>
    <s v="Anjali Pillai"/>
    <n v="61"/>
    <x v="3"/>
    <n v="150000"/>
    <x v="3"/>
    <n v="36"/>
    <x v="610"/>
    <n v="4735.130613533609"/>
    <n v="170464.70208720991"/>
    <x v="26"/>
    <x v="250"/>
    <x v="2"/>
  </r>
  <r>
    <x v="691"/>
    <s v="Priya Joshi"/>
    <n v="55"/>
    <x v="1"/>
    <n v="6280000"/>
    <x v="3"/>
    <n v="240"/>
    <x v="611"/>
    <n v="54499.299055355528"/>
    <n v="13079831.773285327"/>
    <x v="2"/>
    <x v="301"/>
    <x v="1"/>
  </r>
  <r>
    <x v="692"/>
    <s v="Neha Sharma"/>
    <n v="21"/>
    <x v="6"/>
    <n v="1970000"/>
    <x v="2"/>
    <n v="12"/>
    <x v="612"/>
    <n v="175032.11369633314"/>
    <n v="2100385.3643559976"/>
    <x v="29"/>
    <x v="236"/>
    <x v="1"/>
  </r>
  <r>
    <x v="693"/>
    <s v="Sunil Nair"/>
    <n v="41"/>
    <x v="4"/>
    <n v="4280000"/>
    <x v="2"/>
    <n v="36"/>
    <x v="613"/>
    <n v="142157.24599900309"/>
    <n v="5117660.8559641112"/>
    <x v="22"/>
    <x v="294"/>
    <x v="0"/>
  </r>
  <r>
    <x v="694"/>
    <s v="Pooja Gupta"/>
    <n v="26"/>
    <x v="3"/>
    <n v="370000"/>
    <x v="2"/>
    <n v="12"/>
    <x v="614"/>
    <n v="32874.051810986421"/>
    <n v="394488.62173183705"/>
    <x v="3"/>
    <x v="256"/>
    <x v="0"/>
  </r>
  <r>
    <x v="695"/>
    <s v="Geeta Mehta"/>
    <n v="48"/>
    <x v="6"/>
    <n v="310000"/>
    <x v="5"/>
    <n v="36"/>
    <x v="3"/>
    <n v="9714.2732930435632"/>
    <n v="349713.83854956826"/>
    <x v="7"/>
    <x v="35"/>
    <x v="0"/>
  </r>
  <r>
    <x v="696"/>
    <s v="Rekha Kumar"/>
    <n v="37"/>
    <x v="1"/>
    <n v="7020000"/>
    <x v="5"/>
    <n v="60"/>
    <x v="615"/>
    <n v="142340.28790466403"/>
    <n v="8540417.2742798422"/>
    <x v="20"/>
    <x v="123"/>
    <x v="1"/>
  </r>
  <r>
    <x v="697"/>
    <s v="Kavya Singh"/>
    <n v="25"/>
    <x v="6"/>
    <n v="220000"/>
    <x v="2"/>
    <n v="36"/>
    <x v="616"/>
    <n v="7307.1481588272627"/>
    <n v="263057.33371778147"/>
    <x v="0"/>
    <x v="110"/>
    <x v="1"/>
  </r>
  <r>
    <x v="698"/>
    <s v="Divya Pillai"/>
    <n v="51"/>
    <x v="5"/>
    <n v="1320000"/>
    <x v="5"/>
    <n v="240"/>
    <x v="617"/>
    <n v="11041.008910713708"/>
    <n v="2649842.1385712898"/>
    <x v="26"/>
    <x v="44"/>
    <x v="1"/>
  </r>
  <r>
    <x v="699"/>
    <s v="Ramesh Kapoor"/>
    <n v="25"/>
    <x v="2"/>
    <n v="240000"/>
    <x v="4"/>
    <n v="120"/>
    <x v="618"/>
    <n v="3105.5413814586486"/>
    <n v="372664.96577503782"/>
    <x v="10"/>
    <x v="232"/>
    <x v="1"/>
  </r>
  <r>
    <x v="700"/>
    <s v="Shweta Menon"/>
    <n v="58"/>
    <x v="5"/>
    <n v="710000"/>
    <x v="1"/>
    <n v="12"/>
    <x v="619"/>
    <n v="62916.688244571291"/>
    <n v="755000.25893485546"/>
    <x v="10"/>
    <x v="210"/>
    <x v="1"/>
  </r>
  <r>
    <x v="701"/>
    <s v="Manoj Dutta"/>
    <n v="23"/>
    <x v="1"/>
    <n v="7440000"/>
    <x v="7"/>
    <n v="60"/>
    <x v="620"/>
    <n v="158078.01265183598"/>
    <n v="9484680.7591101583"/>
    <x v="1"/>
    <x v="9"/>
    <x v="0"/>
  </r>
  <r>
    <x v="702"/>
    <s v="Meena Rao"/>
    <n v="43"/>
    <x v="5"/>
    <n v="1480000"/>
    <x v="8"/>
    <n v="24"/>
    <x v="621"/>
    <n v="68636.541626270031"/>
    <n v="1647276.9990304806"/>
    <x v="15"/>
    <x v="214"/>
    <x v="2"/>
  </r>
  <r>
    <x v="703"/>
    <s v="Pallavi Roy"/>
    <n v="57"/>
    <x v="3"/>
    <n v="310000"/>
    <x v="4"/>
    <n v="48"/>
    <x v="622"/>
    <n v="7788.1723679900679"/>
    <n v="373832.27366352326"/>
    <x v="13"/>
    <x v="67"/>
    <x v="1"/>
  </r>
  <r>
    <x v="704"/>
    <s v="Geeta Ghosh"/>
    <n v="57"/>
    <x v="1"/>
    <n v="9300000"/>
    <x v="8"/>
    <n v="180"/>
    <x v="623"/>
    <n v="102802.09990383682"/>
    <n v="18504377.982690629"/>
    <x v="1"/>
    <x v="66"/>
    <x v="0"/>
  </r>
  <r>
    <x v="705"/>
    <s v="Anil Roy"/>
    <n v="30"/>
    <x v="5"/>
    <n v="1160000"/>
    <x v="0"/>
    <n v="180"/>
    <x v="599"/>
    <n v="14297.256156923411"/>
    <n v="2573506.1082462142"/>
    <x v="8"/>
    <x v="4"/>
    <x v="0"/>
  </r>
  <r>
    <x v="706"/>
    <s v="Rohit Mishra"/>
    <n v="30"/>
    <x v="4"/>
    <n v="4620000"/>
    <x v="11"/>
    <n v="180"/>
    <x v="624"/>
    <n v="52510.778376491304"/>
    <n v="9451940.107768435"/>
    <x v="35"/>
    <x v="143"/>
    <x v="0"/>
  </r>
  <r>
    <x v="707"/>
    <s v="Sneha Singh"/>
    <n v="39"/>
    <x v="0"/>
    <n v="1070000"/>
    <x v="2"/>
    <n v="36"/>
    <x v="313"/>
    <n v="35539.311499750773"/>
    <n v="1279415.2139910278"/>
    <x v="14"/>
    <x v="185"/>
    <x v="1"/>
  </r>
  <r>
    <x v="708"/>
    <s v="Nisha Bhat"/>
    <n v="37"/>
    <x v="4"/>
    <n v="4220000"/>
    <x v="2"/>
    <n v="48"/>
    <x v="625"/>
    <n v="111128.78552273518"/>
    <n v="5334181.7050912883"/>
    <x v="28"/>
    <x v="188"/>
    <x v="0"/>
  </r>
  <r>
    <x v="709"/>
    <s v="Vinod Bhat"/>
    <n v="41"/>
    <x v="5"/>
    <n v="1320000"/>
    <x v="11"/>
    <n v="120"/>
    <x v="626"/>
    <n v="18183.00149053377"/>
    <n v="2181960.1788640525"/>
    <x v="6"/>
    <x v="195"/>
    <x v="0"/>
  </r>
  <r>
    <x v="710"/>
    <s v="Mukesh Nair"/>
    <n v="34"/>
    <x v="0"/>
    <n v="550000"/>
    <x v="10"/>
    <n v="36"/>
    <x v="627"/>
    <n v="17108.419988361042"/>
    <n v="615903.1195809975"/>
    <x v="37"/>
    <x v="258"/>
    <x v="1"/>
  </r>
  <r>
    <x v="711"/>
    <s v="Vikram Roy"/>
    <n v="29"/>
    <x v="0"/>
    <n v="370000"/>
    <x v="3"/>
    <n v="36"/>
    <x v="628"/>
    <n v="11679.988846716236"/>
    <n v="420479.59848178452"/>
    <x v="8"/>
    <x v="219"/>
    <x v="2"/>
  </r>
  <r>
    <x v="712"/>
    <s v="Vinod Mitra"/>
    <n v="21"/>
    <x v="3"/>
    <n v="350000"/>
    <x v="4"/>
    <n v="240"/>
    <x v="629"/>
    <n v="3262.4591574173132"/>
    <n v="782990.19778015523"/>
    <x v="35"/>
    <x v="197"/>
    <x v="0"/>
  </r>
  <r>
    <x v="713"/>
    <s v="Sunita Shah"/>
    <n v="33"/>
    <x v="3"/>
    <n v="70000"/>
    <x v="8"/>
    <n v="60"/>
    <x v="630"/>
    <n v="1504.5730264682222"/>
    <n v="90274.38158809334"/>
    <x v="25"/>
    <x v="15"/>
    <x v="1"/>
  </r>
  <r>
    <x v="714"/>
    <s v="Rohit Mishra"/>
    <n v="24"/>
    <x v="6"/>
    <n v="1870000"/>
    <x v="3"/>
    <n v="36"/>
    <x v="631"/>
    <n v="59031.294982052328"/>
    <n v="2125126.6193538839"/>
    <x v="15"/>
    <x v="60"/>
    <x v="1"/>
  </r>
  <r>
    <x v="715"/>
    <s v="Ramesh Mukherjee"/>
    <n v="21"/>
    <x v="3"/>
    <n v="450000"/>
    <x v="2"/>
    <n v="84"/>
    <x v="632"/>
    <n v="7943.7297586832183"/>
    <n v="667273.2997293903"/>
    <x v="1"/>
    <x v="43"/>
    <x v="1"/>
  </r>
  <r>
    <x v="716"/>
    <s v="Sunita Pandey"/>
    <n v="60"/>
    <x v="1"/>
    <n v="4700000"/>
    <x v="2"/>
    <n v="180"/>
    <x v="633"/>
    <n v="56407.898918301136"/>
    <n v="10153421.805294205"/>
    <x v="21"/>
    <x v="95"/>
    <x v="3"/>
  </r>
  <r>
    <x v="717"/>
    <s v="Usha Dutta"/>
    <n v="52"/>
    <x v="4"/>
    <n v="2950000"/>
    <x v="0"/>
    <n v="24"/>
    <x v="634"/>
    <n v="139556.55929472356"/>
    <n v="3349357.4230733654"/>
    <x v="13"/>
    <x v="79"/>
    <x v="0"/>
  </r>
  <r>
    <x v="718"/>
    <s v="Ramesh Patel"/>
    <n v="54"/>
    <x v="1"/>
    <n v="1550000"/>
    <x v="9"/>
    <n v="48"/>
    <x v="635"/>
    <n v="41582.618635335588"/>
    <n v="1995965.6944961082"/>
    <x v="5"/>
    <x v="284"/>
    <x v="0"/>
  </r>
  <r>
    <x v="719"/>
    <s v="Nisha Iyer"/>
    <n v="48"/>
    <x v="4"/>
    <n v="2810000"/>
    <x v="8"/>
    <n v="120"/>
    <x v="636"/>
    <n v="37916.734093928702"/>
    <n v="4550008.0912714442"/>
    <x v="13"/>
    <x v="157"/>
    <x v="1"/>
  </r>
  <r>
    <x v="720"/>
    <s v="Amit Yadav"/>
    <n v="51"/>
    <x v="2"/>
    <n v="340000"/>
    <x v="10"/>
    <n v="120"/>
    <x v="637"/>
    <n v="4035.8601506190435"/>
    <n v="484303.21807428519"/>
    <x v="32"/>
    <x v="302"/>
    <x v="1"/>
  </r>
  <r>
    <x v="721"/>
    <s v="Mukesh Mehta"/>
    <n v="28"/>
    <x v="3"/>
    <n v="330000"/>
    <x v="8"/>
    <n v="36"/>
    <x v="638"/>
    <n v="10725.806356546685"/>
    <n v="386129.02883568069"/>
    <x v="36"/>
    <x v="9"/>
    <x v="1"/>
  </r>
  <r>
    <x v="722"/>
    <s v="Vikas Das"/>
    <n v="59"/>
    <x v="5"/>
    <n v="910000"/>
    <x v="7"/>
    <n v="24"/>
    <x v="639"/>
    <n v="41991.882967140024"/>
    <n v="1007805.1912113605"/>
    <x v="23"/>
    <x v="280"/>
    <x v="1"/>
  </r>
  <r>
    <x v="723"/>
    <s v="Sneha Chatterjee"/>
    <n v="46"/>
    <x v="4"/>
    <n v="1910000"/>
    <x v="9"/>
    <n v="12"/>
    <x v="640"/>
    <n v="170595.99660944054"/>
    <n v="2047151.9593132865"/>
    <x v="12"/>
    <x v="278"/>
    <x v="0"/>
  </r>
  <r>
    <x v="724"/>
    <s v="Rajesh Menon"/>
    <n v="54"/>
    <x v="5"/>
    <n v="1260000"/>
    <x v="6"/>
    <n v="48"/>
    <x v="641"/>
    <n v="31355.153391157102"/>
    <n v="1505047.3627755409"/>
    <x v="6"/>
    <x v="303"/>
    <x v="1"/>
  </r>
  <r>
    <x v="725"/>
    <s v="Sanjay Chatterjee"/>
    <n v="23"/>
    <x v="2"/>
    <n v="690000"/>
    <x v="10"/>
    <n v="240"/>
    <x v="173"/>
    <n v="5558.5930355074697"/>
    <n v="1334062.3285217928"/>
    <x v="6"/>
    <x v="81"/>
    <x v="1"/>
  </r>
  <r>
    <x v="726"/>
    <s v="Rekha Patel"/>
    <n v="32"/>
    <x v="1"/>
    <n v="9310000"/>
    <x v="9"/>
    <n v="240"/>
    <x v="642"/>
    <n v="109073.69872001006"/>
    <n v="26177687.692802414"/>
    <x v="6"/>
    <x v="230"/>
    <x v="0"/>
  </r>
  <r>
    <x v="727"/>
    <s v="Pooja Sharma"/>
    <n v="21"/>
    <x v="5"/>
    <n v="1450000"/>
    <x v="11"/>
    <n v="120"/>
    <x v="643"/>
    <n v="19973.751637328762"/>
    <n v="2396850.1964794514"/>
    <x v="36"/>
    <x v="119"/>
    <x v="0"/>
  </r>
  <r>
    <x v="728"/>
    <s v="Priya Joshi"/>
    <n v="64"/>
    <x v="4"/>
    <n v="4780000"/>
    <x v="4"/>
    <n v="36"/>
    <x v="644"/>
    <n v="153117.49976093645"/>
    <n v="5512229.9913937123"/>
    <x v="33"/>
    <x v="123"/>
    <x v="1"/>
  </r>
  <r>
    <x v="729"/>
    <s v="Dinesh Patel"/>
    <n v="25"/>
    <x v="2"/>
    <n v="220000"/>
    <x v="7"/>
    <n v="24"/>
    <x v="645"/>
    <n v="10151.883794253632"/>
    <n v="243645.21106208715"/>
    <x v="24"/>
    <x v="86"/>
    <x v="0"/>
  </r>
  <r>
    <x v="730"/>
    <s v="Anjali Das"/>
    <n v="50"/>
    <x v="4"/>
    <n v="1460000"/>
    <x v="10"/>
    <n v="36"/>
    <x v="646"/>
    <n v="45415.078514558394"/>
    <n v="1634942.8265241021"/>
    <x v="31"/>
    <x v="297"/>
    <x v="0"/>
  </r>
  <r>
    <x v="731"/>
    <s v="Divya Singh"/>
    <n v="50"/>
    <x v="2"/>
    <n v="380000"/>
    <x v="7"/>
    <n v="180"/>
    <x v="647"/>
    <n v="4083.4994472908415"/>
    <n v="735029.90051235142"/>
    <x v="10"/>
    <x v="194"/>
    <x v="1"/>
  </r>
  <r>
    <x v="732"/>
    <s v="Usha Mishra"/>
    <n v="37"/>
    <x v="3"/>
    <n v="460000"/>
    <x v="4"/>
    <n v="12"/>
    <x v="648"/>
    <n v="40334.415416039039"/>
    <n v="484012.9849924685"/>
    <x v="8"/>
    <x v="222"/>
    <x v="1"/>
  </r>
  <r>
    <x v="733"/>
    <s v="Ramesh Mukherjee"/>
    <n v="43"/>
    <x v="0"/>
    <n v="1340000"/>
    <x v="4"/>
    <n v="240"/>
    <x v="649"/>
    <n v="12490.557916969141"/>
    <n v="2997733.9000725937"/>
    <x v="16"/>
    <x v="59"/>
    <x v="0"/>
  </r>
  <r>
    <x v="734"/>
    <s v="Divya Reddy"/>
    <n v="35"/>
    <x v="0"/>
    <n v="1930000"/>
    <x v="4"/>
    <n v="240"/>
    <x v="650"/>
    <n v="17990.131925186899"/>
    <n v="4317631.6620448558"/>
    <x v="5"/>
    <x v="112"/>
    <x v="0"/>
  </r>
  <r>
    <x v="735"/>
    <s v="Sunil Ghosh"/>
    <n v="57"/>
    <x v="3"/>
    <n v="240000"/>
    <x v="11"/>
    <n v="24"/>
    <x v="651"/>
    <n v="11185.881167166015"/>
    <n v="268461.14801198436"/>
    <x v="12"/>
    <x v="304"/>
    <x v="3"/>
  </r>
  <r>
    <x v="736"/>
    <s v="Suresh Pillai"/>
    <n v="41"/>
    <x v="3"/>
    <n v="330000"/>
    <x v="9"/>
    <n v="24"/>
    <x v="652"/>
    <n v="15688.801454188833"/>
    <n v="376531.234900532"/>
    <x v="9"/>
    <x v="19"/>
    <x v="1"/>
  </r>
  <r>
    <x v="737"/>
    <s v="Rekha Chatterjee"/>
    <n v="34"/>
    <x v="3"/>
    <n v="480000"/>
    <x v="0"/>
    <n v="180"/>
    <x v="653"/>
    <n v="5916.105995968308"/>
    <n v="1064899.0792742954"/>
    <x v="24"/>
    <x v="171"/>
    <x v="1"/>
  </r>
  <r>
    <x v="738"/>
    <s v="Anjali Dutta"/>
    <n v="22"/>
    <x v="0"/>
    <n v="1790000"/>
    <x v="5"/>
    <n v="36"/>
    <x v="137"/>
    <n v="56092.094175961218"/>
    <n v="2019315.3903346038"/>
    <x v="6"/>
    <x v="254"/>
    <x v="0"/>
  </r>
  <r>
    <x v="739"/>
    <s v="Dinesh Yadav"/>
    <n v="31"/>
    <x v="3"/>
    <n v="70000"/>
    <x v="6"/>
    <n v="240"/>
    <x v="133"/>
    <n v="629.80816909512112"/>
    <n v="151153.96058282908"/>
    <x v="8"/>
    <x v="208"/>
    <x v="1"/>
  </r>
  <r>
    <x v="740"/>
    <s v="Rekha Rao"/>
    <n v="59"/>
    <x v="2"/>
    <n v="900000"/>
    <x v="3"/>
    <n v="12"/>
    <x v="654"/>
    <n v="78497.804214083459"/>
    <n v="941973.65056900145"/>
    <x v="34"/>
    <x v="146"/>
    <x v="0"/>
  </r>
  <r>
    <x v="741"/>
    <s v="Priya Banerjee"/>
    <n v="58"/>
    <x v="4"/>
    <n v="4200000"/>
    <x v="4"/>
    <n v="120"/>
    <x v="655"/>
    <n v="54346.974175526353"/>
    <n v="6521636.9010631628"/>
    <x v="26"/>
    <x v="185"/>
    <x v="1"/>
  </r>
  <r>
    <x v="742"/>
    <s v="Ramesh Verma"/>
    <n v="54"/>
    <x v="5"/>
    <n v="1450000"/>
    <x v="9"/>
    <n v="240"/>
    <x v="656"/>
    <n v="16987.847813535402"/>
    <n v="4077083.4752484965"/>
    <x v="1"/>
    <x v="288"/>
    <x v="1"/>
  </r>
  <r>
    <x v="743"/>
    <s v="Neha Mishra"/>
    <n v="58"/>
    <x v="1"/>
    <n v="4670000"/>
    <x v="11"/>
    <n v="120"/>
    <x v="657"/>
    <n v="64329.255273327806"/>
    <n v="7719510.6327993367"/>
    <x v="7"/>
    <x v="125"/>
    <x v="1"/>
  </r>
  <r>
    <x v="744"/>
    <s v="Kiran Bhat"/>
    <n v="54"/>
    <x v="1"/>
    <n v="8130000"/>
    <x v="7"/>
    <n v="84"/>
    <x v="128"/>
    <n v="134967.62613858242"/>
    <n v="11337280.595640924"/>
    <x v="28"/>
    <x v="57"/>
    <x v="0"/>
  </r>
  <r>
    <x v="745"/>
    <s v="Ramesh Patel"/>
    <n v="38"/>
    <x v="2"/>
    <n v="210000"/>
    <x v="4"/>
    <n v="12"/>
    <x v="658"/>
    <n v="18413.537472539563"/>
    <n v="220962.44967047474"/>
    <x v="33"/>
    <x v="131"/>
    <x v="0"/>
  </r>
  <r>
    <x v="746"/>
    <s v="Ramesh Shah"/>
    <n v="50"/>
    <x v="4"/>
    <n v="2580000"/>
    <x v="9"/>
    <n v="240"/>
    <x v="659"/>
    <n v="30226.653350980232"/>
    <n v="7254396.8042352553"/>
    <x v="11"/>
    <x v="305"/>
    <x v="1"/>
  </r>
  <r>
    <x v="747"/>
    <s v="Lata Sharma"/>
    <n v="35"/>
    <x v="2"/>
    <n v="410000"/>
    <x v="8"/>
    <n v="120"/>
    <x v="120"/>
    <n v="5532.3348677974254"/>
    <n v="663880.18413569103"/>
    <x v="4"/>
    <x v="109"/>
    <x v="0"/>
  </r>
  <r>
    <x v="748"/>
    <s v="Vinod Rao"/>
    <n v="47"/>
    <x v="1"/>
    <n v="1540000"/>
    <x v="2"/>
    <n v="48"/>
    <x v="89"/>
    <n v="40554.10656516876"/>
    <n v="1946597.1151281004"/>
    <x v="20"/>
    <x v="102"/>
    <x v="2"/>
  </r>
  <r>
    <x v="749"/>
    <s v="Kavya Patel"/>
    <n v="54"/>
    <x v="2"/>
    <n v="570000"/>
    <x v="0"/>
    <n v="180"/>
    <x v="660"/>
    <n v="7025.375870212365"/>
    <n v="1264567.6566382258"/>
    <x v="37"/>
    <x v="109"/>
    <x v="1"/>
  </r>
  <r>
    <x v="750"/>
    <s v="Rajesh Gupta"/>
    <n v="58"/>
    <x v="0"/>
    <n v="750000"/>
    <x v="5"/>
    <n v="120"/>
    <x v="661"/>
    <n v="9099.5695766517692"/>
    <n v="1091948.3491982124"/>
    <x v="11"/>
    <x v="7"/>
    <x v="0"/>
  </r>
  <r>
    <x v="751"/>
    <s v="Deepak Chatterjee"/>
    <n v="53"/>
    <x v="2"/>
    <n v="470000"/>
    <x v="6"/>
    <n v="84"/>
    <x v="662"/>
    <n v="7561.8667822181187"/>
    <n v="635196.80970632192"/>
    <x v="34"/>
    <x v="91"/>
    <x v="1"/>
  </r>
  <r>
    <x v="752"/>
    <s v="Mamta Mitra"/>
    <n v="44"/>
    <x v="3"/>
    <n v="480000"/>
    <x v="11"/>
    <n v="24"/>
    <x v="179"/>
    <n v="22371.76233433203"/>
    <n v="536922.29602396872"/>
    <x v="5"/>
    <x v="148"/>
    <x v="1"/>
  </r>
  <r>
    <x v="753"/>
    <s v="Rahul Roy"/>
    <n v="35"/>
    <x v="1"/>
    <n v="2460000"/>
    <x v="6"/>
    <n v="120"/>
    <x v="663"/>
    <n v="31162.240342561374"/>
    <n v="3739468.8411073647"/>
    <x v="31"/>
    <x v="102"/>
    <x v="2"/>
  </r>
  <r>
    <x v="754"/>
    <s v="Anil Das"/>
    <n v="50"/>
    <x v="3"/>
    <n v="280000"/>
    <x v="8"/>
    <n v="36"/>
    <x v="414"/>
    <n v="9100.684181312341"/>
    <n v="327624.6305272443"/>
    <x v="22"/>
    <x v="295"/>
    <x v="0"/>
  </r>
  <r>
    <x v="755"/>
    <s v="Pooja Roy"/>
    <n v="62"/>
    <x v="3"/>
    <n v="110000"/>
    <x v="9"/>
    <n v="60"/>
    <x v="664"/>
    <n v="2502.8380348646424"/>
    <n v="150170.28209187853"/>
    <x v="6"/>
    <x v="274"/>
    <x v="0"/>
  </r>
  <r>
    <x v="756"/>
    <s v="Preeti Verma"/>
    <n v="37"/>
    <x v="5"/>
    <n v="800000"/>
    <x v="11"/>
    <n v="180"/>
    <x v="89"/>
    <n v="9092.7754764487108"/>
    <n v="1636699.585760768"/>
    <x v="17"/>
    <x v="286"/>
    <x v="1"/>
  </r>
  <r>
    <x v="757"/>
    <s v="Sneha Dutta"/>
    <n v="25"/>
    <x v="2"/>
    <n v="320000"/>
    <x v="1"/>
    <n v="48"/>
    <x v="665"/>
    <n v="8348.4828498743645"/>
    <n v="400727.17679396947"/>
    <x v="37"/>
    <x v="243"/>
    <x v="1"/>
  </r>
  <r>
    <x v="758"/>
    <s v="Mukesh Verma"/>
    <n v="49"/>
    <x v="5"/>
    <n v="1040000"/>
    <x v="7"/>
    <n v="24"/>
    <x v="666"/>
    <n v="47990.723391017164"/>
    <n v="1151777.3613844118"/>
    <x v="28"/>
    <x v="58"/>
    <x v="0"/>
  </r>
  <r>
    <x v="759"/>
    <s v="Sunil Verma"/>
    <n v="24"/>
    <x v="2"/>
    <n v="850000"/>
    <x v="10"/>
    <n v="60"/>
    <x v="36"/>
    <n v="17032.256306280196"/>
    <n v="1021935.3783768117"/>
    <x v="24"/>
    <x v="65"/>
    <x v="1"/>
  </r>
  <r>
    <x v="760"/>
    <s v="Nisha Mehta"/>
    <n v="30"/>
    <x v="4"/>
    <n v="4090000"/>
    <x v="1"/>
    <n v="240"/>
    <x v="667"/>
    <n v="43616.971928875937"/>
    <n v="10468073.262930226"/>
    <x v="6"/>
    <x v="155"/>
    <x v="0"/>
  </r>
  <r>
    <x v="761"/>
    <s v="Suresh Roy"/>
    <n v="37"/>
    <x v="0"/>
    <n v="550000"/>
    <x v="3"/>
    <n v="120"/>
    <x v="668"/>
    <n v="6819.2128880981118"/>
    <n v="818305.54657177336"/>
    <x v="28"/>
    <x v="170"/>
    <x v="1"/>
  </r>
  <r>
    <x v="762"/>
    <s v="Mamta Mitra"/>
    <n v="30"/>
    <x v="3"/>
    <n v="370000"/>
    <x v="5"/>
    <n v="60"/>
    <x v="669"/>
    <n v="7502.2658867130622"/>
    <n v="450135.95320278371"/>
    <x v="10"/>
    <x v="215"/>
    <x v="1"/>
  </r>
  <r>
    <x v="763"/>
    <s v="Manoj Bhat"/>
    <n v="37"/>
    <x v="2"/>
    <n v="250000"/>
    <x v="4"/>
    <n v="48"/>
    <x v="670"/>
    <n v="6280.7841677339256"/>
    <n v="301477.64005122846"/>
    <x v="22"/>
    <x v="130"/>
    <x v="0"/>
  </r>
  <r>
    <x v="764"/>
    <s v="Suresh Singh"/>
    <n v="40"/>
    <x v="2"/>
    <n v="920000"/>
    <x v="9"/>
    <n v="12"/>
    <x v="671"/>
    <n v="82171.893654809057"/>
    <n v="986062.72385770874"/>
    <x v="37"/>
    <x v="215"/>
    <x v="2"/>
  </r>
  <r>
    <x v="765"/>
    <s v="Divya Rao"/>
    <n v="44"/>
    <x v="6"/>
    <n v="630000"/>
    <x v="1"/>
    <n v="12"/>
    <x v="451"/>
    <n v="55827.483935323828"/>
    <n v="669929.8072238859"/>
    <x v="25"/>
    <x v="85"/>
    <x v="1"/>
  </r>
  <r>
    <x v="766"/>
    <s v="Arjun Patel"/>
    <n v="25"/>
    <x v="4"/>
    <n v="2240000"/>
    <x v="8"/>
    <n v="240"/>
    <x v="672"/>
    <n v="22363.709468116685"/>
    <n v="5367290.2723480044"/>
    <x v="14"/>
    <x v="232"/>
    <x v="1"/>
  </r>
  <r>
    <x v="767"/>
    <s v="Amit Singh"/>
    <n v="54"/>
    <x v="3"/>
    <n v="470000"/>
    <x v="3"/>
    <n v="24"/>
    <x v="673"/>
    <n v="21364.16719425144"/>
    <n v="512740.0126620346"/>
    <x v="25"/>
    <x v="37"/>
    <x v="1"/>
  </r>
  <r>
    <x v="768"/>
    <s v="Subhayan Nair"/>
    <n v="26"/>
    <x v="4"/>
    <n v="1000000"/>
    <x v="1"/>
    <n v="240"/>
    <x v="674"/>
    <n v="10664.296315128591"/>
    <n v="2559431.1156308618"/>
    <x v="30"/>
    <x v="194"/>
    <x v="1"/>
  </r>
  <r>
    <x v="769"/>
    <s v="Kiran Pandey"/>
    <n v="22"/>
    <x v="5"/>
    <n v="1500000"/>
    <x v="2"/>
    <n v="12"/>
    <x v="675"/>
    <n v="133273.18301751252"/>
    <n v="1599278.1962101501"/>
    <x v="2"/>
    <x v="152"/>
    <x v="2"/>
  </r>
  <r>
    <x v="770"/>
    <s v="Ritu Mitra"/>
    <n v="33"/>
    <x v="5"/>
    <n v="1040000"/>
    <x v="10"/>
    <n v="120"/>
    <x v="676"/>
    <n v="12344.98399012884"/>
    <n v="1481398.0788154607"/>
    <x v="9"/>
    <x v="75"/>
    <x v="1"/>
  </r>
  <r>
    <x v="771"/>
    <s v="Arjun Rao"/>
    <n v="63"/>
    <x v="0"/>
    <n v="1320000"/>
    <x v="3"/>
    <n v="48"/>
    <x v="677"/>
    <n v="32535.760433663134"/>
    <n v="1561716.5008158304"/>
    <x v="17"/>
    <x v="306"/>
    <x v="2"/>
  </r>
  <r>
    <x v="772"/>
    <s v="Rahul Singh"/>
    <n v="63"/>
    <x v="2"/>
    <n v="390000"/>
    <x v="6"/>
    <n v="84"/>
    <x v="187"/>
    <n v="6274.740521415034"/>
    <n v="527078.20379886287"/>
    <x v="11"/>
    <x v="33"/>
    <x v="1"/>
  </r>
  <r>
    <x v="773"/>
    <s v="Rekha Kapoor"/>
    <n v="31"/>
    <x v="0"/>
    <n v="1450000"/>
    <x v="6"/>
    <n v="120"/>
    <x v="452"/>
    <n v="18367.987193786172"/>
    <n v="2204158.4632543405"/>
    <x v="25"/>
    <x v="307"/>
    <x v="1"/>
  </r>
  <r>
    <x v="774"/>
    <s v="Rohit Ghosh"/>
    <n v="43"/>
    <x v="0"/>
    <n v="1330000"/>
    <x v="10"/>
    <n v="84"/>
    <x v="678"/>
    <n v="20399.906884656313"/>
    <n v="1713592.1783111303"/>
    <x v="14"/>
    <x v="161"/>
    <x v="1"/>
  </r>
  <r>
    <x v="775"/>
    <s v="Sneha Iyer"/>
    <n v="36"/>
    <x v="1"/>
    <n v="3820000"/>
    <x v="6"/>
    <n v="24"/>
    <x v="679"/>
    <n v="174515.71550644122"/>
    <n v="4188377.1721545896"/>
    <x v="22"/>
    <x v="77"/>
    <x v="0"/>
  </r>
  <r>
    <x v="776"/>
    <s v="Neha Sen"/>
    <n v="51"/>
    <x v="2"/>
    <n v="440000"/>
    <x v="10"/>
    <n v="36"/>
    <x v="47"/>
    <n v="13686.735990688832"/>
    <n v="492722.49566479796"/>
    <x v="4"/>
    <x v="233"/>
    <x v="0"/>
  </r>
  <r>
    <x v="777"/>
    <s v="Ramesh Kapoor"/>
    <n v="31"/>
    <x v="6"/>
    <n v="1680000"/>
    <x v="11"/>
    <n v="120"/>
    <x v="680"/>
    <n v="23142.001897042977"/>
    <n v="2777040.2276451574"/>
    <x v="16"/>
    <x v="127"/>
    <x v="3"/>
  </r>
  <r>
    <x v="778"/>
    <s v="Sunil Patel"/>
    <n v="36"/>
    <x v="2"/>
    <n v="410000"/>
    <x v="10"/>
    <n v="60"/>
    <x v="681"/>
    <n v="8215.5589242057431"/>
    <n v="492933.53545234457"/>
    <x v="26"/>
    <x v="199"/>
    <x v="1"/>
  </r>
  <r>
    <x v="779"/>
    <s v="Neha Kapoor"/>
    <n v="28"/>
    <x v="3"/>
    <n v="200000"/>
    <x v="7"/>
    <n v="60"/>
    <x v="193"/>
    <n v="4249.4089422536554"/>
    <n v="254964.53653521932"/>
    <x v="3"/>
    <x v="308"/>
    <x v="1"/>
  </r>
  <r>
    <x v="780"/>
    <s v="Nisha Yadav"/>
    <n v="24"/>
    <x v="6"/>
    <n v="1400000"/>
    <x v="9"/>
    <n v="240"/>
    <x v="682"/>
    <n v="16402.05995789625"/>
    <n v="3936494.3898951001"/>
    <x v="6"/>
    <x v="156"/>
    <x v="0"/>
  </r>
  <r>
    <x v="781"/>
    <s v="Priya Ghosh"/>
    <n v="60"/>
    <x v="2"/>
    <n v="380000"/>
    <x v="6"/>
    <n v="120"/>
    <x v="507"/>
    <n v="4813.6794025094796"/>
    <n v="577641.5283011375"/>
    <x v="24"/>
    <x v="108"/>
    <x v="1"/>
  </r>
  <r>
    <x v="782"/>
    <s v="Hemant Joshi"/>
    <n v="24"/>
    <x v="5"/>
    <n v="1380000"/>
    <x v="4"/>
    <n v="84"/>
    <x v="683"/>
    <n v="22554.694720191819"/>
    <n v="1894594.3564961129"/>
    <x v="17"/>
    <x v="98"/>
    <x v="1"/>
  </r>
  <r>
    <x v="783"/>
    <s v="Rajesh Chatterjee"/>
    <n v="45"/>
    <x v="3"/>
    <n v="410000"/>
    <x v="7"/>
    <n v="60"/>
    <x v="127"/>
    <n v="8711.2883316199932"/>
    <n v="522677.29989719961"/>
    <x v="36"/>
    <x v="263"/>
    <x v="2"/>
  </r>
  <r>
    <x v="784"/>
    <s v="Amit Sharma"/>
    <n v="23"/>
    <x v="2"/>
    <n v="950000"/>
    <x v="11"/>
    <n v="120"/>
    <x v="684"/>
    <n v="13086.251072732635"/>
    <n v="1570350.1287279162"/>
    <x v="33"/>
    <x v="206"/>
    <x v="1"/>
  </r>
  <r>
    <x v="785"/>
    <s v="Pallavi Bhat"/>
    <n v="52"/>
    <x v="3"/>
    <n v="100000"/>
    <x v="1"/>
    <n v="48"/>
    <x v="553"/>
    <n v="2608.9008905857386"/>
    <n v="125227.24274811544"/>
    <x v="22"/>
    <x v="168"/>
    <x v="1"/>
  </r>
  <r>
    <x v="786"/>
    <s v="Vinod Reddy"/>
    <n v="23"/>
    <x v="5"/>
    <n v="580000"/>
    <x v="8"/>
    <n v="120"/>
    <x v="685"/>
    <n v="7826.2298129817254"/>
    <n v="939147.57755780709"/>
    <x v="34"/>
    <x v="126"/>
    <x v="1"/>
  </r>
  <r>
    <x v="787"/>
    <s v="Anjali Iyer"/>
    <n v="47"/>
    <x v="1"/>
    <n v="7910000"/>
    <x v="0"/>
    <n v="240"/>
    <x v="416"/>
    <n v="89868.717482406617"/>
    <n v="21568492.195777588"/>
    <x v="27"/>
    <x v="79"/>
    <x v="2"/>
  </r>
  <r>
    <x v="788"/>
    <s v="Neha Gupta"/>
    <n v="49"/>
    <x v="1"/>
    <n v="1990000"/>
    <x v="5"/>
    <n v="240"/>
    <x v="686"/>
    <n v="16645.157372969912"/>
    <n v="3994837.7695127791"/>
    <x v="22"/>
    <x v="37"/>
    <x v="0"/>
  </r>
  <r>
    <x v="789"/>
    <s v="Vikram Mehta"/>
    <n v="52"/>
    <x v="0"/>
    <n v="780000"/>
    <x v="0"/>
    <n v="180"/>
    <x v="687"/>
    <n v="9613.6722434485"/>
    <n v="1730461.0038207299"/>
    <x v="5"/>
    <x v="309"/>
    <x v="0"/>
  </r>
  <r>
    <x v="790"/>
    <s v="Mamta Singh"/>
    <n v="39"/>
    <x v="4"/>
    <n v="1560000"/>
    <x v="10"/>
    <n v="36"/>
    <x v="651"/>
    <n v="48525.700330624037"/>
    <n v="1746925.2119024652"/>
    <x v="18"/>
    <x v="296"/>
    <x v="0"/>
  </r>
  <r>
    <x v="791"/>
    <s v="Sneha Singh"/>
    <n v="41"/>
    <x v="2"/>
    <n v="840000"/>
    <x v="6"/>
    <n v="84"/>
    <x v="688"/>
    <n v="13514.825738432382"/>
    <n v="1135245.3620283201"/>
    <x v="0"/>
    <x v="310"/>
    <x v="0"/>
  </r>
  <r>
    <x v="792"/>
    <s v="Manoj Yadav"/>
    <n v="25"/>
    <x v="4"/>
    <n v="1610000"/>
    <x v="7"/>
    <n v="240"/>
    <x v="689"/>
    <n v="15536.848485691527"/>
    <n v="3728843.6365659665"/>
    <x v="15"/>
    <x v="32"/>
    <x v="1"/>
  </r>
  <r>
    <x v="793"/>
    <s v="Sunil Shah"/>
    <n v="38"/>
    <x v="3"/>
    <n v="180000"/>
    <x v="11"/>
    <n v="240"/>
    <x v="690"/>
    <n v="1857.9391062769018"/>
    <n v="445905.38550645643"/>
    <x v="11"/>
    <x v="112"/>
    <x v="3"/>
  </r>
  <r>
    <x v="794"/>
    <s v="Ritu Bose"/>
    <n v="48"/>
    <x v="2"/>
    <n v="250000"/>
    <x v="2"/>
    <n v="180"/>
    <x v="691"/>
    <n v="3000.4201552287841"/>
    <n v="540075.62794118118"/>
    <x v="6"/>
    <x v="311"/>
    <x v="2"/>
  </r>
  <r>
    <x v="795"/>
    <s v="Mamta Kapoor"/>
    <n v="62"/>
    <x v="1"/>
    <n v="6400000"/>
    <x v="11"/>
    <n v="60"/>
    <x v="328"/>
    <n v="139151.50766491718"/>
    <n v="8349090.4598950306"/>
    <x v="36"/>
    <x v="312"/>
    <x v="1"/>
  </r>
  <r>
    <x v="796"/>
    <s v="Geeta Mishra"/>
    <n v="42"/>
    <x v="6"/>
    <n v="1940000"/>
    <x v="3"/>
    <n v="60"/>
    <x v="692"/>
    <n v="39802.070774479427"/>
    <n v="2388124.2464687657"/>
    <x v="18"/>
    <x v="23"/>
    <x v="2"/>
  </r>
  <r>
    <x v="797"/>
    <s v="Shweta Yadav"/>
    <n v="41"/>
    <x v="4"/>
    <n v="2580000"/>
    <x v="11"/>
    <n v="84"/>
    <x v="693"/>
    <n v="44175.886002038802"/>
    <n v="3710774.4241712592"/>
    <x v="28"/>
    <x v="299"/>
    <x v="1"/>
  </r>
  <r>
    <x v="798"/>
    <s v="Ajay Patel"/>
    <n v="26"/>
    <x v="3"/>
    <n v="450000"/>
    <x v="2"/>
    <n v="120"/>
    <x v="694"/>
    <n v="6456.1926781164311"/>
    <n v="774743.12137397169"/>
    <x v="16"/>
    <x v="56"/>
    <x v="3"/>
  </r>
  <r>
    <x v="799"/>
    <s v="Rohit Bhat"/>
    <n v="21"/>
    <x v="4"/>
    <n v="3790000"/>
    <x v="1"/>
    <n v="36"/>
    <x v="695"/>
    <n v="124979.06438040707"/>
    <n v="4499246.3176946547"/>
    <x v="22"/>
    <x v="179"/>
    <x v="0"/>
  </r>
  <r>
    <x v="800"/>
    <s v="Mukesh Ghosh"/>
    <n v="25"/>
    <x v="1"/>
    <n v="9210000"/>
    <x v="7"/>
    <n v="24"/>
    <x v="696"/>
    <n v="424994.77156852698"/>
    <n v="10199874.517644648"/>
    <x v="19"/>
    <x v="313"/>
    <x v="0"/>
  </r>
  <r>
    <x v="801"/>
    <s v="Deepak Reddy"/>
    <n v="61"/>
    <x v="1"/>
    <n v="3390000"/>
    <x v="7"/>
    <n v="48"/>
    <x v="697"/>
    <n v="85979.157843792971"/>
    <n v="4126999.5765020624"/>
    <x v="18"/>
    <x v="162"/>
    <x v="1"/>
  </r>
  <r>
    <x v="802"/>
    <s v="Neha Pillai"/>
    <n v="32"/>
    <x v="6"/>
    <n v="1410000"/>
    <x v="3"/>
    <n v="180"/>
    <x v="39"/>
    <n v="13884.827766750866"/>
    <n v="2499268.998015156"/>
    <x v="15"/>
    <x v="92"/>
    <x v="0"/>
  </r>
  <r>
    <x v="803"/>
    <s v="Nisha Reddy"/>
    <n v="46"/>
    <x v="3"/>
    <n v="380000"/>
    <x v="4"/>
    <n v="36"/>
    <x v="698"/>
    <n v="12172.520901497042"/>
    <n v="438210.75245389354"/>
    <x v="10"/>
    <x v="298"/>
    <x v="0"/>
  </r>
  <r>
    <x v="804"/>
    <s v="Anil Dutta"/>
    <n v="54"/>
    <x v="4"/>
    <n v="2750000"/>
    <x v="9"/>
    <n v="24"/>
    <x v="699"/>
    <n v="130740.01211824028"/>
    <n v="3137760.2908377666"/>
    <x v="2"/>
    <x v="96"/>
    <x v="1"/>
  </r>
  <r>
    <x v="805"/>
    <s v="Rajesh Bose"/>
    <n v="34"/>
    <x v="1"/>
    <n v="7950000"/>
    <x v="9"/>
    <n v="48"/>
    <x v="700"/>
    <n v="213278.59235543091"/>
    <n v="10237372.433060683"/>
    <x v="12"/>
    <x v="142"/>
    <x v="1"/>
  </r>
  <r>
    <x v="806"/>
    <s v="Rekha Ghosh"/>
    <n v="46"/>
    <x v="3"/>
    <n v="250000"/>
    <x v="5"/>
    <n v="240"/>
    <x v="701"/>
    <n v="2091.1001724836569"/>
    <n v="501864.04139607766"/>
    <x v="8"/>
    <x v="261"/>
    <x v="0"/>
  </r>
  <r>
    <x v="807"/>
    <s v="Anjali Mehta"/>
    <n v="47"/>
    <x v="1"/>
    <n v="8580000"/>
    <x v="4"/>
    <n v="120"/>
    <x v="702"/>
    <n v="111023.10438714668"/>
    <n v="13322772.526457602"/>
    <x v="3"/>
    <x v="207"/>
    <x v="2"/>
  </r>
  <r>
    <x v="808"/>
    <s v="Ajay Mehta"/>
    <n v="29"/>
    <x v="6"/>
    <n v="360000"/>
    <x v="10"/>
    <n v="84"/>
    <x v="703"/>
    <n v="5521.7793071250171"/>
    <n v="463829.46179850143"/>
    <x v="31"/>
    <x v="80"/>
    <x v="0"/>
  </r>
  <r>
    <x v="809"/>
    <s v="Sunita Nair"/>
    <n v="46"/>
    <x v="6"/>
    <n v="1530000"/>
    <x v="8"/>
    <n v="240"/>
    <x v="704"/>
    <n v="15275.212270633272"/>
    <n v="3666050.9449519855"/>
    <x v="8"/>
    <x v="25"/>
    <x v="1"/>
  </r>
  <r>
    <x v="810"/>
    <s v="Suresh Mukherjee"/>
    <n v="42"/>
    <x v="5"/>
    <n v="500000"/>
    <x v="10"/>
    <n v="12"/>
    <x v="566"/>
    <n v="43378.70844270361"/>
    <n v="520544.50131244329"/>
    <x v="20"/>
    <x v="314"/>
    <x v="0"/>
  </r>
  <r>
    <x v="811"/>
    <s v="Pallavi Gupta"/>
    <n v="50"/>
    <x v="2"/>
    <n v="520000"/>
    <x v="3"/>
    <n v="36"/>
    <x v="457"/>
    <n v="16415.119460249847"/>
    <n v="590944.30056899448"/>
    <x v="7"/>
    <x v="227"/>
    <x v="1"/>
  </r>
  <r>
    <x v="812"/>
    <s v="Vikram Dutta"/>
    <n v="63"/>
    <x v="3"/>
    <n v="320000"/>
    <x v="2"/>
    <n v="120"/>
    <x v="705"/>
    <n v="4591.0703488827958"/>
    <n v="550928.44186593546"/>
    <x v="1"/>
    <x v="254"/>
    <x v="3"/>
  </r>
  <r>
    <x v="813"/>
    <s v="Vikram Gupta"/>
    <n v="37"/>
    <x v="5"/>
    <n v="880000"/>
    <x v="6"/>
    <n v="12"/>
    <x v="706"/>
    <n v="76957.29955753086"/>
    <n v="923487.59469037037"/>
    <x v="12"/>
    <x v="203"/>
    <x v="1"/>
  </r>
  <r>
    <x v="814"/>
    <s v="Ajay Patel"/>
    <n v="46"/>
    <x v="6"/>
    <n v="1660000"/>
    <x v="6"/>
    <n v="24"/>
    <x v="646"/>
    <n v="75836.672183427334"/>
    <n v="1820080.1324022561"/>
    <x v="8"/>
    <x v="37"/>
    <x v="1"/>
  </r>
  <r>
    <x v="815"/>
    <s v="Ramesh Roy"/>
    <n v="56"/>
    <x v="3"/>
    <n v="240000"/>
    <x v="0"/>
    <n v="36"/>
    <x v="707"/>
    <n v="8028.8701384119668"/>
    <n v="289039.32498283079"/>
    <x v="34"/>
    <x v="265"/>
    <x v="0"/>
  </r>
  <r>
    <x v="816"/>
    <s v="Pooja Shah"/>
    <n v="21"/>
    <x v="0"/>
    <n v="1150000"/>
    <x v="6"/>
    <n v="180"/>
    <x v="708"/>
    <n v="11664.065717860525"/>
    <n v="2099531.8292148947"/>
    <x v="20"/>
    <x v="176"/>
    <x v="1"/>
  </r>
  <r>
    <x v="817"/>
    <s v="Rahul Pandey"/>
    <n v="28"/>
    <x v="1"/>
    <n v="9190000"/>
    <x v="0"/>
    <n v="120"/>
    <x v="709"/>
    <n v="134519.69901049451"/>
    <n v="16142363.881259341"/>
    <x v="25"/>
    <x v="315"/>
    <x v="0"/>
  </r>
  <r>
    <x v="818"/>
    <s v="Mukesh Shah"/>
    <n v="55"/>
    <x v="6"/>
    <n v="890000"/>
    <x v="6"/>
    <n v="24"/>
    <x v="72"/>
    <n v="40659.420628464053"/>
    <n v="975826.09508313728"/>
    <x v="24"/>
    <x v="192"/>
    <x v="1"/>
  </r>
  <r>
    <x v="819"/>
    <s v="Anil Mukherjee"/>
    <n v="35"/>
    <x v="4"/>
    <n v="520000"/>
    <x v="4"/>
    <n v="24"/>
    <x v="710"/>
    <n v="23875.536354241165"/>
    <n v="573012.87250178796"/>
    <x v="3"/>
    <x v="126"/>
    <x v="0"/>
  </r>
  <r>
    <x v="820"/>
    <s v="Rohit Reddy"/>
    <n v="42"/>
    <x v="1"/>
    <n v="2560000"/>
    <x v="0"/>
    <n v="60"/>
    <x v="711"/>
    <n v="57594.721857064549"/>
    <n v="3455683.3114238731"/>
    <x v="33"/>
    <x v="173"/>
    <x v="0"/>
  </r>
  <r>
    <x v="821"/>
    <s v="Lata Bhat"/>
    <n v="34"/>
    <x v="5"/>
    <n v="1260000"/>
    <x v="8"/>
    <n v="48"/>
    <x v="712"/>
    <n v="32260.258487399082"/>
    <n v="1548492.4073951559"/>
    <x v="8"/>
    <x v="116"/>
    <x v="1"/>
  </r>
  <r>
    <x v="822"/>
    <s v="Ajay Bhat"/>
    <n v="46"/>
    <x v="3"/>
    <n v="380000"/>
    <x v="1"/>
    <n v="84"/>
    <x v="713"/>
    <n v="6606.8551116912513"/>
    <n v="554975.8293820651"/>
    <x v="4"/>
    <x v="172"/>
    <x v="1"/>
  </r>
  <r>
    <x v="823"/>
    <s v="Rahul Joshi"/>
    <n v="48"/>
    <x v="5"/>
    <n v="1050000"/>
    <x v="10"/>
    <n v="24"/>
    <x v="714"/>
    <n v="47249.572284205758"/>
    <n v="1133989.7348209382"/>
    <x v="3"/>
    <x v="293"/>
    <x v="0"/>
  </r>
  <r>
    <x v="824"/>
    <s v="Mamta Joshi"/>
    <n v="43"/>
    <x v="5"/>
    <n v="430000"/>
    <x v="0"/>
    <n v="12"/>
    <x v="715"/>
    <n v="38305.630965558099"/>
    <n v="459667.57158669719"/>
    <x v="33"/>
    <x v="302"/>
    <x v="1"/>
  </r>
  <r>
    <x v="825"/>
    <s v="Lata Patel"/>
    <n v="34"/>
    <x v="3"/>
    <n v="470000"/>
    <x v="10"/>
    <n v="120"/>
    <x v="716"/>
    <n v="5578.983149385148"/>
    <n v="669477.97792621772"/>
    <x v="29"/>
    <x v="39"/>
    <x v="0"/>
  </r>
  <r>
    <x v="826"/>
    <s v="Preeti Kapoor"/>
    <n v="44"/>
    <x v="1"/>
    <n v="9970000"/>
    <x v="11"/>
    <n v="120"/>
    <x v="717"/>
    <n v="137336.76125804672"/>
    <n v="16480411.350965608"/>
    <x v="9"/>
    <x v="133"/>
    <x v="2"/>
  </r>
  <r>
    <x v="827"/>
    <s v="Deepak Singh"/>
    <n v="22"/>
    <x v="0"/>
    <n v="1030000"/>
    <x v="3"/>
    <n v="240"/>
    <x v="718"/>
    <n v="8938.5793036649993"/>
    <n v="2145259.0328795998"/>
    <x v="4"/>
    <x v="316"/>
    <x v="1"/>
  </r>
  <r>
    <x v="828"/>
    <s v="Pallavi Das"/>
    <n v="46"/>
    <x v="2"/>
    <n v="330000"/>
    <x v="0"/>
    <n v="60"/>
    <x v="86"/>
    <n v="7424.3196143872274"/>
    <n v="445459.17686323362"/>
    <x v="34"/>
    <x v="317"/>
    <x v="1"/>
  </r>
  <r>
    <x v="829"/>
    <s v="Anjali Nair"/>
    <n v="34"/>
    <x v="2"/>
    <n v="550000"/>
    <x v="3"/>
    <n v="12"/>
    <x v="719"/>
    <n v="47970.880353050998"/>
    <n v="575650.56423661194"/>
    <x v="8"/>
    <x v="130"/>
    <x v="0"/>
  </r>
  <r>
    <x v="830"/>
    <s v="Mukesh Nair"/>
    <n v="27"/>
    <x v="2"/>
    <n v="960000"/>
    <x v="2"/>
    <n v="36"/>
    <x v="720"/>
    <n v="31885.737420337144"/>
    <n v="1147886.5471321372"/>
    <x v="21"/>
    <x v="318"/>
    <x v="1"/>
  </r>
  <r>
    <x v="831"/>
    <s v="Rohit Sen"/>
    <n v="23"/>
    <x v="3"/>
    <n v="160000"/>
    <x v="10"/>
    <n v="180"/>
    <x v="721"/>
    <n v="1483.2197760043812"/>
    <n v="266979.5596807886"/>
    <x v="0"/>
    <x v="170"/>
    <x v="1"/>
  </r>
  <r>
    <x v="832"/>
    <s v="Manoj Pandey"/>
    <n v="43"/>
    <x v="6"/>
    <n v="1240000"/>
    <x v="6"/>
    <n v="180"/>
    <x v="722"/>
    <n v="12576.905643606133"/>
    <n v="2263843.0158491037"/>
    <x v="28"/>
    <x v="319"/>
    <x v="1"/>
  </r>
  <r>
    <x v="833"/>
    <s v="Nisha Roy"/>
    <n v="63"/>
    <x v="0"/>
    <n v="760000"/>
    <x v="4"/>
    <n v="12"/>
    <x v="723"/>
    <n v="66639.468948238413"/>
    <n v="799673.62737886095"/>
    <x v="0"/>
    <x v="157"/>
    <x v="0"/>
  </r>
  <r>
    <x v="834"/>
    <s v="Ajay Bhat"/>
    <n v="38"/>
    <x v="6"/>
    <n v="880000"/>
    <x v="2"/>
    <n v="48"/>
    <x v="724"/>
    <n v="23173.775180096436"/>
    <n v="1112341.208644629"/>
    <x v="29"/>
    <x v="56"/>
    <x v="2"/>
  </r>
  <r>
    <x v="835"/>
    <s v="Mukesh Sen"/>
    <n v="58"/>
    <x v="3"/>
    <n v="480000"/>
    <x v="4"/>
    <n v="240"/>
    <x v="725"/>
    <n v="4474.229701600887"/>
    <n v="1073815.128384213"/>
    <x v="8"/>
    <x v="320"/>
    <x v="0"/>
  </r>
  <r>
    <x v="836"/>
    <s v="Vikas Yadav"/>
    <n v="55"/>
    <x v="4"/>
    <n v="2880000"/>
    <x v="9"/>
    <n v="60"/>
    <x v="726"/>
    <n v="65528.850367365179"/>
    <n v="3931731.0220419108"/>
    <x v="15"/>
    <x v="185"/>
    <x v="1"/>
  </r>
  <r>
    <x v="837"/>
    <s v="Mukesh Mitra"/>
    <n v="35"/>
    <x v="1"/>
    <n v="6670000"/>
    <x v="9"/>
    <n v="48"/>
    <x v="727"/>
    <n v="178939.39761141184"/>
    <n v="8589091.0853477679"/>
    <x v="29"/>
    <x v="109"/>
    <x v="1"/>
  </r>
  <r>
    <x v="838"/>
    <s v="Mamta Menon"/>
    <n v="45"/>
    <x v="4"/>
    <n v="1600000"/>
    <x v="0"/>
    <n v="12"/>
    <x v="728"/>
    <n v="142532.58033696038"/>
    <n v="1710390.9640435246"/>
    <x v="25"/>
    <x v="53"/>
    <x v="0"/>
  </r>
  <r>
    <x v="839"/>
    <s v="Manoj Mitra"/>
    <n v="57"/>
    <x v="3"/>
    <n v="350000"/>
    <x v="4"/>
    <n v="240"/>
    <x v="729"/>
    <n v="3262.4591574173132"/>
    <n v="782990.19778015523"/>
    <x v="16"/>
    <x v="7"/>
    <x v="2"/>
  </r>
  <r>
    <x v="840"/>
    <s v="Arjun Rao"/>
    <n v="48"/>
    <x v="3"/>
    <n v="500000"/>
    <x v="8"/>
    <n v="240"/>
    <x v="730"/>
    <n v="4991.8994348474753"/>
    <n v="1198055.864363394"/>
    <x v="24"/>
    <x v="170"/>
    <x v="1"/>
  </r>
  <r>
    <x v="841"/>
    <s v="Sanjay Menon"/>
    <n v="30"/>
    <x v="0"/>
    <n v="1220000"/>
    <x v="8"/>
    <n v="48"/>
    <x v="731"/>
    <n v="31236.12329732292"/>
    <n v="1499333.9182715002"/>
    <x v="17"/>
    <x v="10"/>
    <x v="0"/>
  </r>
  <r>
    <x v="842"/>
    <s v="Anil Nair"/>
    <n v="59"/>
    <x v="6"/>
    <n v="1850000"/>
    <x v="7"/>
    <n v="36"/>
    <x v="732"/>
    <n v="59694.296308599347"/>
    <n v="2148994.6671095765"/>
    <x v="17"/>
    <x v="102"/>
    <x v="1"/>
  </r>
  <r>
    <x v="843"/>
    <s v="Subhayan Kumar"/>
    <n v="37"/>
    <x v="1"/>
    <n v="6770000"/>
    <x v="11"/>
    <n v="12"/>
    <x v="733"/>
    <n v="598343.82819125929"/>
    <n v="7180125.9382951111"/>
    <x v="23"/>
    <x v="34"/>
    <x v="1"/>
  </r>
  <r>
    <x v="844"/>
    <s v="Suresh Pandey"/>
    <n v="59"/>
    <x v="5"/>
    <n v="400000"/>
    <x v="4"/>
    <n v="84"/>
    <x v="734"/>
    <n v="6537.5926725193685"/>
    <n v="549157.78449162701"/>
    <x v="20"/>
    <x v="10"/>
    <x v="0"/>
  </r>
  <r>
    <x v="845"/>
    <s v="Vinod Gupta"/>
    <n v="42"/>
    <x v="0"/>
    <n v="300000"/>
    <x v="6"/>
    <n v="48"/>
    <x v="144"/>
    <n v="7465.5127121802625"/>
    <n v="358344.61018465261"/>
    <x v="21"/>
    <x v="182"/>
    <x v="2"/>
  </r>
  <r>
    <x v="846"/>
    <s v="Suresh Ghosh"/>
    <n v="46"/>
    <x v="1"/>
    <n v="2670000"/>
    <x v="11"/>
    <n v="12"/>
    <x v="597"/>
    <n v="235979.02825268279"/>
    <n v="2831748.3390321936"/>
    <x v="3"/>
    <x v="257"/>
    <x v="1"/>
  </r>
  <r>
    <x v="847"/>
    <s v="Amit Gupta"/>
    <n v="64"/>
    <x v="6"/>
    <n v="1510000"/>
    <x v="4"/>
    <n v="36"/>
    <x v="735"/>
    <n v="48369.754108580346"/>
    <n v="1741311.1479088925"/>
    <x v="21"/>
    <x v="271"/>
    <x v="2"/>
  </r>
  <r>
    <x v="848"/>
    <s v="Hemant Verma"/>
    <n v="45"/>
    <x v="0"/>
    <n v="1840000"/>
    <x v="0"/>
    <n v="24"/>
    <x v="736"/>
    <n v="87045.44715331911"/>
    <n v="2089090.7316796586"/>
    <x v="18"/>
    <x v="321"/>
    <x v="1"/>
  </r>
  <r>
    <x v="849"/>
    <s v="Usha Reddy"/>
    <n v="37"/>
    <x v="5"/>
    <n v="1260000"/>
    <x v="1"/>
    <n v="60"/>
    <x v="558"/>
    <n v="27710.685292336704"/>
    <n v="1662641.1175402023"/>
    <x v="16"/>
    <x v="314"/>
    <x v="1"/>
  </r>
  <r>
    <x v="850"/>
    <s v="Rajesh Mehta"/>
    <n v="33"/>
    <x v="0"/>
    <n v="230000"/>
    <x v="2"/>
    <n v="120"/>
    <x v="477"/>
    <n v="3299.8318132595095"/>
    <n v="395979.81759114115"/>
    <x v="27"/>
    <x v="281"/>
    <x v="1"/>
  </r>
  <r>
    <x v="851"/>
    <s v="Meena Nair"/>
    <n v="40"/>
    <x v="5"/>
    <n v="560000"/>
    <x v="8"/>
    <n v="84"/>
    <x v="737"/>
    <n v="9441.9769632824373"/>
    <n v="793126.06491572468"/>
    <x v="31"/>
    <x v="141"/>
    <x v="1"/>
  </r>
  <r>
    <x v="852"/>
    <s v="Sanjay Ghosh"/>
    <n v="45"/>
    <x v="1"/>
    <n v="3650000"/>
    <x v="2"/>
    <n v="120"/>
    <x v="738"/>
    <n v="52366.896166944382"/>
    <n v="6284027.5400333256"/>
    <x v="0"/>
    <x v="29"/>
    <x v="2"/>
  </r>
  <r>
    <x v="853"/>
    <s v="Ritu Sen"/>
    <n v="24"/>
    <x v="3"/>
    <n v="280000"/>
    <x v="5"/>
    <n v="120"/>
    <x v="739"/>
    <n v="3397.1726419499937"/>
    <n v="407660.71703399927"/>
    <x v="24"/>
    <x v="201"/>
    <x v="0"/>
  </r>
  <r>
    <x v="854"/>
    <s v="Preeti Yadav"/>
    <n v="30"/>
    <x v="0"/>
    <n v="1160000"/>
    <x v="10"/>
    <n v="48"/>
    <x v="740"/>
    <n v="28047.52624776823"/>
    <n v="1346281.2598928751"/>
    <x v="13"/>
    <x v="232"/>
    <x v="0"/>
  </r>
  <r>
    <x v="855"/>
    <s v="Vikram Pillai"/>
    <n v="23"/>
    <x v="2"/>
    <n v="100000"/>
    <x v="1"/>
    <n v="240"/>
    <x v="741"/>
    <n v="1066.429631512859"/>
    <n v="255943.11156308616"/>
    <x v="16"/>
    <x v="24"/>
    <x v="0"/>
  </r>
  <r>
    <x v="856"/>
    <s v="Rahul Singh"/>
    <n v="61"/>
    <x v="6"/>
    <n v="1100000"/>
    <x v="0"/>
    <n v="12"/>
    <x v="742"/>
    <n v="97991.148981660255"/>
    <n v="1175893.7877799231"/>
    <x v="17"/>
    <x v="61"/>
    <x v="1"/>
  </r>
  <r>
    <x v="857"/>
    <s v="Meena Sen"/>
    <n v="38"/>
    <x v="6"/>
    <n v="620000"/>
    <x v="7"/>
    <n v="24"/>
    <x v="743"/>
    <n v="28609.854329260233"/>
    <n v="686636.50390224555"/>
    <x v="14"/>
    <x v="17"/>
    <x v="2"/>
  </r>
  <r>
    <x v="858"/>
    <s v="Vikas Sharma"/>
    <n v="56"/>
    <x v="2"/>
    <n v="820000"/>
    <x v="1"/>
    <n v="24"/>
    <x v="737"/>
    <n v="38409.058544917054"/>
    <n v="921817.40507800924"/>
    <x v="31"/>
    <x v="160"/>
    <x v="0"/>
  </r>
  <r>
    <x v="859"/>
    <s v="Vikram Rao"/>
    <n v="42"/>
    <x v="4"/>
    <n v="1610000"/>
    <x v="0"/>
    <n v="240"/>
    <x v="744"/>
    <n v="18291.862850401347"/>
    <n v="4390047.0840963237"/>
    <x v="32"/>
    <x v="21"/>
    <x v="1"/>
  </r>
  <r>
    <x v="860"/>
    <s v="Neha Mukherjee"/>
    <n v="54"/>
    <x v="4"/>
    <n v="3030000"/>
    <x v="2"/>
    <n v="60"/>
    <x v="242"/>
    <n v="67400.676485252377"/>
    <n v="4044040.5891151428"/>
    <x v="0"/>
    <x v="226"/>
    <x v="2"/>
  </r>
  <r>
    <x v="861"/>
    <s v="Ajay Iyer"/>
    <n v="28"/>
    <x v="6"/>
    <n v="530000"/>
    <x v="2"/>
    <n v="240"/>
    <x v="699"/>
    <n v="5835.7565079189326"/>
    <n v="1400581.5619005437"/>
    <x v="19"/>
    <x v="219"/>
    <x v="0"/>
  </r>
  <r>
    <x v="862"/>
    <s v="Mamta Mishra"/>
    <n v="60"/>
    <x v="2"/>
    <n v="390000"/>
    <x v="4"/>
    <n v="84"/>
    <x v="745"/>
    <n v="6374.1528557063839"/>
    <n v="535428.8398793363"/>
    <x v="26"/>
    <x v="296"/>
    <x v="2"/>
  </r>
  <r>
    <x v="863"/>
    <s v="Rekha Rao"/>
    <n v="64"/>
    <x v="2"/>
    <n v="200000"/>
    <x v="4"/>
    <n v="84"/>
    <x v="95"/>
    <n v="3268.7963362596843"/>
    <n v="274578.89224581351"/>
    <x v="10"/>
    <x v="128"/>
    <x v="1"/>
  </r>
  <r>
    <x v="864"/>
    <s v="Deepak Sen"/>
    <n v="39"/>
    <x v="5"/>
    <n v="1060000"/>
    <x v="0"/>
    <n v="60"/>
    <x v="746"/>
    <n v="23847.814518940788"/>
    <n v="1430868.8711364472"/>
    <x v="21"/>
    <x v="32"/>
    <x v="1"/>
  </r>
  <r>
    <x v="865"/>
    <s v="Shweta Patel"/>
    <n v="62"/>
    <x v="3"/>
    <n v="180000"/>
    <x v="5"/>
    <n v="48"/>
    <x v="747"/>
    <n v="4394.3260214704469"/>
    <n v="210927.64903058147"/>
    <x v="19"/>
    <x v="311"/>
    <x v="0"/>
  </r>
  <r>
    <x v="866"/>
    <s v="Lata Reddy"/>
    <n v="61"/>
    <x v="4"/>
    <n v="1190000"/>
    <x v="11"/>
    <n v="48"/>
    <x v="274"/>
    <n v="30756.171907628846"/>
    <n v="1476296.2515661847"/>
    <x v="14"/>
    <x v="68"/>
    <x v="1"/>
  </r>
  <r>
    <x v="867"/>
    <s v="Rohit Joshi"/>
    <n v="57"/>
    <x v="4"/>
    <n v="3620000"/>
    <x v="5"/>
    <n v="180"/>
    <x v="222"/>
    <n v="34594.605452758718"/>
    <n v="6227028.9814965697"/>
    <x v="37"/>
    <x v="55"/>
    <x v="1"/>
  </r>
  <r>
    <x v="868"/>
    <s v="Sunil Iyer"/>
    <n v="26"/>
    <x v="5"/>
    <n v="650000"/>
    <x v="7"/>
    <n v="120"/>
    <x v="748"/>
    <n v="8589.7978973145073"/>
    <n v="1030775.7476777409"/>
    <x v="7"/>
    <x v="322"/>
    <x v="0"/>
  </r>
  <r>
    <x v="869"/>
    <s v="Hemant Mukherjee"/>
    <n v="46"/>
    <x v="1"/>
    <n v="1870000"/>
    <x v="4"/>
    <n v="12"/>
    <x v="749"/>
    <n v="163968.16701737608"/>
    <n v="1967618.0042085131"/>
    <x v="4"/>
    <x v="125"/>
    <x v="1"/>
  </r>
  <r>
    <x v="870"/>
    <s v="Sanjay Sharma"/>
    <n v="54"/>
    <x v="0"/>
    <n v="1030000"/>
    <x v="0"/>
    <n v="60"/>
    <x v="230"/>
    <n v="23172.876372178311"/>
    <n v="1390372.5823306986"/>
    <x v="5"/>
    <x v="54"/>
    <x v="0"/>
  </r>
  <r>
    <x v="871"/>
    <s v="Nisha Bose"/>
    <n v="26"/>
    <x v="4"/>
    <n v="3060000"/>
    <x v="7"/>
    <n v="36"/>
    <x v="750"/>
    <n v="98737.592813142692"/>
    <n v="3554553.3412731369"/>
    <x v="1"/>
    <x v="73"/>
    <x v="1"/>
  </r>
  <r>
    <x v="872"/>
    <s v="Mamta Sharma"/>
    <n v="57"/>
    <x v="5"/>
    <n v="790000"/>
    <x v="4"/>
    <n v="120"/>
    <x v="751"/>
    <n v="10222.407047301385"/>
    <n v="1226688.8456761662"/>
    <x v="29"/>
    <x v="72"/>
    <x v="3"/>
  </r>
  <r>
    <x v="873"/>
    <s v="Subhayan Verma"/>
    <n v="53"/>
    <x v="2"/>
    <n v="550000"/>
    <x v="4"/>
    <n v="240"/>
    <x v="752"/>
    <n v="5126.7215330843492"/>
    <n v="1230413.1679402438"/>
    <x v="5"/>
    <x v="196"/>
    <x v="1"/>
  </r>
  <r>
    <x v="874"/>
    <s v="Sanjay Verma"/>
    <n v="42"/>
    <x v="1"/>
    <n v="2530000"/>
    <x v="0"/>
    <n v="24"/>
    <x v="115"/>
    <n v="119687.48983581377"/>
    <n v="2872499.7560595307"/>
    <x v="12"/>
    <x v="264"/>
    <x v="1"/>
  </r>
  <r>
    <x v="875"/>
    <s v="Pooja Sen"/>
    <n v="41"/>
    <x v="0"/>
    <n v="1680000"/>
    <x v="9"/>
    <n v="240"/>
    <x v="753"/>
    <n v="19682.471949475501"/>
    <n v="4723793.2678741198"/>
    <x v="4"/>
    <x v="323"/>
    <x v="1"/>
  </r>
  <r>
    <x v="876"/>
    <s v="Sunita Joshi"/>
    <n v="26"/>
    <x v="6"/>
    <n v="400000"/>
    <x v="0"/>
    <n v="24"/>
    <x v="754"/>
    <n v="18922.923294199805"/>
    <n v="454150.15906079533"/>
    <x v="19"/>
    <x v="251"/>
    <x v="2"/>
  </r>
  <r>
    <x v="877"/>
    <s v="Ritu Patel"/>
    <n v="26"/>
    <x v="2"/>
    <n v="100000"/>
    <x v="4"/>
    <n v="240"/>
    <x v="755"/>
    <n v="932.13118783351808"/>
    <n v="223711.48508004434"/>
    <x v="7"/>
    <x v="118"/>
    <x v="0"/>
  </r>
  <r>
    <x v="878"/>
    <s v="Subhayan Iyer"/>
    <n v="24"/>
    <x v="1"/>
    <n v="4580000"/>
    <x v="6"/>
    <n v="60"/>
    <x v="46"/>
    <n v="95073.266936701359"/>
    <n v="5704396.0162020819"/>
    <x v="3"/>
    <x v="288"/>
    <x v="3"/>
  </r>
  <r>
    <x v="879"/>
    <s v="Ajay Kumar"/>
    <n v="50"/>
    <x v="3"/>
    <n v="300000"/>
    <x v="3"/>
    <n v="84"/>
    <x v="756"/>
    <n v="4750.9456311422091"/>
    <n v="399079.43301594554"/>
    <x v="27"/>
    <x v="145"/>
    <x v="1"/>
  </r>
  <r>
    <x v="880"/>
    <s v="Pooja Bose"/>
    <n v="31"/>
    <x v="5"/>
    <n v="460000"/>
    <x v="1"/>
    <n v="24"/>
    <x v="72"/>
    <n v="21546.54503739249"/>
    <n v="517117.08089741977"/>
    <x v="27"/>
    <x v="112"/>
    <x v="0"/>
  </r>
  <r>
    <x v="881"/>
    <s v="Divya Banerjee"/>
    <n v="50"/>
    <x v="3"/>
    <n v="120000"/>
    <x v="6"/>
    <n v="240"/>
    <x v="757"/>
    <n v="1079.6711470202076"/>
    <n v="259121.07528484982"/>
    <x v="7"/>
    <x v="144"/>
    <x v="1"/>
  </r>
  <r>
    <x v="882"/>
    <s v="Nisha Kapoor"/>
    <n v="51"/>
    <x v="2"/>
    <n v="720000"/>
    <x v="10"/>
    <n v="60"/>
    <x v="319"/>
    <n v="14427.32298884911"/>
    <n v="865639.3793309466"/>
    <x v="20"/>
    <x v="217"/>
    <x v="1"/>
  </r>
  <r>
    <x v="883"/>
    <s v="Mukesh Dutta"/>
    <n v="44"/>
    <x v="3"/>
    <n v="170000"/>
    <x v="2"/>
    <n v="240"/>
    <x v="758"/>
    <n v="1871.8464270683369"/>
    <n v="449243.14249640086"/>
    <x v="1"/>
    <x v="206"/>
    <x v="1"/>
  </r>
  <r>
    <x v="884"/>
    <s v="Lata Gupta"/>
    <n v="29"/>
    <x v="1"/>
    <n v="9710000"/>
    <x v="8"/>
    <n v="60"/>
    <x v="757"/>
    <n v="208705.77267152054"/>
    <n v="12522346.360291231"/>
    <x v="14"/>
    <x v="99"/>
    <x v="0"/>
  </r>
  <r>
    <x v="885"/>
    <s v="Vinod Bhat"/>
    <n v="23"/>
    <x v="6"/>
    <n v="1630000"/>
    <x v="0"/>
    <n v="180"/>
    <x v="759"/>
    <n v="20090.10994464238"/>
    <n v="3616219.7900356282"/>
    <x v="8"/>
    <x v="310"/>
    <x v="1"/>
  </r>
  <r>
    <x v="886"/>
    <s v="Priya Reddy"/>
    <n v="51"/>
    <x v="3"/>
    <n v="280000"/>
    <x v="7"/>
    <n v="120"/>
    <x v="760"/>
    <n v="3700.2206326893265"/>
    <n v="444026.47592271917"/>
    <x v="30"/>
    <x v="212"/>
    <x v="1"/>
  </r>
  <r>
    <x v="887"/>
    <s v="Amit Mishra"/>
    <n v="60"/>
    <x v="2"/>
    <n v="110000"/>
    <x v="0"/>
    <n v="180"/>
    <x v="761"/>
    <n v="1355.7742907427373"/>
    <n v="244039.37233369271"/>
    <x v="19"/>
    <x v="91"/>
    <x v="1"/>
  </r>
  <r>
    <x v="888"/>
    <s v="Sneha Bhat"/>
    <n v="57"/>
    <x v="0"/>
    <n v="220000"/>
    <x v="3"/>
    <n v="48"/>
    <x v="762"/>
    <n v="5422.6267389438553"/>
    <n v="260286.08346930507"/>
    <x v="31"/>
    <x v="319"/>
    <x v="1"/>
  </r>
  <r>
    <x v="889"/>
    <s v="Ritu Pandey"/>
    <n v="56"/>
    <x v="2"/>
    <n v="830000"/>
    <x v="9"/>
    <n v="84"/>
    <x v="763"/>
    <n v="15099.329579483809"/>
    <n v="1268343.68467664"/>
    <x v="25"/>
    <x v="34"/>
    <x v="0"/>
  </r>
  <r>
    <x v="890"/>
    <s v="Ajay Pandey"/>
    <n v="44"/>
    <x v="4"/>
    <n v="3380000"/>
    <x v="10"/>
    <n v="180"/>
    <x v="764"/>
    <n v="31333.017768092548"/>
    <n v="5639943.1982566584"/>
    <x v="3"/>
    <x v="56"/>
    <x v="1"/>
  </r>
  <r>
    <x v="891"/>
    <s v="Vinod Banerjee"/>
    <n v="51"/>
    <x v="3"/>
    <n v="480000"/>
    <x v="0"/>
    <n v="180"/>
    <x v="765"/>
    <n v="5916.105995968308"/>
    <n v="1064899.0792742954"/>
    <x v="24"/>
    <x v="162"/>
    <x v="0"/>
  </r>
  <r>
    <x v="892"/>
    <s v="Rekha Joshi"/>
    <n v="26"/>
    <x v="0"/>
    <n v="450000"/>
    <x v="11"/>
    <n v="12"/>
    <x v="560"/>
    <n v="39771.746334721814"/>
    <n v="477260.95601666177"/>
    <x v="26"/>
    <x v="39"/>
    <x v="0"/>
  </r>
  <r>
    <x v="893"/>
    <s v="Rohit Bose"/>
    <n v="22"/>
    <x v="1"/>
    <n v="8090000"/>
    <x v="4"/>
    <n v="180"/>
    <x v="766"/>
    <n v="84477.776843680331"/>
    <n v="15205999.831862459"/>
    <x v="26"/>
    <x v="97"/>
    <x v="0"/>
  </r>
  <r>
    <x v="894"/>
    <s v="Amit Mehta"/>
    <n v="40"/>
    <x v="1"/>
    <n v="3220000"/>
    <x v="4"/>
    <n v="24"/>
    <x v="767"/>
    <n v="147844.66742433954"/>
    <n v="3548272.0181841487"/>
    <x v="21"/>
    <x v="73"/>
    <x v="1"/>
  </r>
  <r>
    <x v="895"/>
    <s v="Meena Roy"/>
    <n v="48"/>
    <x v="4"/>
    <n v="4510000"/>
    <x v="8"/>
    <n v="60"/>
    <x v="768"/>
    <n v="96937.490705309741"/>
    <n v="5816249.4423185848"/>
    <x v="23"/>
    <x v="161"/>
    <x v="0"/>
  </r>
  <r>
    <x v="896"/>
    <s v="Vikas Mishra"/>
    <n v="31"/>
    <x v="0"/>
    <n v="350000"/>
    <x v="8"/>
    <n v="24"/>
    <x v="769"/>
    <n v="16231.614573780074"/>
    <n v="389558.74977072177"/>
    <x v="29"/>
    <x v="309"/>
    <x v="0"/>
  </r>
  <r>
    <x v="897"/>
    <s v="Ramesh Gupta"/>
    <n v="24"/>
    <x v="3"/>
    <n v="170000"/>
    <x v="8"/>
    <n v="120"/>
    <x v="620"/>
    <n v="2293.8949451842986"/>
    <n v="275267.39342211583"/>
    <x v="16"/>
    <x v="1"/>
    <x v="2"/>
  </r>
  <r>
    <x v="898"/>
    <s v="Ajay Bhat"/>
    <n v="35"/>
    <x v="5"/>
    <n v="1100000"/>
    <x v="9"/>
    <n v="48"/>
    <x v="97"/>
    <n v="29510.245483141382"/>
    <n v="1416491.7831907864"/>
    <x v="20"/>
    <x v="237"/>
    <x v="0"/>
  </r>
  <r>
    <x v="899"/>
    <s v="Anjali Das"/>
    <n v="26"/>
    <x v="0"/>
    <n v="390000"/>
    <x v="10"/>
    <n v="48"/>
    <x v="390"/>
    <n v="9429.7717557151791"/>
    <n v="452629.04427432863"/>
    <x v="18"/>
    <x v="168"/>
    <x v="2"/>
  </r>
  <r>
    <x v="900"/>
    <s v="Ajay Pandey"/>
    <n v="50"/>
    <x v="5"/>
    <n v="510000"/>
    <x v="2"/>
    <n v="84"/>
    <x v="430"/>
    <n v="9002.8937265076474"/>
    <n v="756243.07302664244"/>
    <x v="15"/>
    <x v="320"/>
    <x v="1"/>
  </r>
  <r>
    <x v="901"/>
    <s v="Vinod Kapoor"/>
    <n v="58"/>
    <x v="4"/>
    <n v="1370000"/>
    <x v="9"/>
    <n v="120"/>
    <x v="770"/>
    <n v="20455.571376879805"/>
    <n v="2454668.5652255765"/>
    <x v="6"/>
    <x v="95"/>
    <x v="2"/>
  </r>
  <r>
    <x v="902"/>
    <s v="Vikram Bose"/>
    <n v="22"/>
    <x v="2"/>
    <n v="430000"/>
    <x v="2"/>
    <n v="84"/>
    <x v="771"/>
    <n v="7590.6751027417431"/>
    <n v="637616.70863030641"/>
    <x v="20"/>
    <x v="4"/>
    <x v="1"/>
  </r>
  <r>
    <x v="903"/>
    <s v="Sanjay Ghosh"/>
    <n v="35"/>
    <x v="6"/>
    <n v="970000"/>
    <x v="6"/>
    <n v="240"/>
    <x v="772"/>
    <n v="8727.3417717466782"/>
    <n v="2094562.0252192027"/>
    <x v="30"/>
    <x v="277"/>
    <x v="1"/>
  </r>
  <r>
    <x v="904"/>
    <s v="Anil Das"/>
    <n v="31"/>
    <x v="5"/>
    <n v="930000"/>
    <x v="7"/>
    <n v="240"/>
    <x v="455"/>
    <n v="8974.701299188273"/>
    <n v="2153928.3118051854"/>
    <x v="17"/>
    <x v="215"/>
    <x v="2"/>
  </r>
  <r>
    <x v="905"/>
    <s v="Anil Sen"/>
    <n v="28"/>
    <x v="3"/>
    <n v="120000"/>
    <x v="9"/>
    <n v="12"/>
    <x v="773"/>
    <n v="10718.073085409877"/>
    <n v="128616.87702491852"/>
    <x v="3"/>
    <x v="322"/>
    <x v="1"/>
  </r>
  <r>
    <x v="906"/>
    <s v="Meena Gupta"/>
    <n v="46"/>
    <x v="6"/>
    <n v="1000000"/>
    <x v="9"/>
    <n v="60"/>
    <x v="774"/>
    <n v="22753.073044224024"/>
    <n v="1365184.3826534415"/>
    <x v="17"/>
    <x v="200"/>
    <x v="3"/>
  </r>
  <r>
    <x v="907"/>
    <s v="Shweta Chatterjee"/>
    <n v="64"/>
    <x v="1"/>
    <n v="3230000"/>
    <x v="6"/>
    <n v="48"/>
    <x v="775"/>
    <n v="80378.686867807497"/>
    <n v="3858176.9696547599"/>
    <x v="9"/>
    <x v="284"/>
    <x v="1"/>
  </r>
  <r>
    <x v="908"/>
    <s v="Rohit Kapoor"/>
    <n v="25"/>
    <x v="1"/>
    <n v="3400000"/>
    <x v="0"/>
    <n v="60"/>
    <x v="308"/>
    <n v="76492.98996641385"/>
    <n v="4589579.3979848307"/>
    <x v="11"/>
    <x v="26"/>
    <x v="1"/>
  </r>
  <r>
    <x v="909"/>
    <s v="Shweta Verma"/>
    <n v="26"/>
    <x v="5"/>
    <n v="440000"/>
    <x v="1"/>
    <n v="24"/>
    <x v="776"/>
    <n v="20609.738731418907"/>
    <n v="494633.72955405375"/>
    <x v="34"/>
    <x v="91"/>
    <x v="0"/>
  </r>
  <r>
    <x v="910"/>
    <s v="Lata Nair"/>
    <n v="46"/>
    <x v="2"/>
    <n v="660000"/>
    <x v="0"/>
    <n v="120"/>
    <x v="215"/>
    <n v="9660.8271324185407"/>
    <n v="1159299.2558902248"/>
    <x v="10"/>
    <x v="40"/>
    <x v="1"/>
  </r>
  <r>
    <x v="911"/>
    <s v="Suresh Das"/>
    <n v="24"/>
    <x v="1"/>
    <n v="1140000"/>
    <x v="11"/>
    <n v="84"/>
    <x v="777"/>
    <n v="19519.577535784585"/>
    <n v="1639644.5130059051"/>
    <x v="30"/>
    <x v="324"/>
    <x v="2"/>
  </r>
  <r>
    <x v="912"/>
    <s v="Anjali Singh"/>
    <n v="39"/>
    <x v="6"/>
    <n v="1480000"/>
    <x v="0"/>
    <n v="24"/>
    <x v="778"/>
    <n v="70014.816188539291"/>
    <n v="1680355.588524943"/>
    <x v="17"/>
    <x v="210"/>
    <x v="0"/>
  </r>
  <r>
    <x v="913"/>
    <s v="Sunita Verma"/>
    <n v="40"/>
    <x v="2"/>
    <n v="780000"/>
    <x v="7"/>
    <n v="240"/>
    <x v="779"/>
    <n v="7527.1688315772617"/>
    <n v="1806520.5195785428"/>
    <x v="35"/>
    <x v="287"/>
    <x v="0"/>
  </r>
  <r>
    <x v="914"/>
    <s v="Arjun Yadav"/>
    <n v="53"/>
    <x v="5"/>
    <n v="640000"/>
    <x v="1"/>
    <n v="36"/>
    <x v="780"/>
    <n v="21104.644117008058"/>
    <n v="759767.18821229006"/>
    <x v="20"/>
    <x v="97"/>
    <x v="1"/>
  </r>
  <r>
    <x v="915"/>
    <s v="Suresh Sen"/>
    <n v="40"/>
    <x v="1"/>
    <n v="8380000"/>
    <x v="4"/>
    <n v="180"/>
    <x v="781"/>
    <n v="87506.028423985292"/>
    <n v="15751085.116317352"/>
    <x v="22"/>
    <x v="239"/>
    <x v="3"/>
  </r>
  <r>
    <x v="916"/>
    <s v="Sneha Kumar"/>
    <n v="32"/>
    <x v="5"/>
    <n v="1040000"/>
    <x v="3"/>
    <n v="84"/>
    <x v="147"/>
    <n v="16469.944854626323"/>
    <n v="1383475.3677886112"/>
    <x v="17"/>
    <x v="0"/>
    <x v="0"/>
  </r>
  <r>
    <x v="917"/>
    <s v="Dinesh Mishra"/>
    <n v="21"/>
    <x v="0"/>
    <n v="1720000"/>
    <x v="0"/>
    <n v="84"/>
    <x v="782"/>
    <n v="30824.530093262092"/>
    <n v="2589260.5278340159"/>
    <x v="2"/>
    <x v="146"/>
    <x v="1"/>
  </r>
  <r>
    <x v="918"/>
    <s v="Preeti Sen"/>
    <n v="46"/>
    <x v="2"/>
    <n v="320000"/>
    <x v="1"/>
    <n v="48"/>
    <x v="754"/>
    <n v="8348.4828498743645"/>
    <n v="400727.17679396947"/>
    <x v="32"/>
    <x v="27"/>
    <x v="1"/>
  </r>
  <r>
    <x v="919"/>
    <s v="Sunil Mishra"/>
    <n v="34"/>
    <x v="2"/>
    <n v="760000"/>
    <x v="3"/>
    <n v="60"/>
    <x v="416"/>
    <n v="15592.563808558949"/>
    <n v="935553.82851353695"/>
    <x v="28"/>
    <x v="131"/>
    <x v="1"/>
  </r>
  <r>
    <x v="920"/>
    <s v="Preeti Chatterjee"/>
    <n v="58"/>
    <x v="2"/>
    <n v="880000"/>
    <x v="4"/>
    <n v="36"/>
    <x v="180"/>
    <n v="28188.995771887887"/>
    <n v="1014803.8477879639"/>
    <x v="11"/>
    <x v="22"/>
    <x v="0"/>
  </r>
  <r>
    <x v="921"/>
    <s v="Vikas Mehta"/>
    <n v="57"/>
    <x v="4"/>
    <n v="1770000"/>
    <x v="5"/>
    <n v="48"/>
    <x v="783"/>
    <n v="43210.872544459402"/>
    <n v="2074121.8821340513"/>
    <x v="25"/>
    <x v="241"/>
    <x v="1"/>
  </r>
  <r>
    <x v="922"/>
    <s v="Ritu Singh"/>
    <n v="31"/>
    <x v="3"/>
    <n v="270000"/>
    <x v="11"/>
    <n v="180"/>
    <x v="784"/>
    <n v="3068.8117233014395"/>
    <n v="552386.11019425909"/>
    <x v="1"/>
    <x v="150"/>
    <x v="1"/>
  </r>
  <r>
    <x v="923"/>
    <s v="Neha Gupta"/>
    <n v="56"/>
    <x v="4"/>
    <n v="4210000"/>
    <x v="3"/>
    <n v="48"/>
    <x v="785"/>
    <n v="103769.35714069834"/>
    <n v="4980929.14275352"/>
    <x v="26"/>
    <x v="324"/>
    <x v="2"/>
  </r>
  <r>
    <x v="924"/>
    <s v="Pallavi Mishra"/>
    <n v="33"/>
    <x v="6"/>
    <n v="660000"/>
    <x v="9"/>
    <n v="48"/>
    <x v="786"/>
    <n v="17706.14728988483"/>
    <n v="849895.06991447182"/>
    <x v="21"/>
    <x v="232"/>
    <x v="1"/>
  </r>
  <r>
    <x v="925"/>
    <s v="Sanjay Roy"/>
    <n v="63"/>
    <x v="2"/>
    <n v="190000"/>
    <x v="4"/>
    <n v="48"/>
    <x v="787"/>
    <n v="4773.3959674777834"/>
    <n v="229123.0064389336"/>
    <x v="27"/>
    <x v="325"/>
    <x v="2"/>
  </r>
  <r>
    <x v="926"/>
    <s v="Manoj Pandey"/>
    <n v="23"/>
    <x v="3"/>
    <n v="100000"/>
    <x v="9"/>
    <n v="60"/>
    <x v="788"/>
    <n v="2275.307304422402"/>
    <n v="136518.43826534413"/>
    <x v="2"/>
    <x v="267"/>
    <x v="0"/>
  </r>
  <r>
    <x v="927"/>
    <s v="Rahul Nair"/>
    <n v="53"/>
    <x v="2"/>
    <n v="250000"/>
    <x v="1"/>
    <n v="48"/>
    <x v="789"/>
    <n v="6522.2522264643467"/>
    <n v="313068.10687028861"/>
    <x v="6"/>
    <x v="159"/>
    <x v="1"/>
  </r>
  <r>
    <x v="928"/>
    <s v="Shweta Gupta"/>
    <n v="26"/>
    <x v="3"/>
    <n v="440000"/>
    <x v="3"/>
    <n v="48"/>
    <x v="790"/>
    <n v="10845.253477887711"/>
    <n v="520572.16693861014"/>
    <x v="32"/>
    <x v="133"/>
    <x v="1"/>
  </r>
  <r>
    <x v="929"/>
    <s v="Sanjay Mishra"/>
    <n v="30"/>
    <x v="1"/>
    <n v="3070000"/>
    <x v="0"/>
    <n v="48"/>
    <x v="791"/>
    <n v="81600.596597737545"/>
    <n v="3916828.6366914022"/>
    <x v="24"/>
    <x v="184"/>
    <x v="0"/>
  </r>
  <r>
    <x v="930"/>
    <s v="Neha Sharma"/>
    <n v="25"/>
    <x v="6"/>
    <n v="1440000"/>
    <x v="7"/>
    <n v="48"/>
    <x v="792"/>
    <n v="36522.120146035952"/>
    <n v="1753061.7670097258"/>
    <x v="26"/>
    <x v="209"/>
    <x v="1"/>
  </r>
  <r>
    <x v="931"/>
    <s v="Rahul Nair"/>
    <n v="43"/>
    <x v="3"/>
    <n v="430000"/>
    <x v="0"/>
    <n v="84"/>
    <x v="793"/>
    <n v="7706.132523315523"/>
    <n v="647315.13195850397"/>
    <x v="10"/>
    <x v="125"/>
    <x v="0"/>
  </r>
  <r>
    <x v="932"/>
    <s v="Geeta Gupta"/>
    <n v="30"/>
    <x v="6"/>
    <n v="1010000"/>
    <x v="5"/>
    <n v="36"/>
    <x v="794"/>
    <n v="31649.729116045157"/>
    <n v="1139390.2481776257"/>
    <x v="25"/>
    <x v="8"/>
    <x v="0"/>
  </r>
  <r>
    <x v="933"/>
    <s v="Vikram Yadav"/>
    <n v="64"/>
    <x v="5"/>
    <n v="1040000"/>
    <x v="6"/>
    <n v="24"/>
    <x v="795"/>
    <n v="47512.131970340022"/>
    <n v="1140291.1672881604"/>
    <x v="32"/>
    <x v="18"/>
    <x v="0"/>
  </r>
  <r>
    <x v="934"/>
    <s v="Mamta Kapoor"/>
    <n v="22"/>
    <x v="2"/>
    <n v="550000"/>
    <x v="7"/>
    <n v="24"/>
    <x v="607"/>
    <n v="25379.709485634077"/>
    <n v="609113.0276552178"/>
    <x v="6"/>
    <x v="15"/>
    <x v="1"/>
  </r>
  <r>
    <x v="935"/>
    <s v="Usha Mishra"/>
    <n v="33"/>
    <x v="1"/>
    <n v="6280000"/>
    <x v="6"/>
    <n v="24"/>
    <x v="333"/>
    <n v="286900.18151320698"/>
    <n v="6885604.3563169669"/>
    <x v="13"/>
    <x v="118"/>
    <x v="1"/>
  </r>
  <r>
    <x v="936"/>
    <s v="Sunil Shah"/>
    <n v="60"/>
    <x v="5"/>
    <n v="590000"/>
    <x v="9"/>
    <n v="180"/>
    <x v="796"/>
    <n v="7464.9287869458703"/>
    <n v="1343687.1816502567"/>
    <x v="2"/>
    <x v="326"/>
    <x v="1"/>
  </r>
  <r>
    <x v="937"/>
    <s v="Priya Mishra"/>
    <n v="22"/>
    <x v="3"/>
    <n v="180000"/>
    <x v="4"/>
    <n v="12"/>
    <x v="797"/>
    <n v="15783.032119319623"/>
    <n v="189396.38543183549"/>
    <x v="6"/>
    <x v="198"/>
    <x v="0"/>
  </r>
  <r>
    <x v="938"/>
    <s v="Preeti Chatterjee"/>
    <n v="40"/>
    <x v="4"/>
    <n v="2820000"/>
    <x v="8"/>
    <n v="240"/>
    <x v="798"/>
    <n v="28154.31281253976"/>
    <n v="6757035.0750095425"/>
    <x v="4"/>
    <x v="147"/>
    <x v="1"/>
  </r>
  <r>
    <x v="939"/>
    <s v="Kavya Mehta"/>
    <n v="21"/>
    <x v="3"/>
    <n v="390000"/>
    <x v="7"/>
    <n v="12"/>
    <x v="799"/>
    <n v="34287.196019703741"/>
    <n v="411446.35223644489"/>
    <x v="8"/>
    <x v="161"/>
    <x v="1"/>
  </r>
  <r>
    <x v="940"/>
    <s v="Mamta Iyer"/>
    <n v="57"/>
    <x v="0"/>
    <n v="380000"/>
    <x v="7"/>
    <n v="180"/>
    <x v="708"/>
    <n v="4083.4994472908415"/>
    <n v="735029.90051235142"/>
    <x v="33"/>
    <x v="49"/>
    <x v="1"/>
  </r>
  <r>
    <x v="941"/>
    <s v="Shweta Singh"/>
    <n v="29"/>
    <x v="2"/>
    <n v="360000"/>
    <x v="4"/>
    <n v="84"/>
    <x v="800"/>
    <n v="5883.8334052674309"/>
    <n v="494242.00604246417"/>
    <x v="28"/>
    <x v="121"/>
    <x v="3"/>
  </r>
  <r>
    <x v="942"/>
    <s v="Rahul Mishra"/>
    <n v="37"/>
    <x v="3"/>
    <n v="340000"/>
    <x v="2"/>
    <n v="84"/>
    <x v="801"/>
    <n v="6001.9291510050989"/>
    <n v="504162.04868442833"/>
    <x v="27"/>
    <x v="257"/>
    <x v="0"/>
  </r>
  <r>
    <x v="943"/>
    <s v="Anjali Roy"/>
    <n v="29"/>
    <x v="6"/>
    <n v="1460000"/>
    <x v="4"/>
    <n v="180"/>
    <x v="802"/>
    <n v="15245.680369811284"/>
    <n v="2744222.4665660309"/>
    <x v="22"/>
    <x v="223"/>
    <x v="1"/>
  </r>
  <r>
    <x v="944"/>
    <s v="Anil Banerjee"/>
    <n v="31"/>
    <x v="3"/>
    <n v="360000"/>
    <x v="11"/>
    <n v="60"/>
    <x v="803"/>
    <n v="7827.2723061515917"/>
    <n v="469636.33836909552"/>
    <x v="2"/>
    <x v="28"/>
    <x v="1"/>
  </r>
  <r>
    <x v="945"/>
    <s v="Vikram Kapoor"/>
    <n v="35"/>
    <x v="2"/>
    <n v="860000"/>
    <x v="5"/>
    <n v="180"/>
    <x v="804"/>
    <n v="8218.6079252410218"/>
    <n v="1479349.4265433839"/>
    <x v="22"/>
    <x v="24"/>
    <x v="1"/>
  </r>
  <r>
    <x v="946"/>
    <s v="Arjun Sharma"/>
    <n v="44"/>
    <x v="2"/>
    <n v="740000"/>
    <x v="11"/>
    <n v="36"/>
    <x v="805"/>
    <n v="24226.65066658151"/>
    <n v="872159.42399693443"/>
    <x v="2"/>
    <x v="204"/>
    <x v="1"/>
  </r>
  <r>
    <x v="947"/>
    <s v="Kiran Banerjee"/>
    <n v="58"/>
    <x v="4"/>
    <n v="2890000"/>
    <x v="10"/>
    <n v="240"/>
    <x v="638"/>
    <n v="23281.64329364723"/>
    <n v="5587594.3904753355"/>
    <x v="4"/>
    <x v="188"/>
    <x v="2"/>
  </r>
  <r>
    <x v="948"/>
    <s v="Neha Mishra"/>
    <n v="55"/>
    <x v="1"/>
    <n v="1450000"/>
    <x v="0"/>
    <n v="60"/>
    <x v="806"/>
    <n v="32622.010426852969"/>
    <n v="1957320.6256111781"/>
    <x v="14"/>
    <x v="57"/>
    <x v="0"/>
  </r>
  <r>
    <x v="949"/>
    <s v="Hemant Kapoor"/>
    <n v="50"/>
    <x v="1"/>
    <n v="6060000"/>
    <x v="2"/>
    <n v="120"/>
    <x v="807"/>
    <n v="86943.394731967928"/>
    <n v="10433207.367836151"/>
    <x v="14"/>
    <x v="271"/>
    <x v="1"/>
  </r>
  <r>
    <x v="950"/>
    <s v="Vikas Kumar"/>
    <n v="51"/>
    <x v="1"/>
    <n v="4450000"/>
    <x v="2"/>
    <n v="48"/>
    <x v="808"/>
    <n v="117185.56767207856"/>
    <n v="5624907.2482597707"/>
    <x v="9"/>
    <x v="48"/>
    <x v="3"/>
  </r>
  <r>
    <x v="951"/>
    <s v="Ramesh Nair"/>
    <n v="25"/>
    <x v="5"/>
    <n v="1390000"/>
    <x v="2"/>
    <n v="36"/>
    <x v="809"/>
    <n v="46167.890639863152"/>
    <n v="1662044.0630350735"/>
    <x v="25"/>
    <x v="9"/>
    <x v="0"/>
  </r>
  <r>
    <x v="952"/>
    <s v="Geeta Bose"/>
    <n v="64"/>
    <x v="1"/>
    <n v="9550000"/>
    <x v="5"/>
    <n v="12"/>
    <x v="810"/>
    <n v="830739.49776577123"/>
    <n v="9968873.9731892552"/>
    <x v="3"/>
    <x v="73"/>
    <x v="0"/>
  </r>
  <r>
    <x v="953"/>
    <s v="Rekha Sen"/>
    <n v="34"/>
    <x v="5"/>
    <n v="700000"/>
    <x v="11"/>
    <n v="240"/>
    <x v="11"/>
    <n v="7225.3187466323961"/>
    <n v="1734076.499191775"/>
    <x v="17"/>
    <x v="152"/>
    <x v="0"/>
  </r>
  <r>
    <x v="954"/>
    <s v="Anil Mukherjee"/>
    <n v="31"/>
    <x v="3"/>
    <n v="440000"/>
    <x v="6"/>
    <n v="120"/>
    <x v="421"/>
    <n v="5573.7340450109768"/>
    <n v="668848.08540131722"/>
    <x v="8"/>
    <x v="61"/>
    <x v="1"/>
  </r>
  <r>
    <x v="955"/>
    <s v="Mamta Sharma"/>
    <n v="29"/>
    <x v="4"/>
    <n v="3790000"/>
    <x v="1"/>
    <n v="180"/>
    <x v="356"/>
    <n v="44274.393795513133"/>
    <n v="7969390.8831923641"/>
    <x v="20"/>
    <x v="244"/>
    <x v="1"/>
  </r>
  <r>
    <x v="956"/>
    <s v="Anil Gupta"/>
    <n v="54"/>
    <x v="2"/>
    <n v="410000"/>
    <x v="5"/>
    <n v="240"/>
    <x v="811"/>
    <n v="3429.4042828731976"/>
    <n v="823057.02788956743"/>
    <x v="28"/>
    <x v="165"/>
    <x v="1"/>
  </r>
  <r>
    <x v="957"/>
    <s v="Anil Patel"/>
    <n v="32"/>
    <x v="5"/>
    <n v="410000"/>
    <x v="0"/>
    <n v="12"/>
    <x v="812"/>
    <n v="36523.973711346094"/>
    <n v="438287.6845361531"/>
    <x v="15"/>
    <x v="268"/>
    <x v="1"/>
  </r>
  <r>
    <x v="958"/>
    <s v="Mukesh Mukherjee"/>
    <n v="55"/>
    <x v="3"/>
    <n v="460000"/>
    <x v="8"/>
    <n v="240"/>
    <x v="813"/>
    <n v="4592.5474800596767"/>
    <n v="1102211.3952143225"/>
    <x v="28"/>
    <x v="42"/>
    <x v="1"/>
  </r>
  <r>
    <x v="959"/>
    <s v="Usha Joshi"/>
    <n v="55"/>
    <x v="4"/>
    <n v="2510000"/>
    <x v="1"/>
    <n v="84"/>
    <x v="814"/>
    <n v="43640.016658802728"/>
    <n v="3665761.3993394291"/>
    <x v="19"/>
    <x v="86"/>
    <x v="1"/>
  </r>
  <r>
    <x v="960"/>
    <s v="Sunita Ghosh"/>
    <n v="21"/>
    <x v="5"/>
    <n v="1340000"/>
    <x v="4"/>
    <n v="120"/>
    <x v="815"/>
    <n v="17339.272713144121"/>
    <n v="2080712.7255772944"/>
    <x v="5"/>
    <x v="313"/>
    <x v="1"/>
  </r>
  <r>
    <x v="961"/>
    <s v="Mamta Bhat"/>
    <n v="60"/>
    <x v="0"/>
    <n v="1010000"/>
    <x v="8"/>
    <n v="36"/>
    <x v="816"/>
    <n v="32827.467939733797"/>
    <n v="1181788.8458304168"/>
    <x v="36"/>
    <x v="285"/>
    <x v="0"/>
  </r>
  <r>
    <x v="962"/>
    <s v="Suresh Mehta"/>
    <n v="42"/>
    <x v="4"/>
    <n v="1450000"/>
    <x v="10"/>
    <n v="180"/>
    <x v="817"/>
    <n v="13441.679220039705"/>
    <n v="2419502.259607147"/>
    <x v="33"/>
    <x v="83"/>
    <x v="1"/>
  </r>
  <r>
    <x v="963"/>
    <s v="Vikram Pandey"/>
    <n v="49"/>
    <x v="0"/>
    <n v="710000"/>
    <x v="3"/>
    <n v="24"/>
    <x v="818"/>
    <n v="32273.529165784086"/>
    <n v="774564.69997881807"/>
    <x v="30"/>
    <x v="208"/>
    <x v="1"/>
  </r>
  <r>
    <x v="964"/>
    <s v="Suresh Menon"/>
    <n v="28"/>
    <x v="3"/>
    <n v="310000"/>
    <x v="3"/>
    <n v="240"/>
    <x v="819"/>
    <n v="2690.252023433155"/>
    <n v="645660.48562395724"/>
    <x v="35"/>
    <x v="95"/>
    <x v="1"/>
  </r>
  <r>
    <x v="965"/>
    <s v="Lata Joshi"/>
    <n v="31"/>
    <x v="0"/>
    <n v="1540000"/>
    <x v="6"/>
    <n v="180"/>
    <x v="207"/>
    <n v="15619.705396091487"/>
    <n v="2811546.9712964678"/>
    <x v="29"/>
    <x v="269"/>
    <x v="1"/>
  </r>
  <r>
    <x v="966"/>
    <s v="Vinod Singh"/>
    <n v="61"/>
    <x v="1"/>
    <n v="2190000"/>
    <x v="7"/>
    <n v="84"/>
    <x v="624"/>
    <n v="36356.593018880136"/>
    <n v="3053953.8135859314"/>
    <x v="13"/>
    <x v="221"/>
    <x v="0"/>
  </r>
  <r>
    <x v="967"/>
    <s v="Mamta Banerjee"/>
    <n v="57"/>
    <x v="0"/>
    <n v="1310000"/>
    <x v="8"/>
    <n v="12"/>
    <x v="820"/>
    <n v="115474.66979146226"/>
    <n v="1385696.0374975472"/>
    <x v="22"/>
    <x v="228"/>
    <x v="1"/>
  </r>
  <r>
    <x v="968"/>
    <s v="Vikram Joshi"/>
    <n v="34"/>
    <x v="1"/>
    <n v="1200000"/>
    <x v="2"/>
    <n v="12"/>
    <x v="12"/>
    <n v="106618.54641401002"/>
    <n v="1279422.5569681204"/>
    <x v="14"/>
    <x v="235"/>
    <x v="1"/>
  </r>
  <r>
    <x v="969"/>
    <s v="Mukesh Bose"/>
    <n v="50"/>
    <x v="3"/>
    <n v="240000"/>
    <x v="11"/>
    <n v="48"/>
    <x v="821"/>
    <n v="6202.9254267486758"/>
    <n v="297740.42048393644"/>
    <x v="0"/>
    <x v="208"/>
    <x v="2"/>
  </r>
  <r>
    <x v="970"/>
    <s v="Anil Dutta"/>
    <n v="55"/>
    <x v="0"/>
    <n v="860000"/>
    <x v="3"/>
    <n v="120"/>
    <x v="822"/>
    <n v="10662.769243207957"/>
    <n v="1279532.3091849547"/>
    <x v="36"/>
    <x v="237"/>
    <x v="1"/>
  </r>
  <r>
    <x v="971"/>
    <s v="Pooja Mukherjee"/>
    <n v="41"/>
    <x v="4"/>
    <n v="1610000"/>
    <x v="7"/>
    <n v="24"/>
    <x v="823"/>
    <n v="74293.331403401564"/>
    <n v="1783039.9536816375"/>
    <x v="15"/>
    <x v="278"/>
    <x v="1"/>
  </r>
  <r>
    <x v="972"/>
    <s v="Hemant Gupta"/>
    <n v="57"/>
    <x v="0"/>
    <n v="1010000"/>
    <x v="9"/>
    <n v="84"/>
    <x v="824"/>
    <n v="18373.882982263429"/>
    <n v="1543406.1705101281"/>
    <x v="19"/>
    <x v="23"/>
    <x v="1"/>
  </r>
  <r>
    <x v="973"/>
    <s v="Ajay Kapoor"/>
    <n v="25"/>
    <x v="0"/>
    <n v="1960000"/>
    <x v="3"/>
    <n v="84"/>
    <x v="825"/>
    <n v="31039.511456795761"/>
    <n v="2607318.9623708441"/>
    <x v="3"/>
    <x v="31"/>
    <x v="1"/>
  </r>
  <r>
    <x v="974"/>
    <s v="Ramesh Mitra"/>
    <n v="39"/>
    <x v="6"/>
    <n v="1390000"/>
    <x v="5"/>
    <n v="60"/>
    <x v="826"/>
    <n v="28184.188060895012"/>
    <n v="1691051.2836537007"/>
    <x v="20"/>
    <x v="181"/>
    <x v="1"/>
  </r>
  <r>
    <x v="975"/>
    <s v="Ramesh Joshi"/>
    <n v="34"/>
    <x v="4"/>
    <n v="4030000"/>
    <x v="11"/>
    <n v="36"/>
    <x v="680"/>
    <n v="131937.02998151822"/>
    <n v="4749733.0793346558"/>
    <x v="19"/>
    <x v="214"/>
    <x v="1"/>
  </r>
  <r>
    <x v="976"/>
    <s v="Arjun Verma"/>
    <n v="46"/>
    <x v="5"/>
    <n v="1070000"/>
    <x v="7"/>
    <n v="240"/>
    <x v="827"/>
    <n v="10325.731602291882"/>
    <n v="2478175.5845500519"/>
    <x v="34"/>
    <x v="124"/>
    <x v="0"/>
  </r>
  <r>
    <x v="977"/>
    <s v="Anil Sen"/>
    <n v="24"/>
    <x v="4"/>
    <n v="1950000"/>
    <x v="0"/>
    <n v="60"/>
    <x v="828"/>
    <n v="43870.979539560889"/>
    <n v="2632258.7723736535"/>
    <x v="20"/>
    <x v="214"/>
    <x v="3"/>
  </r>
  <r>
    <x v="978"/>
    <s v="Dinesh Verma"/>
    <n v="45"/>
    <x v="3"/>
    <n v="450000"/>
    <x v="3"/>
    <n v="48"/>
    <x v="829"/>
    <n v="11091.736511476069"/>
    <n v="532403.3525508513"/>
    <x v="11"/>
    <x v="115"/>
    <x v="1"/>
  </r>
  <r>
    <x v="979"/>
    <s v="Nisha Singh"/>
    <n v="62"/>
    <x v="2"/>
    <n v="590000"/>
    <x v="7"/>
    <n v="60"/>
    <x v="830"/>
    <n v="12535.756379648283"/>
    <n v="752145.38277889695"/>
    <x v="25"/>
    <x v="156"/>
    <x v="0"/>
  </r>
  <r>
    <x v="980"/>
    <s v="Suresh Gupta"/>
    <n v="45"/>
    <x v="6"/>
    <n v="1820000"/>
    <x v="0"/>
    <n v="180"/>
    <x v="641"/>
    <n v="22431.901901379832"/>
    <n v="4037742.3422483695"/>
    <x v="20"/>
    <x v="327"/>
    <x v="1"/>
  </r>
  <r>
    <x v="981"/>
    <s v="Geeta Bhat"/>
    <n v="38"/>
    <x v="4"/>
    <n v="1110000"/>
    <x v="10"/>
    <n v="84"/>
    <x v="831"/>
    <n v="17025.486196968803"/>
    <n v="1430140.8405453793"/>
    <x v="33"/>
    <x v="220"/>
    <x v="1"/>
  </r>
  <r>
    <x v="982"/>
    <s v="Anjali Kapoor"/>
    <n v="60"/>
    <x v="6"/>
    <n v="240000"/>
    <x v="10"/>
    <n v="84"/>
    <x v="832"/>
    <n v="3681.1862047500113"/>
    <n v="309219.64119900094"/>
    <x v="8"/>
    <x v="328"/>
    <x v="2"/>
  </r>
  <r>
    <x v="983"/>
    <s v="Divya Dutta"/>
    <n v="28"/>
    <x v="6"/>
    <n v="1430000"/>
    <x v="11"/>
    <n v="36"/>
    <x v="833"/>
    <n v="46816.365477312924"/>
    <n v="1685389.1571832653"/>
    <x v="10"/>
    <x v="209"/>
    <x v="3"/>
  </r>
  <r>
    <x v="984"/>
    <s v="Hemant Sharma"/>
    <n v="59"/>
    <x v="0"/>
    <n v="340000"/>
    <x v="4"/>
    <n v="180"/>
    <x v="485"/>
    <n v="3550.3639217368741"/>
    <n v="639065.50591263734"/>
    <x v="7"/>
    <x v="94"/>
    <x v="0"/>
  </r>
  <r>
    <x v="985"/>
    <s v="Anil Pillai"/>
    <n v="60"/>
    <x v="4"/>
    <n v="620000"/>
    <x v="6"/>
    <n v="120"/>
    <x v="834"/>
    <n v="7853.8979725154677"/>
    <n v="942467.75670185615"/>
    <x v="19"/>
    <x v="197"/>
    <x v="1"/>
  </r>
  <r>
    <x v="986"/>
    <s v="Vikas Singh"/>
    <n v="34"/>
    <x v="4"/>
    <n v="2700000"/>
    <x v="3"/>
    <n v="48"/>
    <x v="835"/>
    <n v="66550.419068856412"/>
    <n v="3194420.115305108"/>
    <x v="35"/>
    <x v="221"/>
    <x v="0"/>
  </r>
  <r>
    <x v="987"/>
    <s v="Mamta Bose"/>
    <n v="52"/>
    <x v="1"/>
    <n v="4620000"/>
    <x v="2"/>
    <n v="120"/>
    <x v="459"/>
    <n v="66283.578161995363"/>
    <n v="7954029.3794394433"/>
    <x v="33"/>
    <x v="312"/>
    <x v="2"/>
  </r>
  <r>
    <x v="988"/>
    <s v="Suresh Kumar"/>
    <n v="58"/>
    <x v="4"/>
    <n v="830000"/>
    <x v="3"/>
    <n v="84"/>
    <x v="836"/>
    <n v="13144.282912826777"/>
    <n v="1104119.7646774491"/>
    <x v="26"/>
    <x v="222"/>
    <x v="1"/>
  </r>
  <r>
    <x v="989"/>
    <s v="Arjun Dutta"/>
    <n v="53"/>
    <x v="4"/>
    <n v="1010000"/>
    <x v="11"/>
    <n v="84"/>
    <x v="419"/>
    <n v="17293.660799247744"/>
    <n v="1452667.5071368106"/>
    <x v="15"/>
    <x v="242"/>
    <x v="0"/>
  </r>
  <r>
    <x v="990"/>
    <s v="Vikas Roy"/>
    <n v="43"/>
    <x v="1"/>
    <n v="7680000"/>
    <x v="5"/>
    <n v="120"/>
    <x v="682"/>
    <n v="93179.592464914123"/>
    <n v="11181551.095789695"/>
    <x v="25"/>
    <x v="188"/>
    <x v="0"/>
  </r>
  <r>
    <x v="991"/>
    <s v="Meena Ghosh"/>
    <n v="35"/>
    <x v="1"/>
    <n v="9500000"/>
    <x v="3"/>
    <n v="60"/>
    <x v="406"/>
    <n v="194907.04760698686"/>
    <n v="11694422.856419211"/>
    <x v="3"/>
    <x v="225"/>
    <x v="2"/>
  </r>
  <r>
    <x v="992"/>
    <s v="Neha Sharma"/>
    <n v="53"/>
    <x v="2"/>
    <n v="400000"/>
    <x v="2"/>
    <n v="180"/>
    <x v="837"/>
    <n v="4800.6722483660542"/>
    <n v="864121.00470588973"/>
    <x v="15"/>
    <x v="222"/>
    <x v="1"/>
  </r>
  <r>
    <x v="993"/>
    <s v="Rekha Nair"/>
    <n v="45"/>
    <x v="0"/>
    <n v="1520000"/>
    <x v="8"/>
    <n v="36"/>
    <x v="245"/>
    <n v="49403.714127124127"/>
    <n v="1778533.7085764685"/>
    <x v="28"/>
    <x v="53"/>
    <x v="0"/>
  </r>
  <r>
    <x v="994"/>
    <s v="Kiran Mishra"/>
    <n v="37"/>
    <x v="4"/>
    <n v="4700000"/>
    <x v="0"/>
    <n v="36"/>
    <x v="267"/>
    <n v="157232.04021056765"/>
    <n v="5660353.4475804353"/>
    <x v="15"/>
    <x v="296"/>
    <x v="1"/>
  </r>
  <r>
    <x v="995"/>
    <s v="Vikas Joshi"/>
    <n v="53"/>
    <x v="5"/>
    <n v="1170000"/>
    <x v="8"/>
    <n v="48"/>
    <x v="838"/>
    <n v="29955.954309727716"/>
    <n v="1437885.8068669303"/>
    <x v="13"/>
    <x v="112"/>
    <x v="1"/>
  </r>
  <r>
    <x v="996"/>
    <s v="Neha Das"/>
    <n v="22"/>
    <x v="6"/>
    <n v="1090000"/>
    <x v="8"/>
    <n v="24"/>
    <x v="839"/>
    <n v="50549.885386915092"/>
    <n v="1213197.2492859622"/>
    <x v="19"/>
    <x v="106"/>
    <x v="0"/>
  </r>
  <r>
    <x v="997"/>
    <s v="Divya Das"/>
    <n v="34"/>
    <x v="3"/>
    <n v="420000"/>
    <x v="8"/>
    <n v="60"/>
    <x v="212"/>
    <n v="9027.4381588093329"/>
    <n v="541646.28952856001"/>
    <x v="23"/>
    <x v="82"/>
    <x v="1"/>
  </r>
  <r>
    <x v="998"/>
    <s v="Sanjay Roy"/>
    <n v="60"/>
    <x v="1"/>
    <n v="7750000"/>
    <x v="11"/>
    <n v="48"/>
    <x v="840"/>
    <n v="200302.80023875929"/>
    <n v="9614534.4114604462"/>
    <x v="21"/>
    <x v="214"/>
    <x v="1"/>
  </r>
  <r>
    <x v="999"/>
    <s v="Pallavi Pillai"/>
    <n v="60"/>
    <x v="3"/>
    <n v="90000"/>
    <x v="8"/>
    <n v="240"/>
    <x v="841"/>
    <n v="898.5418982725455"/>
    <n v="215650.05558541091"/>
    <x v="8"/>
    <x v="67"/>
    <x v="1"/>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338">
  <r>
    <x v="0"/>
    <d v="2016-08-04T00:00:00"/>
    <n v="1260000"/>
    <n v="110188.86073010099"/>
    <n v="9450"/>
    <n v="100738.86073010099"/>
    <n v="1159261.1392698991"/>
    <n v="9450"/>
  </r>
  <r>
    <x v="1"/>
    <d v="2016-09-04T00:00:00"/>
    <n v="1159261.1392698991"/>
    <n v="110188.86073010102"/>
    <n v="8694.458544524241"/>
    <n v="101494.40218557678"/>
    <n v="1057766.7370843221"/>
    <n v="18144.458544524241"/>
  </r>
  <r>
    <x v="2"/>
    <d v="2016-10-04T00:00:00"/>
    <n v="1057766.7370843221"/>
    <n v="110188.86073010101"/>
    <n v="7933.250528132412"/>
    <n v="102255.61020196859"/>
    <n v="955511.12688235356"/>
    <n v="26077.709072656653"/>
  </r>
  <r>
    <x v="3"/>
    <d v="2016-11-04T00:00:00"/>
    <n v="955511.12688235356"/>
    <n v="110188.86073010102"/>
    <n v="7166.3334516176546"/>
    <n v="103022.52727848337"/>
    <n v="852488.59960387019"/>
    <n v="33244.042524274308"/>
  </r>
  <r>
    <x v="4"/>
    <d v="2016-12-04T00:00:00"/>
    <n v="852488.59960387019"/>
    <n v="110188.86073010099"/>
    <n v="6393.6644970290363"/>
    <n v="103795.19623307195"/>
    <n v="748693.40337079833"/>
    <n v="39637.707021303344"/>
  </r>
  <r>
    <x v="5"/>
    <d v="2017-01-04T00:00:00"/>
    <n v="748693.40337079833"/>
    <n v="110188.86073010102"/>
    <n v="5615.2005252809904"/>
    <n v="104573.66020482003"/>
    <n v="644119.74316597823"/>
    <n v="45252.907546584334"/>
  </r>
  <r>
    <x v="6"/>
    <d v="2017-02-04T00:00:00"/>
    <n v="644119.74316597823"/>
    <n v="110188.86073010101"/>
    <n v="4830.8980737448437"/>
    <n v="105357.96265635616"/>
    <n v="538761.78050962207"/>
    <n v="50083.805620329178"/>
  </r>
  <r>
    <x v="7"/>
    <d v="2017-03-04T00:00:00"/>
    <n v="538761.78050962207"/>
    <n v="110188.86073010101"/>
    <n v="4040.7133538221533"/>
    <n v="106148.14737627885"/>
    <n v="432613.63313334319"/>
    <n v="54124.518974151331"/>
  </r>
  <r>
    <x v="8"/>
    <d v="2017-04-04T00:00:00"/>
    <n v="432613.63313334319"/>
    <n v="110188.86073010099"/>
    <n v="3244.6022485000722"/>
    <n v="106944.25848160092"/>
    <n v="325669.37465174228"/>
    <n v="57369.121222651404"/>
  </r>
  <r>
    <x v="9"/>
    <d v="2017-05-04T00:00:00"/>
    <n v="325669.37465174228"/>
    <n v="110188.86073010102"/>
    <n v="2442.5203098880738"/>
    <n v="107746.34042021295"/>
    <n v="217923.03423152934"/>
    <n v="59811.641532539477"/>
  </r>
  <r>
    <x v="10"/>
    <d v="2017-06-04T00:00:00"/>
    <n v="217923.03423152934"/>
    <n v="110188.86073010101"/>
    <n v="1634.4227567364578"/>
    <n v="108554.43797336455"/>
    <n v="109368.59625816485"/>
    <n v="61446.064289275935"/>
  </r>
  <r>
    <x v="11"/>
    <d v="2017-07-04T00:00:00"/>
    <n v="109368.59625816485"/>
    <n v="110188.86073010108"/>
    <n v="820.2644719362288"/>
    <n v="109368.59625816485"/>
    <n v="0"/>
    <n v="62266.328761212164"/>
  </r>
  <r>
    <x v="12"/>
    <d v="2017-08-04T00:00:00"/>
    <n v="0"/>
    <n v="0"/>
    <n v="0"/>
    <n v="0"/>
    <n v="0"/>
    <n v="62266.328761212164"/>
  </r>
  <r>
    <x v="12"/>
    <d v="2017-09-04T00:00:00"/>
    <n v="0"/>
    <n v="0"/>
    <n v="0"/>
    <n v="0"/>
    <n v="0"/>
    <n v="62266.328761212164"/>
  </r>
  <r>
    <x v="12"/>
    <d v="2017-10-04T00:00:00"/>
    <n v="0"/>
    <n v="0"/>
    <n v="0"/>
    <n v="0"/>
    <n v="0"/>
    <n v="62266.328761212164"/>
  </r>
  <r>
    <x v="12"/>
    <d v="2017-11-04T00:00:00"/>
    <n v="0"/>
    <n v="0"/>
    <n v="0"/>
    <n v="0"/>
    <n v="0"/>
    <n v="62266.328761212164"/>
  </r>
  <r>
    <x v="12"/>
    <d v="2017-12-04T00:00:00"/>
    <n v="0"/>
    <n v="0"/>
    <n v="0"/>
    <n v="0"/>
    <n v="0"/>
    <n v="62266.328761212164"/>
  </r>
  <r>
    <x v="12"/>
    <d v="2018-01-04T00:00:00"/>
    <n v="0"/>
    <n v="0"/>
    <n v="0"/>
    <n v="0"/>
    <n v="0"/>
    <n v="62266.328761212164"/>
  </r>
  <r>
    <x v="12"/>
    <d v="2018-02-04T00:00:00"/>
    <n v="0"/>
    <n v="0"/>
    <n v="0"/>
    <n v="0"/>
    <n v="0"/>
    <n v="62266.328761212164"/>
  </r>
  <r>
    <x v="12"/>
    <d v="2018-03-04T00:00:00"/>
    <n v="0"/>
    <n v="0"/>
    <n v="0"/>
    <n v="0"/>
    <n v="0"/>
    <n v="62266.328761212164"/>
  </r>
  <r>
    <x v="12"/>
    <d v="2018-04-04T00:00:00"/>
    <n v="0"/>
    <n v="0"/>
    <n v="0"/>
    <n v="0"/>
    <n v="0"/>
    <n v="62266.328761212164"/>
  </r>
  <r>
    <x v="12"/>
    <d v="2018-05-04T00:00:00"/>
    <n v="0"/>
    <n v="0"/>
    <n v="0"/>
    <n v="0"/>
    <n v="0"/>
    <n v="62266.328761212164"/>
  </r>
  <r>
    <x v="12"/>
    <d v="2018-06-04T00:00:00"/>
    <n v="0"/>
    <n v="0"/>
    <n v="0"/>
    <n v="0"/>
    <n v="0"/>
    <n v="62266.328761212164"/>
  </r>
  <r>
    <x v="12"/>
    <d v="2018-07-04T00:00:00"/>
    <n v="0"/>
    <n v="0"/>
    <n v="0"/>
    <n v="0"/>
    <n v="0"/>
    <n v="62266.328761212164"/>
  </r>
  <r>
    <x v="12"/>
    <d v="2018-08-04T00:00:00"/>
    <n v="0"/>
    <n v="0"/>
    <n v="0"/>
    <n v="0"/>
    <n v="0"/>
    <n v="62266.328761212164"/>
  </r>
  <r>
    <x v="12"/>
    <d v="2018-09-04T00:00:00"/>
    <n v="0"/>
    <n v="0"/>
    <n v="0"/>
    <n v="0"/>
    <n v="0"/>
    <n v="62266.328761212164"/>
  </r>
  <r>
    <x v="12"/>
    <d v="2018-10-04T00:00:00"/>
    <n v="0"/>
    <n v="0"/>
    <n v="0"/>
    <n v="0"/>
    <n v="0"/>
    <n v="62266.328761212164"/>
  </r>
  <r>
    <x v="12"/>
    <d v="2018-11-04T00:00:00"/>
    <n v="0"/>
    <n v="0"/>
    <n v="0"/>
    <n v="0"/>
    <n v="0"/>
    <n v="62266.328761212164"/>
  </r>
  <r>
    <x v="12"/>
    <d v="2018-12-04T00:00:00"/>
    <n v="0"/>
    <n v="0"/>
    <n v="0"/>
    <n v="0"/>
    <n v="0"/>
    <n v="62266.328761212164"/>
  </r>
  <r>
    <x v="12"/>
    <d v="2019-01-04T00:00:00"/>
    <n v="0"/>
    <n v="0"/>
    <n v="0"/>
    <n v="0"/>
    <n v="0"/>
    <n v="62266.328761212164"/>
  </r>
  <r>
    <x v="12"/>
    <d v="2019-02-04T00:00:00"/>
    <n v="0"/>
    <n v="0"/>
    <n v="0"/>
    <n v="0"/>
    <n v="0"/>
    <n v="62266.328761212164"/>
  </r>
  <r>
    <x v="12"/>
    <d v="2019-03-04T00:00:00"/>
    <n v="0"/>
    <n v="0"/>
    <n v="0"/>
    <n v="0"/>
    <n v="0"/>
    <n v="62266.328761212164"/>
  </r>
  <r>
    <x v="12"/>
    <d v="2019-04-04T00:00:00"/>
    <n v="0"/>
    <n v="0"/>
    <n v="0"/>
    <n v="0"/>
    <n v="0"/>
    <n v="62266.328761212164"/>
  </r>
  <r>
    <x v="12"/>
    <d v="2019-05-04T00:00:00"/>
    <n v="0"/>
    <n v="0"/>
    <n v="0"/>
    <n v="0"/>
    <n v="0"/>
    <n v="62266.328761212164"/>
  </r>
  <r>
    <x v="12"/>
    <d v="2019-06-04T00:00:00"/>
    <n v="0"/>
    <n v="0"/>
    <n v="0"/>
    <n v="0"/>
    <n v="0"/>
    <n v="62266.328761212164"/>
  </r>
  <r>
    <x v="12"/>
    <d v="2019-07-04T00:00:00"/>
    <n v="0"/>
    <n v="0"/>
    <n v="0"/>
    <n v="0"/>
    <n v="0"/>
    <n v="62266.328761212164"/>
  </r>
  <r>
    <x v="12"/>
    <d v="2019-08-04T00:00:00"/>
    <n v="0"/>
    <n v="0"/>
    <n v="0"/>
    <n v="0"/>
    <n v="0"/>
    <n v="62266.328761212164"/>
  </r>
  <r>
    <x v="12"/>
    <d v="2019-09-04T00:00:00"/>
    <n v="0"/>
    <n v="0"/>
    <n v="0"/>
    <n v="0"/>
    <n v="0"/>
    <n v="62266.328761212164"/>
  </r>
  <r>
    <x v="12"/>
    <d v="2019-10-04T00:00:00"/>
    <n v="0"/>
    <n v="0"/>
    <n v="0"/>
    <n v="0"/>
    <n v="0"/>
    <n v="62266.328761212164"/>
  </r>
  <r>
    <x v="12"/>
    <d v="2019-11-04T00:00:00"/>
    <n v="0"/>
    <n v="0"/>
    <n v="0"/>
    <n v="0"/>
    <n v="0"/>
    <n v="62266.328761212164"/>
  </r>
  <r>
    <x v="12"/>
    <d v="2019-12-04T00:00:00"/>
    <n v="0"/>
    <n v="0"/>
    <n v="0"/>
    <n v="0"/>
    <n v="0"/>
    <n v="62266.328761212164"/>
  </r>
  <r>
    <x v="12"/>
    <d v="2020-01-04T00:00:00"/>
    <n v="0"/>
    <n v="0"/>
    <n v="0"/>
    <n v="0"/>
    <n v="0"/>
    <n v="62266.328761212164"/>
  </r>
  <r>
    <x v="12"/>
    <d v="2020-02-04T00:00:00"/>
    <n v="0"/>
    <n v="0"/>
    <n v="0"/>
    <n v="0"/>
    <n v="0"/>
    <n v="62266.328761212164"/>
  </r>
  <r>
    <x v="12"/>
    <d v="2020-03-04T00:00:00"/>
    <n v="0"/>
    <n v="0"/>
    <n v="0"/>
    <n v="0"/>
    <n v="0"/>
    <n v="62266.328761212164"/>
  </r>
  <r>
    <x v="12"/>
    <d v="2020-04-04T00:00:00"/>
    <n v="0"/>
    <n v="0"/>
    <n v="0"/>
    <n v="0"/>
    <n v="0"/>
    <n v="62266.328761212164"/>
  </r>
  <r>
    <x v="12"/>
    <d v="2020-05-04T00:00:00"/>
    <n v="0"/>
    <n v="0"/>
    <n v="0"/>
    <n v="0"/>
    <n v="0"/>
    <n v="62266.328761212164"/>
  </r>
  <r>
    <x v="12"/>
    <d v="2020-06-04T00:00:00"/>
    <n v="0"/>
    <n v="0"/>
    <n v="0"/>
    <n v="0"/>
    <n v="0"/>
    <n v="62266.328761212164"/>
  </r>
  <r>
    <x v="12"/>
    <d v="2020-07-04T00:00:00"/>
    <n v="0"/>
    <n v="0"/>
    <n v="0"/>
    <n v="0"/>
    <n v="0"/>
    <n v="62266.328761212164"/>
  </r>
  <r>
    <x v="12"/>
    <d v="2020-08-04T00:00:00"/>
    <n v="0"/>
    <n v="0"/>
    <n v="0"/>
    <n v="0"/>
    <n v="0"/>
    <n v="62266.328761212164"/>
  </r>
  <r>
    <x v="12"/>
    <d v="2020-09-04T00:00:00"/>
    <n v="0"/>
    <n v="0"/>
    <n v="0"/>
    <n v="0"/>
    <n v="0"/>
    <n v="62266.328761212164"/>
  </r>
  <r>
    <x v="12"/>
    <d v="2020-10-04T00:00:00"/>
    <n v="0"/>
    <n v="0"/>
    <n v="0"/>
    <n v="0"/>
    <n v="0"/>
    <n v="62266.328761212164"/>
  </r>
  <r>
    <x v="12"/>
    <d v="2020-11-04T00:00:00"/>
    <n v="0"/>
    <n v="0"/>
    <n v="0"/>
    <n v="0"/>
    <n v="0"/>
    <n v="62266.328761212164"/>
  </r>
  <r>
    <x v="12"/>
    <d v="2020-12-04T00:00:00"/>
    <n v="0"/>
    <n v="0"/>
    <n v="0"/>
    <n v="0"/>
    <n v="0"/>
    <n v="62266.328761212164"/>
  </r>
  <r>
    <x v="12"/>
    <d v="2021-01-04T00:00:00"/>
    <n v="0"/>
    <n v="0"/>
    <n v="0"/>
    <n v="0"/>
    <n v="0"/>
    <n v="62266.328761212164"/>
  </r>
  <r>
    <x v="12"/>
    <d v="2021-02-04T00:00:00"/>
    <n v="0"/>
    <n v="0"/>
    <n v="0"/>
    <n v="0"/>
    <n v="0"/>
    <n v="62266.328761212164"/>
  </r>
  <r>
    <x v="12"/>
    <d v="2021-03-04T00:00:00"/>
    <n v="0"/>
    <n v="0"/>
    <n v="0"/>
    <n v="0"/>
    <n v="0"/>
    <n v="62266.328761212164"/>
  </r>
  <r>
    <x v="12"/>
    <d v="2021-04-04T00:00:00"/>
    <n v="0"/>
    <n v="0"/>
    <n v="0"/>
    <n v="0"/>
    <n v="0"/>
    <n v="62266.328761212164"/>
  </r>
  <r>
    <x v="12"/>
    <d v="2021-05-04T00:00:00"/>
    <n v="0"/>
    <n v="0"/>
    <n v="0"/>
    <n v="0"/>
    <n v="0"/>
    <n v="62266.328761212164"/>
  </r>
  <r>
    <x v="12"/>
    <d v="2021-06-04T00:00:00"/>
    <n v="0"/>
    <n v="0"/>
    <n v="0"/>
    <n v="0"/>
    <n v="0"/>
    <n v="62266.328761212164"/>
  </r>
  <r>
    <x v="12"/>
    <d v="2021-07-04T00:00:00"/>
    <n v="0"/>
    <n v="0"/>
    <n v="0"/>
    <n v="0"/>
    <n v="0"/>
    <n v="62266.328761212164"/>
  </r>
  <r>
    <x v="12"/>
    <d v="2021-08-04T00:00:00"/>
    <n v="0"/>
    <n v="0"/>
    <n v="0"/>
    <n v="0"/>
    <n v="0"/>
    <n v="62266.328761212164"/>
  </r>
  <r>
    <x v="12"/>
    <d v="2021-09-04T00:00:00"/>
    <n v="0"/>
    <n v="0"/>
    <n v="0"/>
    <n v="0"/>
    <n v="0"/>
    <n v="62266.328761212164"/>
  </r>
  <r>
    <x v="12"/>
    <d v="2021-10-04T00:00:00"/>
    <n v="0"/>
    <n v="0"/>
    <n v="0"/>
    <n v="0"/>
    <n v="0"/>
    <n v="62266.328761212164"/>
  </r>
  <r>
    <x v="12"/>
    <d v="2021-11-04T00:00:00"/>
    <n v="0"/>
    <n v="0"/>
    <n v="0"/>
    <n v="0"/>
    <n v="0"/>
    <n v="62266.328761212164"/>
  </r>
  <r>
    <x v="12"/>
    <d v="2021-12-04T00:00:00"/>
    <n v="0"/>
    <n v="0"/>
    <n v="0"/>
    <n v="0"/>
    <n v="0"/>
    <n v="62266.328761212164"/>
  </r>
  <r>
    <x v="12"/>
    <d v="2022-01-04T00:00:00"/>
    <n v="0"/>
    <n v="0"/>
    <n v="0"/>
    <n v="0"/>
    <n v="0"/>
    <n v="62266.328761212164"/>
  </r>
  <r>
    <x v="12"/>
    <d v="2022-02-04T00:00:00"/>
    <n v="0"/>
    <n v="0"/>
    <n v="0"/>
    <n v="0"/>
    <n v="0"/>
    <n v="62266.328761212164"/>
  </r>
  <r>
    <x v="12"/>
    <d v="2022-03-04T00:00:00"/>
    <n v="0"/>
    <n v="0"/>
    <n v="0"/>
    <n v="0"/>
    <n v="0"/>
    <n v="62266.328761212164"/>
  </r>
  <r>
    <x v="12"/>
    <d v="2022-04-04T00:00:00"/>
    <n v="0"/>
    <n v="0"/>
    <n v="0"/>
    <n v="0"/>
    <n v="0"/>
    <n v="62266.328761212164"/>
  </r>
  <r>
    <x v="12"/>
    <d v="2022-05-04T00:00:00"/>
    <n v="0"/>
    <n v="0"/>
    <n v="0"/>
    <n v="0"/>
    <n v="0"/>
    <n v="62266.328761212164"/>
  </r>
  <r>
    <x v="12"/>
    <d v="2022-06-04T00:00:00"/>
    <n v="0"/>
    <n v="0"/>
    <n v="0"/>
    <n v="0"/>
    <n v="0"/>
    <n v="62266.328761212164"/>
  </r>
  <r>
    <x v="12"/>
    <d v="2022-07-04T00:00:00"/>
    <n v="0"/>
    <n v="0"/>
    <n v="0"/>
    <n v="0"/>
    <n v="0"/>
    <n v="62266.328761212164"/>
  </r>
  <r>
    <x v="12"/>
    <d v="2022-08-04T00:00:00"/>
    <n v="0"/>
    <n v="0"/>
    <n v="0"/>
    <n v="0"/>
    <n v="0"/>
    <n v="62266.328761212164"/>
  </r>
  <r>
    <x v="12"/>
    <d v="2022-09-04T00:00:00"/>
    <n v="0"/>
    <n v="0"/>
    <n v="0"/>
    <n v="0"/>
    <n v="0"/>
    <n v="62266.328761212164"/>
  </r>
  <r>
    <x v="12"/>
    <d v="2022-10-04T00:00:00"/>
    <n v="0"/>
    <n v="0"/>
    <n v="0"/>
    <n v="0"/>
    <n v="0"/>
    <n v="62266.328761212164"/>
  </r>
  <r>
    <x v="12"/>
    <d v="2022-11-04T00:00:00"/>
    <n v="0"/>
    <n v="0"/>
    <n v="0"/>
    <n v="0"/>
    <n v="0"/>
    <n v="62266.328761212164"/>
  </r>
  <r>
    <x v="12"/>
    <d v="2022-12-04T00:00:00"/>
    <n v="0"/>
    <n v="0"/>
    <n v="0"/>
    <n v="0"/>
    <n v="0"/>
    <n v="62266.328761212164"/>
  </r>
  <r>
    <x v="12"/>
    <d v="2023-01-04T00:00:00"/>
    <n v="0"/>
    <n v="0"/>
    <n v="0"/>
    <n v="0"/>
    <n v="0"/>
    <n v="62266.328761212164"/>
  </r>
  <r>
    <x v="12"/>
    <d v="2023-02-04T00:00:00"/>
    <n v="0"/>
    <n v="0"/>
    <n v="0"/>
    <n v="0"/>
    <n v="0"/>
    <n v="62266.328761212164"/>
  </r>
  <r>
    <x v="12"/>
    <d v="2023-03-04T00:00:00"/>
    <n v="0"/>
    <n v="0"/>
    <n v="0"/>
    <n v="0"/>
    <n v="0"/>
    <n v="62266.328761212164"/>
  </r>
  <r>
    <x v="12"/>
    <d v="2023-04-04T00:00:00"/>
    <n v="0"/>
    <n v="0"/>
    <n v="0"/>
    <n v="0"/>
    <n v="0"/>
    <n v="62266.328761212164"/>
  </r>
  <r>
    <x v="12"/>
    <d v="2023-05-04T00:00:00"/>
    <n v="0"/>
    <n v="0"/>
    <n v="0"/>
    <n v="0"/>
    <n v="0"/>
    <n v="62266.328761212164"/>
  </r>
  <r>
    <x v="12"/>
    <d v="2023-06-04T00:00:00"/>
    <n v="0"/>
    <n v="0"/>
    <n v="0"/>
    <n v="0"/>
    <n v="0"/>
    <n v="62266.328761212164"/>
  </r>
  <r>
    <x v="12"/>
    <d v="2023-07-04T00:00:00"/>
    <n v="0"/>
    <n v="0"/>
    <n v="0"/>
    <n v="0"/>
    <n v="0"/>
    <n v="62266.328761212164"/>
  </r>
  <r>
    <x v="12"/>
    <d v="2023-08-04T00:00:00"/>
    <n v="0"/>
    <n v="0"/>
    <n v="0"/>
    <n v="0"/>
    <n v="0"/>
    <n v="62266.328761212164"/>
  </r>
  <r>
    <x v="12"/>
    <d v="2023-09-04T00:00:00"/>
    <n v="0"/>
    <n v="0"/>
    <n v="0"/>
    <n v="0"/>
    <n v="0"/>
    <n v="62266.328761212164"/>
  </r>
  <r>
    <x v="12"/>
    <d v="2023-10-04T00:00:00"/>
    <n v="0"/>
    <n v="0"/>
    <n v="0"/>
    <n v="0"/>
    <n v="0"/>
    <n v="62266.328761212164"/>
  </r>
  <r>
    <x v="12"/>
    <d v="2023-11-04T00:00:00"/>
    <n v="0"/>
    <n v="0"/>
    <n v="0"/>
    <n v="0"/>
    <n v="0"/>
    <n v="62266.328761212164"/>
  </r>
  <r>
    <x v="12"/>
    <d v="2023-12-04T00:00:00"/>
    <n v="0"/>
    <n v="0"/>
    <n v="0"/>
    <n v="0"/>
    <n v="0"/>
    <n v="62266.328761212164"/>
  </r>
  <r>
    <x v="12"/>
    <d v="2024-01-04T00:00:00"/>
    <n v="0"/>
    <n v="0"/>
    <n v="0"/>
    <n v="0"/>
    <n v="0"/>
    <n v="62266.328761212164"/>
  </r>
  <r>
    <x v="12"/>
    <d v="2024-02-04T00:00:00"/>
    <n v="0"/>
    <n v="0"/>
    <n v="0"/>
    <n v="0"/>
    <n v="0"/>
    <n v="62266.328761212164"/>
  </r>
  <r>
    <x v="12"/>
    <d v="2024-03-04T00:00:00"/>
    <n v="0"/>
    <n v="0"/>
    <n v="0"/>
    <n v="0"/>
    <n v="0"/>
    <n v="62266.328761212164"/>
  </r>
  <r>
    <x v="12"/>
    <d v="2024-04-04T00:00:00"/>
    <n v="0"/>
    <n v="0"/>
    <n v="0"/>
    <n v="0"/>
    <n v="0"/>
    <n v="62266.328761212164"/>
  </r>
  <r>
    <x v="12"/>
    <d v="2024-05-04T00:00:00"/>
    <n v="0"/>
    <n v="0"/>
    <n v="0"/>
    <n v="0"/>
    <n v="0"/>
    <n v="62266.328761212164"/>
  </r>
  <r>
    <x v="12"/>
    <d v="2024-06-04T00:00:00"/>
    <n v="0"/>
    <n v="0"/>
    <n v="0"/>
    <n v="0"/>
    <n v="0"/>
    <n v="62266.328761212164"/>
  </r>
  <r>
    <x v="12"/>
    <d v="2024-07-04T00:00:00"/>
    <n v="0"/>
    <n v="0"/>
    <n v="0"/>
    <n v="0"/>
    <n v="0"/>
    <n v="62266.328761212164"/>
  </r>
  <r>
    <x v="12"/>
    <d v="2024-08-04T00:00:00"/>
    <n v="0"/>
    <n v="0"/>
    <n v="0"/>
    <n v="0"/>
    <n v="0"/>
    <n v="62266.328761212164"/>
  </r>
  <r>
    <x v="12"/>
    <d v="2024-09-04T00:00:00"/>
    <n v="0"/>
    <n v="0"/>
    <n v="0"/>
    <n v="0"/>
    <n v="0"/>
    <n v="62266.328761212164"/>
  </r>
  <r>
    <x v="12"/>
    <d v="2024-10-04T00:00:00"/>
    <n v="0"/>
    <n v="0"/>
    <n v="0"/>
    <n v="0"/>
    <n v="0"/>
    <n v="62266.328761212164"/>
  </r>
  <r>
    <x v="12"/>
    <d v="2024-11-04T00:00:00"/>
    <n v="0"/>
    <n v="0"/>
    <n v="0"/>
    <n v="0"/>
    <n v="0"/>
    <n v="62266.328761212164"/>
  </r>
  <r>
    <x v="12"/>
    <d v="2024-12-04T00:00:00"/>
    <n v="0"/>
    <n v="0"/>
    <n v="0"/>
    <n v="0"/>
    <n v="0"/>
    <n v="62266.328761212164"/>
  </r>
  <r>
    <x v="12"/>
    <d v="2025-01-04T00:00:00"/>
    <n v="0"/>
    <n v="0"/>
    <n v="0"/>
    <n v="0"/>
    <n v="0"/>
    <n v="62266.328761212164"/>
  </r>
  <r>
    <x v="12"/>
    <d v="2025-02-04T00:00:00"/>
    <n v="0"/>
    <n v="0"/>
    <n v="0"/>
    <n v="0"/>
    <n v="0"/>
    <n v="62266.328761212164"/>
  </r>
  <r>
    <x v="12"/>
    <d v="2025-03-04T00:00:00"/>
    <n v="0"/>
    <n v="0"/>
    <n v="0"/>
    <n v="0"/>
    <n v="0"/>
    <n v="62266.328761212164"/>
  </r>
  <r>
    <x v="12"/>
    <d v="2025-04-04T00:00:00"/>
    <n v="0"/>
    <n v="0"/>
    <n v="0"/>
    <n v="0"/>
    <n v="0"/>
    <n v="62266.328761212164"/>
  </r>
  <r>
    <x v="12"/>
    <d v="2025-05-04T00:00:00"/>
    <n v="0"/>
    <n v="0"/>
    <n v="0"/>
    <n v="0"/>
    <n v="0"/>
    <n v="62266.328761212164"/>
  </r>
  <r>
    <x v="12"/>
    <d v="2025-06-04T00:00:00"/>
    <n v="0"/>
    <n v="0"/>
    <n v="0"/>
    <n v="0"/>
    <n v="0"/>
    <n v="62266.328761212164"/>
  </r>
  <r>
    <x v="12"/>
    <d v="2025-07-04T00:00:00"/>
    <n v="0"/>
    <n v="0"/>
    <n v="0"/>
    <n v="0"/>
    <n v="0"/>
    <n v="62266.328761212164"/>
  </r>
  <r>
    <x v="12"/>
    <d v="2025-08-04T00:00:00"/>
    <n v="0"/>
    <n v="0"/>
    <n v="0"/>
    <n v="0"/>
    <n v="0"/>
    <n v="62266.328761212164"/>
  </r>
  <r>
    <x v="12"/>
    <d v="2025-09-04T00:00:00"/>
    <n v="0"/>
    <n v="0"/>
    <n v="0"/>
    <n v="0"/>
    <n v="0"/>
    <n v="62266.328761212164"/>
  </r>
  <r>
    <x v="12"/>
    <d v="2025-10-04T00:00:00"/>
    <n v="0"/>
    <n v="0"/>
    <n v="0"/>
    <n v="0"/>
    <n v="0"/>
    <n v="62266.328761212164"/>
  </r>
  <r>
    <x v="12"/>
    <d v="2025-11-04T00:00:00"/>
    <n v="0"/>
    <n v="0"/>
    <n v="0"/>
    <n v="0"/>
    <n v="0"/>
    <n v="62266.328761212164"/>
  </r>
  <r>
    <x v="12"/>
    <d v="2025-12-04T00:00:00"/>
    <n v="0"/>
    <n v="0"/>
    <n v="0"/>
    <n v="0"/>
    <n v="0"/>
    <n v="62266.328761212164"/>
  </r>
  <r>
    <x v="12"/>
    <d v="2026-01-04T00:00:00"/>
    <n v="0"/>
    <n v="0"/>
    <n v="0"/>
    <n v="0"/>
    <n v="0"/>
    <n v="62266.328761212164"/>
  </r>
  <r>
    <x v="12"/>
    <d v="2026-02-04T00:00:00"/>
    <n v="0"/>
    <n v="0"/>
    <n v="0"/>
    <n v="0"/>
    <n v="0"/>
    <n v="62266.328761212164"/>
  </r>
  <r>
    <x v="12"/>
    <d v="2026-03-04T00:00:00"/>
    <n v="0"/>
    <n v="0"/>
    <n v="0"/>
    <n v="0"/>
    <n v="0"/>
    <n v="62266.328761212164"/>
  </r>
  <r>
    <x v="12"/>
    <d v="2026-04-04T00:00:00"/>
    <n v="0"/>
    <n v="0"/>
    <n v="0"/>
    <n v="0"/>
    <n v="0"/>
    <n v="62266.328761212164"/>
  </r>
  <r>
    <x v="12"/>
    <d v="2026-05-04T00:00:00"/>
    <n v="0"/>
    <n v="0"/>
    <n v="0"/>
    <n v="0"/>
    <n v="0"/>
    <n v="62266.328761212164"/>
  </r>
  <r>
    <x v="12"/>
    <d v="2026-06-04T00:00:00"/>
    <n v="0"/>
    <n v="0"/>
    <n v="0"/>
    <n v="0"/>
    <n v="0"/>
    <n v="62266.328761212164"/>
  </r>
  <r>
    <x v="12"/>
    <d v="2026-07-04T00:00:00"/>
    <n v="0"/>
    <n v="0"/>
    <n v="0"/>
    <n v="0"/>
    <n v="0"/>
    <n v="62266.328761212164"/>
  </r>
  <r>
    <x v="12"/>
    <d v="2026-08-04T00:00:00"/>
    <n v="0"/>
    <n v="0"/>
    <n v="0"/>
    <n v="0"/>
    <n v="0"/>
    <n v="62266.328761212164"/>
  </r>
  <r>
    <x v="12"/>
    <d v="2026-09-04T00:00:00"/>
    <n v="0"/>
    <n v="0"/>
    <n v="0"/>
    <n v="0"/>
    <n v="0"/>
    <n v="62266.328761212164"/>
  </r>
  <r>
    <x v="12"/>
    <d v="2026-10-04T00:00:00"/>
    <n v="0"/>
    <n v="0"/>
    <n v="0"/>
    <n v="0"/>
    <n v="0"/>
    <n v="62266.328761212164"/>
  </r>
  <r>
    <x v="12"/>
    <d v="2026-11-04T00:00:00"/>
    <n v="0"/>
    <n v="0"/>
    <n v="0"/>
    <n v="0"/>
    <n v="0"/>
    <n v="62266.328761212164"/>
  </r>
  <r>
    <x v="12"/>
    <d v="2026-12-04T00:00:00"/>
    <n v="0"/>
    <n v="0"/>
    <n v="0"/>
    <n v="0"/>
    <n v="0"/>
    <n v="62266.328761212164"/>
  </r>
  <r>
    <x v="12"/>
    <d v="2027-01-04T00:00:00"/>
    <n v="0"/>
    <n v="0"/>
    <n v="0"/>
    <n v="0"/>
    <n v="0"/>
    <n v="62266.328761212164"/>
  </r>
  <r>
    <x v="12"/>
    <d v="2027-02-04T00:00:00"/>
    <n v="0"/>
    <n v="0"/>
    <n v="0"/>
    <n v="0"/>
    <n v="0"/>
    <n v="62266.328761212164"/>
  </r>
  <r>
    <x v="12"/>
    <d v="2027-03-04T00:00:00"/>
    <n v="0"/>
    <n v="0"/>
    <n v="0"/>
    <n v="0"/>
    <n v="0"/>
    <n v="62266.328761212164"/>
  </r>
  <r>
    <x v="12"/>
    <d v="2027-04-04T00:00:00"/>
    <n v="0"/>
    <n v="0"/>
    <n v="0"/>
    <n v="0"/>
    <n v="0"/>
    <n v="62266.328761212164"/>
  </r>
  <r>
    <x v="12"/>
    <d v="2027-05-04T00:00:00"/>
    <n v="0"/>
    <n v="0"/>
    <n v="0"/>
    <n v="0"/>
    <n v="0"/>
    <n v="62266.328761212164"/>
  </r>
  <r>
    <x v="12"/>
    <d v="2027-06-04T00:00:00"/>
    <n v="0"/>
    <n v="0"/>
    <n v="0"/>
    <n v="0"/>
    <n v="0"/>
    <n v="62266.328761212164"/>
  </r>
  <r>
    <x v="12"/>
    <d v="2027-07-04T00:00:00"/>
    <n v="0"/>
    <n v="0"/>
    <n v="0"/>
    <n v="0"/>
    <n v="0"/>
    <n v="62266.328761212164"/>
  </r>
  <r>
    <x v="12"/>
    <d v="2027-08-04T00:00:00"/>
    <n v="0"/>
    <n v="0"/>
    <n v="0"/>
    <n v="0"/>
    <n v="0"/>
    <n v="62266.328761212164"/>
  </r>
  <r>
    <x v="12"/>
    <d v="2027-09-04T00:00:00"/>
    <n v="0"/>
    <n v="0"/>
    <n v="0"/>
    <n v="0"/>
    <n v="0"/>
    <n v="62266.328761212164"/>
  </r>
  <r>
    <x v="12"/>
    <d v="2027-10-04T00:00:00"/>
    <n v="0"/>
    <n v="0"/>
    <n v="0"/>
    <n v="0"/>
    <n v="0"/>
    <n v="62266.328761212164"/>
  </r>
  <r>
    <x v="12"/>
    <d v="2027-11-04T00:00:00"/>
    <n v="0"/>
    <n v="0"/>
    <n v="0"/>
    <n v="0"/>
    <n v="0"/>
    <n v="62266.328761212164"/>
  </r>
  <r>
    <x v="12"/>
    <d v="2027-12-04T00:00:00"/>
    <n v="0"/>
    <n v="0"/>
    <n v="0"/>
    <n v="0"/>
    <n v="0"/>
    <n v="62266.328761212164"/>
  </r>
  <r>
    <x v="12"/>
    <d v="2028-01-04T00:00:00"/>
    <n v="0"/>
    <n v="0"/>
    <n v="0"/>
    <n v="0"/>
    <n v="0"/>
    <n v="62266.328761212164"/>
  </r>
  <r>
    <x v="12"/>
    <d v="2028-02-04T00:00:00"/>
    <n v="0"/>
    <n v="0"/>
    <n v="0"/>
    <n v="0"/>
    <n v="0"/>
    <n v="62266.328761212164"/>
  </r>
  <r>
    <x v="12"/>
    <d v="2028-03-04T00:00:00"/>
    <n v="0"/>
    <n v="0"/>
    <n v="0"/>
    <n v="0"/>
    <n v="0"/>
    <n v="62266.328761212164"/>
  </r>
  <r>
    <x v="12"/>
    <d v="2028-04-04T00:00:00"/>
    <n v="0"/>
    <n v="0"/>
    <n v="0"/>
    <n v="0"/>
    <n v="0"/>
    <n v="62266.328761212164"/>
  </r>
  <r>
    <x v="12"/>
    <d v="2028-05-04T00:00:00"/>
    <n v="0"/>
    <n v="0"/>
    <n v="0"/>
    <n v="0"/>
    <n v="0"/>
    <n v="62266.328761212164"/>
  </r>
  <r>
    <x v="12"/>
    <d v="2028-06-04T00:00:00"/>
    <n v="0"/>
    <n v="0"/>
    <n v="0"/>
    <n v="0"/>
    <n v="0"/>
    <n v="62266.328761212164"/>
  </r>
  <r>
    <x v="12"/>
    <d v="2028-07-04T00:00:00"/>
    <n v="0"/>
    <n v="0"/>
    <n v="0"/>
    <n v="0"/>
    <n v="0"/>
    <n v="62266.328761212164"/>
  </r>
  <r>
    <x v="12"/>
    <d v="2028-08-04T00:00:00"/>
    <n v="0"/>
    <n v="0"/>
    <n v="0"/>
    <n v="0"/>
    <n v="0"/>
    <n v="62266.328761212164"/>
  </r>
  <r>
    <x v="12"/>
    <d v="2028-09-04T00:00:00"/>
    <n v="0"/>
    <n v="0"/>
    <n v="0"/>
    <n v="0"/>
    <n v="0"/>
    <n v="62266.328761212164"/>
  </r>
  <r>
    <x v="12"/>
    <d v="2028-10-04T00:00:00"/>
    <n v="0"/>
    <n v="0"/>
    <n v="0"/>
    <n v="0"/>
    <n v="0"/>
    <n v="62266.328761212164"/>
  </r>
  <r>
    <x v="12"/>
    <d v="2028-11-04T00:00:00"/>
    <n v="0"/>
    <n v="0"/>
    <n v="0"/>
    <n v="0"/>
    <n v="0"/>
    <n v="62266.328761212164"/>
  </r>
  <r>
    <x v="12"/>
    <d v="2028-12-04T00:00:00"/>
    <n v="0"/>
    <n v="0"/>
    <n v="0"/>
    <n v="0"/>
    <n v="0"/>
    <n v="62266.328761212164"/>
  </r>
  <r>
    <x v="12"/>
    <d v="2029-01-04T00:00:00"/>
    <n v="0"/>
    <n v="0"/>
    <n v="0"/>
    <n v="0"/>
    <n v="0"/>
    <n v="62266.328761212164"/>
  </r>
  <r>
    <x v="12"/>
    <d v="2029-02-04T00:00:00"/>
    <n v="0"/>
    <n v="0"/>
    <n v="0"/>
    <n v="0"/>
    <n v="0"/>
    <n v="62266.328761212164"/>
  </r>
  <r>
    <x v="12"/>
    <d v="2029-03-04T00:00:00"/>
    <n v="0"/>
    <n v="0"/>
    <n v="0"/>
    <n v="0"/>
    <n v="0"/>
    <n v="62266.328761212164"/>
  </r>
  <r>
    <x v="12"/>
    <d v="2029-04-04T00:00:00"/>
    <n v="0"/>
    <n v="0"/>
    <n v="0"/>
    <n v="0"/>
    <n v="0"/>
    <n v="62266.328761212164"/>
  </r>
  <r>
    <x v="12"/>
    <d v="2029-05-04T00:00:00"/>
    <n v="0"/>
    <n v="0"/>
    <n v="0"/>
    <n v="0"/>
    <n v="0"/>
    <n v="62266.328761212164"/>
  </r>
  <r>
    <x v="12"/>
    <d v="2029-06-04T00:00:00"/>
    <n v="0"/>
    <n v="0"/>
    <n v="0"/>
    <n v="0"/>
    <n v="0"/>
    <n v="62266.328761212164"/>
  </r>
  <r>
    <x v="12"/>
    <d v="2029-07-04T00:00:00"/>
    <n v="0"/>
    <n v="0"/>
    <n v="0"/>
    <n v="0"/>
    <n v="0"/>
    <n v="62266.328761212164"/>
  </r>
  <r>
    <x v="12"/>
    <d v="2029-08-04T00:00:00"/>
    <n v="0"/>
    <n v="0"/>
    <n v="0"/>
    <n v="0"/>
    <n v="0"/>
    <n v="62266.328761212164"/>
  </r>
  <r>
    <x v="12"/>
    <d v="2029-09-04T00:00:00"/>
    <n v="0"/>
    <n v="0"/>
    <n v="0"/>
    <n v="0"/>
    <n v="0"/>
    <n v="62266.328761212164"/>
  </r>
  <r>
    <x v="12"/>
    <d v="2029-10-04T00:00:00"/>
    <n v="0"/>
    <n v="0"/>
    <n v="0"/>
    <n v="0"/>
    <n v="0"/>
    <n v="62266.328761212164"/>
  </r>
  <r>
    <x v="12"/>
    <d v="2029-11-04T00:00:00"/>
    <n v="0"/>
    <n v="0"/>
    <n v="0"/>
    <n v="0"/>
    <n v="0"/>
    <n v="62266.328761212164"/>
  </r>
  <r>
    <x v="12"/>
    <d v="2029-12-04T00:00:00"/>
    <n v="0"/>
    <n v="0"/>
    <n v="0"/>
    <n v="0"/>
    <n v="0"/>
    <n v="62266.328761212164"/>
  </r>
  <r>
    <x v="12"/>
    <d v="2030-01-04T00:00:00"/>
    <n v="0"/>
    <n v="0"/>
    <n v="0"/>
    <n v="0"/>
    <n v="0"/>
    <n v="62266.328761212164"/>
  </r>
  <r>
    <x v="12"/>
    <d v="2030-02-04T00:00:00"/>
    <n v="0"/>
    <n v="0"/>
    <n v="0"/>
    <n v="0"/>
    <n v="0"/>
    <n v="62266.328761212164"/>
  </r>
  <r>
    <x v="12"/>
    <d v="2030-03-04T00:00:00"/>
    <n v="0"/>
    <n v="0"/>
    <n v="0"/>
    <n v="0"/>
    <n v="0"/>
    <n v="62266.328761212164"/>
  </r>
  <r>
    <x v="12"/>
    <d v="2030-04-04T00:00:00"/>
    <n v="0"/>
    <n v="0"/>
    <n v="0"/>
    <n v="0"/>
    <n v="0"/>
    <n v="62266.328761212164"/>
  </r>
  <r>
    <x v="12"/>
    <d v="2030-05-04T00:00:00"/>
    <n v="0"/>
    <n v="0"/>
    <n v="0"/>
    <n v="0"/>
    <n v="0"/>
    <n v="62266.328761212164"/>
  </r>
  <r>
    <x v="12"/>
    <d v="2030-06-04T00:00:00"/>
    <n v="0"/>
    <n v="0"/>
    <n v="0"/>
    <n v="0"/>
    <n v="0"/>
    <n v="62266.328761212164"/>
  </r>
  <r>
    <x v="12"/>
    <d v="2030-07-04T00:00:00"/>
    <n v="0"/>
    <n v="0"/>
    <n v="0"/>
    <n v="0"/>
    <n v="0"/>
    <n v="62266.328761212164"/>
  </r>
  <r>
    <x v="12"/>
    <d v="2030-08-04T00:00:00"/>
    <n v="0"/>
    <n v="0"/>
    <n v="0"/>
    <n v="0"/>
    <n v="0"/>
    <n v="62266.328761212164"/>
  </r>
  <r>
    <x v="12"/>
    <d v="2030-09-04T00:00:00"/>
    <n v="0"/>
    <n v="0"/>
    <n v="0"/>
    <n v="0"/>
    <n v="0"/>
    <n v="62266.328761212164"/>
  </r>
  <r>
    <x v="12"/>
    <d v="2030-10-04T00:00:00"/>
    <n v="0"/>
    <n v="0"/>
    <n v="0"/>
    <n v="0"/>
    <n v="0"/>
    <n v="62266.328761212164"/>
  </r>
  <r>
    <x v="12"/>
    <d v="2030-11-04T00:00:00"/>
    <n v="0"/>
    <n v="0"/>
    <n v="0"/>
    <n v="0"/>
    <n v="0"/>
    <n v="62266.328761212164"/>
  </r>
  <r>
    <x v="12"/>
    <d v="2030-12-04T00:00:00"/>
    <n v="0"/>
    <n v="0"/>
    <n v="0"/>
    <n v="0"/>
    <n v="0"/>
    <n v="62266.328761212164"/>
  </r>
  <r>
    <x v="12"/>
    <d v="2031-01-04T00:00:00"/>
    <n v="0"/>
    <n v="0"/>
    <n v="0"/>
    <n v="0"/>
    <n v="0"/>
    <n v="62266.328761212164"/>
  </r>
  <r>
    <x v="12"/>
    <d v="2031-02-04T00:00:00"/>
    <n v="0"/>
    <n v="0"/>
    <n v="0"/>
    <n v="0"/>
    <n v="0"/>
    <n v="62266.328761212164"/>
  </r>
  <r>
    <x v="12"/>
    <d v="2031-03-04T00:00:00"/>
    <n v="0"/>
    <n v="0"/>
    <n v="0"/>
    <n v="0"/>
    <n v="0"/>
    <n v="62266.328761212164"/>
  </r>
  <r>
    <x v="12"/>
    <d v="2031-04-04T00:00:00"/>
    <n v="0"/>
    <n v="0"/>
    <n v="0"/>
    <n v="0"/>
    <n v="0"/>
    <n v="62266.328761212164"/>
  </r>
  <r>
    <x v="12"/>
    <d v="2031-05-04T00:00:00"/>
    <n v="0"/>
    <n v="0"/>
    <n v="0"/>
    <n v="0"/>
    <n v="0"/>
    <n v="62266.328761212164"/>
  </r>
  <r>
    <x v="12"/>
    <d v="2031-06-04T00:00:00"/>
    <n v="0"/>
    <n v="0"/>
    <n v="0"/>
    <n v="0"/>
    <n v="0"/>
    <n v="62266.328761212164"/>
  </r>
  <r>
    <x v="12"/>
    <d v="2031-07-04T00:00:00"/>
    <n v="0"/>
    <n v="0"/>
    <n v="0"/>
    <n v="0"/>
    <n v="0"/>
    <n v="62266.328761212164"/>
  </r>
  <r>
    <x v="12"/>
    <d v="2031-08-04T00:00:00"/>
    <n v="0"/>
    <n v="0"/>
    <n v="0"/>
    <n v="0"/>
    <n v="0"/>
    <n v="62266.328761212164"/>
  </r>
  <r>
    <x v="12"/>
    <d v="2031-09-04T00:00:00"/>
    <n v="0"/>
    <n v="0"/>
    <n v="0"/>
    <n v="0"/>
    <n v="0"/>
    <n v="62266.328761212164"/>
  </r>
  <r>
    <x v="12"/>
    <d v="2031-10-04T00:00:00"/>
    <n v="0"/>
    <n v="0"/>
    <n v="0"/>
    <n v="0"/>
    <n v="0"/>
    <n v="62266.328761212164"/>
  </r>
  <r>
    <x v="12"/>
    <d v="2031-11-04T00:00:00"/>
    <n v="0"/>
    <n v="0"/>
    <n v="0"/>
    <n v="0"/>
    <n v="0"/>
    <n v="62266.328761212164"/>
  </r>
  <r>
    <x v="12"/>
    <d v="2031-12-04T00:00:00"/>
    <n v="0"/>
    <n v="0"/>
    <n v="0"/>
    <n v="0"/>
    <n v="0"/>
    <n v="62266.328761212164"/>
  </r>
  <r>
    <x v="12"/>
    <d v="2032-01-04T00:00:00"/>
    <n v="0"/>
    <n v="0"/>
    <n v="0"/>
    <n v="0"/>
    <n v="0"/>
    <n v="62266.328761212164"/>
  </r>
  <r>
    <x v="12"/>
    <d v="2032-02-04T00:00:00"/>
    <n v="0"/>
    <n v="0"/>
    <n v="0"/>
    <n v="0"/>
    <n v="0"/>
    <n v="62266.328761212164"/>
  </r>
  <r>
    <x v="12"/>
    <d v="2032-03-04T00:00:00"/>
    <n v="0"/>
    <n v="0"/>
    <n v="0"/>
    <n v="0"/>
    <n v="0"/>
    <n v="62266.328761212164"/>
  </r>
  <r>
    <x v="12"/>
    <d v="2032-04-04T00:00:00"/>
    <n v="0"/>
    <n v="0"/>
    <n v="0"/>
    <n v="0"/>
    <n v="0"/>
    <n v="62266.328761212164"/>
  </r>
  <r>
    <x v="12"/>
    <d v="2032-05-04T00:00:00"/>
    <n v="0"/>
    <n v="0"/>
    <n v="0"/>
    <n v="0"/>
    <n v="0"/>
    <n v="62266.328761212164"/>
  </r>
  <r>
    <x v="12"/>
    <d v="2032-06-04T00:00:00"/>
    <n v="0"/>
    <n v="0"/>
    <n v="0"/>
    <n v="0"/>
    <n v="0"/>
    <n v="62266.328761212164"/>
  </r>
  <r>
    <x v="12"/>
    <d v="2032-07-04T00:00:00"/>
    <n v="0"/>
    <n v="0"/>
    <n v="0"/>
    <n v="0"/>
    <n v="0"/>
    <n v="62266.328761212164"/>
  </r>
  <r>
    <x v="12"/>
    <d v="2032-08-04T00:00:00"/>
    <n v="0"/>
    <n v="0"/>
    <n v="0"/>
    <n v="0"/>
    <n v="0"/>
    <n v="62266.328761212164"/>
  </r>
  <r>
    <x v="12"/>
    <d v="2032-09-04T00:00:00"/>
    <n v="0"/>
    <n v="0"/>
    <n v="0"/>
    <n v="0"/>
    <n v="0"/>
    <n v="62266.328761212164"/>
  </r>
  <r>
    <x v="12"/>
    <d v="2032-10-04T00:00:00"/>
    <n v="0"/>
    <n v="0"/>
    <n v="0"/>
    <n v="0"/>
    <n v="0"/>
    <n v="62266.328761212164"/>
  </r>
  <r>
    <x v="12"/>
    <d v="2032-11-04T00:00:00"/>
    <n v="0"/>
    <n v="0"/>
    <n v="0"/>
    <n v="0"/>
    <n v="0"/>
    <n v="62266.328761212164"/>
  </r>
  <r>
    <x v="12"/>
    <d v="2032-12-04T00:00:00"/>
    <n v="0"/>
    <n v="0"/>
    <n v="0"/>
    <n v="0"/>
    <n v="0"/>
    <n v="62266.328761212164"/>
  </r>
  <r>
    <x v="12"/>
    <d v="2033-01-04T00:00:00"/>
    <n v="0"/>
    <n v="0"/>
    <n v="0"/>
    <n v="0"/>
    <n v="0"/>
    <n v="62266.328761212164"/>
  </r>
  <r>
    <x v="12"/>
    <d v="2033-02-04T00:00:00"/>
    <n v="0"/>
    <n v="0"/>
    <n v="0"/>
    <n v="0"/>
    <n v="0"/>
    <n v="62266.328761212164"/>
  </r>
  <r>
    <x v="12"/>
    <d v="2033-03-04T00:00:00"/>
    <n v="0"/>
    <n v="0"/>
    <n v="0"/>
    <n v="0"/>
    <n v="0"/>
    <n v="62266.328761212164"/>
  </r>
  <r>
    <x v="12"/>
    <d v="2033-04-04T00:00:00"/>
    <n v="0"/>
    <n v="0"/>
    <n v="0"/>
    <n v="0"/>
    <n v="0"/>
    <n v="62266.328761212164"/>
  </r>
  <r>
    <x v="12"/>
    <d v="2033-05-04T00:00:00"/>
    <n v="0"/>
    <n v="0"/>
    <n v="0"/>
    <n v="0"/>
    <n v="0"/>
    <n v="62266.328761212164"/>
  </r>
  <r>
    <x v="12"/>
    <d v="2033-06-04T00:00:00"/>
    <n v="0"/>
    <n v="0"/>
    <n v="0"/>
    <n v="0"/>
    <n v="0"/>
    <n v="62266.328761212164"/>
  </r>
  <r>
    <x v="12"/>
    <d v="2033-07-04T00:00:00"/>
    <n v="0"/>
    <n v="0"/>
    <n v="0"/>
    <n v="0"/>
    <n v="0"/>
    <n v="62266.328761212164"/>
  </r>
  <r>
    <x v="12"/>
    <d v="2033-08-04T00:00:00"/>
    <n v="0"/>
    <n v="0"/>
    <n v="0"/>
    <n v="0"/>
    <n v="0"/>
    <n v="62266.328761212164"/>
  </r>
  <r>
    <x v="12"/>
    <d v="2033-09-04T00:00:00"/>
    <n v="0"/>
    <n v="0"/>
    <n v="0"/>
    <n v="0"/>
    <n v="0"/>
    <n v="62266.328761212164"/>
  </r>
  <r>
    <x v="12"/>
    <d v="2033-10-04T00:00:00"/>
    <n v="0"/>
    <n v="0"/>
    <n v="0"/>
    <n v="0"/>
    <n v="0"/>
    <n v="62266.328761212164"/>
  </r>
  <r>
    <x v="12"/>
    <d v="2033-11-04T00:00:00"/>
    <n v="0"/>
    <n v="0"/>
    <n v="0"/>
    <n v="0"/>
    <n v="0"/>
    <n v="62266.328761212164"/>
  </r>
  <r>
    <x v="12"/>
    <d v="2033-12-04T00:00:00"/>
    <n v="0"/>
    <n v="0"/>
    <n v="0"/>
    <n v="0"/>
    <n v="0"/>
    <n v="62266.328761212164"/>
  </r>
  <r>
    <x v="12"/>
    <d v="2034-01-04T00:00:00"/>
    <n v="0"/>
    <n v="0"/>
    <n v="0"/>
    <n v="0"/>
    <n v="0"/>
    <n v="62266.328761212164"/>
  </r>
  <r>
    <x v="12"/>
    <d v="2034-02-04T00:00:00"/>
    <n v="0"/>
    <n v="0"/>
    <n v="0"/>
    <n v="0"/>
    <n v="0"/>
    <n v="62266.328761212164"/>
  </r>
  <r>
    <x v="12"/>
    <d v="2034-03-04T00:00:00"/>
    <n v="0"/>
    <n v="0"/>
    <n v="0"/>
    <n v="0"/>
    <n v="0"/>
    <n v="62266.328761212164"/>
  </r>
  <r>
    <x v="12"/>
    <d v="2034-04-04T00:00:00"/>
    <n v="0"/>
    <n v="0"/>
    <n v="0"/>
    <n v="0"/>
    <n v="0"/>
    <n v="62266.328761212164"/>
  </r>
  <r>
    <x v="12"/>
    <d v="2034-05-04T00:00:00"/>
    <n v="0"/>
    <n v="0"/>
    <n v="0"/>
    <n v="0"/>
    <n v="0"/>
    <n v="62266.328761212164"/>
  </r>
  <r>
    <x v="12"/>
    <d v="2034-06-04T00:00:00"/>
    <n v="0"/>
    <n v="0"/>
    <n v="0"/>
    <n v="0"/>
    <n v="0"/>
    <n v="62266.328761212164"/>
  </r>
  <r>
    <x v="12"/>
    <d v="2034-07-04T00:00:00"/>
    <n v="0"/>
    <n v="0"/>
    <n v="0"/>
    <n v="0"/>
    <n v="0"/>
    <n v="62266.328761212164"/>
  </r>
  <r>
    <x v="12"/>
    <d v="2034-08-04T00:00:00"/>
    <n v="0"/>
    <n v="0"/>
    <n v="0"/>
    <n v="0"/>
    <n v="0"/>
    <n v="62266.328761212164"/>
  </r>
  <r>
    <x v="12"/>
    <d v="2034-09-04T00:00:00"/>
    <n v="0"/>
    <n v="0"/>
    <n v="0"/>
    <n v="0"/>
    <n v="0"/>
    <n v="62266.328761212164"/>
  </r>
  <r>
    <x v="12"/>
    <d v="2034-10-04T00:00:00"/>
    <n v="0"/>
    <n v="0"/>
    <n v="0"/>
    <n v="0"/>
    <n v="0"/>
    <n v="62266.328761212164"/>
  </r>
  <r>
    <x v="12"/>
    <d v="2034-11-04T00:00:00"/>
    <n v="0"/>
    <n v="0"/>
    <n v="0"/>
    <n v="0"/>
    <n v="0"/>
    <n v="62266.328761212164"/>
  </r>
  <r>
    <x v="12"/>
    <d v="2034-12-04T00:00:00"/>
    <n v="0"/>
    <n v="0"/>
    <n v="0"/>
    <n v="0"/>
    <n v="0"/>
    <n v="62266.328761212164"/>
  </r>
  <r>
    <x v="12"/>
    <d v="2035-01-04T00:00:00"/>
    <n v="0"/>
    <n v="0"/>
    <n v="0"/>
    <n v="0"/>
    <n v="0"/>
    <n v="62266.328761212164"/>
  </r>
  <r>
    <x v="12"/>
    <d v="2035-02-04T00:00:00"/>
    <n v="0"/>
    <n v="0"/>
    <n v="0"/>
    <n v="0"/>
    <n v="0"/>
    <n v="62266.328761212164"/>
  </r>
  <r>
    <x v="12"/>
    <d v="2035-03-04T00:00:00"/>
    <n v="0"/>
    <n v="0"/>
    <n v="0"/>
    <n v="0"/>
    <n v="0"/>
    <n v="62266.328761212164"/>
  </r>
  <r>
    <x v="12"/>
    <d v="2035-04-04T00:00:00"/>
    <n v="0"/>
    <n v="0"/>
    <n v="0"/>
    <n v="0"/>
    <n v="0"/>
    <n v="62266.328761212164"/>
  </r>
  <r>
    <x v="12"/>
    <d v="2035-05-04T00:00:00"/>
    <n v="0"/>
    <n v="0"/>
    <n v="0"/>
    <n v="0"/>
    <n v="0"/>
    <n v="62266.328761212164"/>
  </r>
  <r>
    <x v="12"/>
    <d v="2035-06-04T00:00:00"/>
    <n v="0"/>
    <n v="0"/>
    <n v="0"/>
    <n v="0"/>
    <n v="0"/>
    <n v="62266.328761212164"/>
  </r>
  <r>
    <x v="12"/>
    <d v="2035-07-04T00:00:00"/>
    <n v="0"/>
    <n v="0"/>
    <n v="0"/>
    <n v="0"/>
    <n v="0"/>
    <n v="62266.328761212164"/>
  </r>
  <r>
    <x v="12"/>
    <d v="2035-08-04T00:00:00"/>
    <n v="0"/>
    <n v="0"/>
    <n v="0"/>
    <n v="0"/>
    <n v="0"/>
    <n v="62266.328761212164"/>
  </r>
  <r>
    <x v="12"/>
    <d v="2035-09-04T00:00:00"/>
    <n v="0"/>
    <n v="0"/>
    <n v="0"/>
    <n v="0"/>
    <n v="0"/>
    <n v="62266.328761212164"/>
  </r>
  <r>
    <x v="12"/>
    <d v="2035-10-04T00:00:00"/>
    <n v="0"/>
    <n v="0"/>
    <n v="0"/>
    <n v="0"/>
    <n v="0"/>
    <n v="62266.328761212164"/>
  </r>
  <r>
    <x v="12"/>
    <d v="2035-11-04T00:00:00"/>
    <n v="0"/>
    <n v="0"/>
    <n v="0"/>
    <n v="0"/>
    <n v="0"/>
    <n v="62266.328761212164"/>
  </r>
  <r>
    <x v="12"/>
    <d v="2035-12-04T00:00:00"/>
    <n v="0"/>
    <n v="0"/>
    <n v="0"/>
    <n v="0"/>
    <n v="0"/>
    <n v="62266.328761212164"/>
  </r>
  <r>
    <x v="12"/>
    <d v="2036-01-04T00:00:00"/>
    <n v="0"/>
    <n v="0"/>
    <n v="0"/>
    <n v="0"/>
    <n v="0"/>
    <n v="62266.328761212164"/>
  </r>
  <r>
    <x v="12"/>
    <d v="2036-02-04T00:00:00"/>
    <n v="0"/>
    <n v="0"/>
    <n v="0"/>
    <n v="0"/>
    <n v="0"/>
    <n v="62266.328761212164"/>
  </r>
  <r>
    <x v="12"/>
    <d v="2036-03-04T00:00:00"/>
    <n v="0"/>
    <n v="0"/>
    <n v="0"/>
    <n v="0"/>
    <n v="0"/>
    <n v="62266.328761212164"/>
  </r>
  <r>
    <x v="12"/>
    <d v="2036-04-04T00:00:00"/>
    <n v="0"/>
    <n v="0"/>
    <n v="0"/>
    <n v="0"/>
    <n v="0"/>
    <n v="62266.328761212164"/>
  </r>
  <r>
    <x v="12"/>
    <d v="2036-05-04T00:00:00"/>
    <n v="0"/>
    <n v="0"/>
    <n v="0"/>
    <n v="0"/>
    <n v="0"/>
    <n v="62266.328761212164"/>
  </r>
  <r>
    <x v="12"/>
    <d v="2036-06-04T00:00:00"/>
    <n v="0"/>
    <n v="0"/>
    <n v="0"/>
    <n v="0"/>
    <n v="0"/>
    <n v="62266.328761212164"/>
  </r>
  <r>
    <x v="12"/>
    <d v="2036-07-04T00:00:00"/>
    <n v="0"/>
    <n v="0"/>
    <n v="0"/>
    <n v="0"/>
    <n v="0"/>
    <n v="62266.328761212164"/>
  </r>
  <r>
    <x v="12"/>
    <m/>
    <m/>
    <m/>
    <m/>
    <m/>
    <m/>
    <m/>
  </r>
  <r>
    <x v="12"/>
    <m/>
    <m/>
    <m/>
    <m/>
    <m/>
    <m/>
    <m/>
  </r>
  <r>
    <x v="12"/>
    <m/>
    <m/>
    <m/>
    <m/>
    <m/>
    <m/>
    <m/>
  </r>
  <r>
    <x v="12"/>
    <m/>
    <m/>
    <m/>
    <m/>
    <m/>
    <m/>
    <m/>
  </r>
  <r>
    <x v="12"/>
    <m/>
    <m/>
    <m/>
    <m/>
    <m/>
    <m/>
    <m/>
  </r>
  <r>
    <x v="12"/>
    <m/>
    <m/>
    <m/>
    <m/>
    <m/>
    <m/>
    <m/>
  </r>
  <r>
    <x v="12"/>
    <m/>
    <m/>
    <m/>
    <m/>
    <m/>
    <m/>
    <m/>
  </r>
  <r>
    <x v="12"/>
    <m/>
    <m/>
    <m/>
    <m/>
    <m/>
    <m/>
    <m/>
  </r>
  <r>
    <x v="12"/>
    <m/>
    <m/>
    <m/>
    <m/>
    <m/>
    <m/>
    <m/>
  </r>
  <r>
    <x v="12"/>
    <m/>
    <m/>
    <m/>
    <m/>
    <m/>
    <m/>
    <m/>
  </r>
  <r>
    <x v="12"/>
    <m/>
    <m/>
    <m/>
    <m/>
    <m/>
    <m/>
    <m/>
  </r>
  <r>
    <x v="12"/>
    <m/>
    <m/>
    <m/>
    <m/>
    <m/>
    <m/>
    <m/>
  </r>
  <r>
    <x v="12"/>
    <m/>
    <m/>
    <m/>
    <m/>
    <m/>
    <m/>
    <m/>
  </r>
  <r>
    <x v="12"/>
    <m/>
    <m/>
    <m/>
    <m/>
    <m/>
    <m/>
    <m/>
  </r>
  <r>
    <x v="12"/>
    <m/>
    <m/>
    <m/>
    <m/>
    <m/>
    <m/>
    <m/>
  </r>
  <r>
    <x v="12"/>
    <m/>
    <m/>
    <m/>
    <m/>
    <m/>
    <m/>
    <m/>
  </r>
  <r>
    <x v="12"/>
    <m/>
    <m/>
    <m/>
    <m/>
    <m/>
    <m/>
    <m/>
  </r>
  <r>
    <x v="12"/>
    <m/>
    <m/>
    <m/>
    <m/>
    <m/>
    <m/>
    <m/>
  </r>
  <r>
    <x v="12"/>
    <m/>
    <m/>
    <m/>
    <m/>
    <m/>
    <m/>
    <m/>
  </r>
  <r>
    <x v="12"/>
    <m/>
    <m/>
    <m/>
    <m/>
    <m/>
    <m/>
    <m/>
  </r>
  <r>
    <x v="12"/>
    <m/>
    <m/>
    <m/>
    <m/>
    <m/>
    <m/>
    <m/>
  </r>
  <r>
    <x v="12"/>
    <m/>
    <m/>
    <m/>
    <m/>
    <m/>
    <m/>
    <m/>
  </r>
  <r>
    <x v="12"/>
    <m/>
    <m/>
    <m/>
    <m/>
    <m/>
    <m/>
    <m/>
  </r>
  <r>
    <x v="12"/>
    <m/>
    <m/>
    <m/>
    <m/>
    <m/>
    <m/>
    <m/>
  </r>
  <r>
    <x v="12"/>
    <m/>
    <m/>
    <m/>
    <m/>
    <m/>
    <m/>
    <m/>
  </r>
  <r>
    <x v="12"/>
    <m/>
    <m/>
    <m/>
    <m/>
    <m/>
    <m/>
    <m/>
  </r>
  <r>
    <x v="12"/>
    <m/>
    <m/>
    <m/>
    <m/>
    <m/>
    <m/>
    <m/>
  </r>
  <r>
    <x v="12"/>
    <m/>
    <m/>
    <m/>
    <m/>
    <m/>
    <m/>
    <m/>
  </r>
  <r>
    <x v="12"/>
    <m/>
    <m/>
    <m/>
    <m/>
    <m/>
    <m/>
    <m/>
  </r>
  <r>
    <x v="12"/>
    <m/>
    <m/>
    <m/>
    <m/>
    <m/>
    <m/>
    <m/>
  </r>
  <r>
    <x v="12"/>
    <m/>
    <m/>
    <m/>
    <m/>
    <m/>
    <m/>
    <m/>
  </r>
  <r>
    <x v="12"/>
    <m/>
    <m/>
    <m/>
    <m/>
    <m/>
    <m/>
    <m/>
  </r>
  <r>
    <x v="12"/>
    <m/>
    <m/>
    <m/>
    <m/>
    <m/>
    <m/>
    <m/>
  </r>
  <r>
    <x v="12"/>
    <m/>
    <m/>
    <m/>
    <m/>
    <m/>
    <m/>
    <m/>
  </r>
  <r>
    <x v="12"/>
    <m/>
    <m/>
    <m/>
    <m/>
    <m/>
    <m/>
    <m/>
  </r>
  <r>
    <x v="12"/>
    <m/>
    <m/>
    <m/>
    <m/>
    <m/>
    <m/>
    <m/>
  </r>
  <r>
    <x v="12"/>
    <m/>
    <m/>
    <m/>
    <m/>
    <m/>
    <m/>
    <m/>
  </r>
  <r>
    <x v="12"/>
    <m/>
    <m/>
    <m/>
    <m/>
    <m/>
    <m/>
    <m/>
  </r>
  <r>
    <x v="12"/>
    <m/>
    <m/>
    <m/>
    <m/>
    <m/>
    <m/>
    <m/>
  </r>
  <r>
    <x v="12"/>
    <m/>
    <m/>
    <m/>
    <m/>
    <m/>
    <m/>
    <m/>
  </r>
  <r>
    <x v="12"/>
    <m/>
    <m/>
    <m/>
    <m/>
    <m/>
    <m/>
    <m/>
  </r>
  <r>
    <x v="12"/>
    <m/>
    <m/>
    <m/>
    <m/>
    <m/>
    <m/>
    <m/>
  </r>
  <r>
    <x v="12"/>
    <m/>
    <m/>
    <m/>
    <m/>
    <m/>
    <m/>
    <m/>
  </r>
  <r>
    <x v="12"/>
    <m/>
    <m/>
    <m/>
    <m/>
    <m/>
    <m/>
    <m/>
  </r>
  <r>
    <x v="12"/>
    <m/>
    <m/>
    <m/>
    <m/>
    <m/>
    <m/>
    <m/>
  </r>
  <r>
    <x v="12"/>
    <m/>
    <m/>
    <m/>
    <m/>
    <m/>
    <m/>
    <m/>
  </r>
  <r>
    <x v="12"/>
    <m/>
    <m/>
    <m/>
    <m/>
    <m/>
    <m/>
    <m/>
  </r>
  <r>
    <x v="12"/>
    <m/>
    <m/>
    <m/>
    <m/>
    <m/>
    <m/>
    <m/>
  </r>
  <r>
    <x v="12"/>
    <m/>
    <m/>
    <m/>
    <m/>
    <m/>
    <m/>
    <m/>
  </r>
  <r>
    <x v="12"/>
    <m/>
    <m/>
    <m/>
    <m/>
    <m/>
    <m/>
    <m/>
  </r>
  <r>
    <x v="12"/>
    <m/>
    <m/>
    <m/>
    <m/>
    <m/>
    <m/>
    <m/>
  </r>
  <r>
    <x v="12"/>
    <m/>
    <m/>
    <m/>
    <m/>
    <m/>
    <m/>
    <m/>
  </r>
  <r>
    <x v="12"/>
    <m/>
    <m/>
    <m/>
    <m/>
    <m/>
    <m/>
    <m/>
  </r>
  <r>
    <x v="12"/>
    <m/>
    <m/>
    <m/>
    <m/>
    <m/>
    <m/>
    <m/>
  </r>
  <r>
    <x v="12"/>
    <m/>
    <m/>
    <m/>
    <m/>
    <m/>
    <m/>
    <m/>
  </r>
  <r>
    <x v="12"/>
    <m/>
    <m/>
    <m/>
    <m/>
    <m/>
    <m/>
    <m/>
  </r>
  <r>
    <x v="12"/>
    <m/>
    <m/>
    <m/>
    <m/>
    <m/>
    <m/>
    <m/>
  </r>
  <r>
    <x v="12"/>
    <m/>
    <m/>
    <m/>
    <m/>
    <m/>
    <m/>
    <m/>
  </r>
  <r>
    <x v="12"/>
    <m/>
    <m/>
    <m/>
    <m/>
    <m/>
    <m/>
    <m/>
  </r>
  <r>
    <x v="12"/>
    <m/>
    <m/>
    <m/>
    <m/>
    <m/>
    <m/>
    <m/>
  </r>
  <r>
    <x v="12"/>
    <m/>
    <m/>
    <m/>
    <m/>
    <m/>
    <m/>
    <m/>
  </r>
  <r>
    <x v="12"/>
    <m/>
    <m/>
    <m/>
    <m/>
    <m/>
    <m/>
    <m/>
  </r>
  <r>
    <x v="12"/>
    <m/>
    <m/>
    <m/>
    <m/>
    <m/>
    <m/>
    <m/>
  </r>
  <r>
    <x v="12"/>
    <m/>
    <m/>
    <m/>
    <m/>
    <m/>
    <m/>
    <m/>
  </r>
  <r>
    <x v="12"/>
    <m/>
    <m/>
    <m/>
    <m/>
    <m/>
    <m/>
    <m/>
  </r>
  <r>
    <x v="12"/>
    <m/>
    <m/>
    <m/>
    <m/>
    <m/>
    <m/>
    <m/>
  </r>
  <r>
    <x v="12"/>
    <m/>
    <m/>
    <m/>
    <m/>
    <m/>
    <m/>
    <m/>
  </r>
  <r>
    <x v="12"/>
    <m/>
    <m/>
    <m/>
    <m/>
    <m/>
    <m/>
    <m/>
  </r>
  <r>
    <x v="12"/>
    <m/>
    <m/>
    <m/>
    <m/>
    <m/>
    <m/>
    <m/>
  </r>
  <r>
    <x v="12"/>
    <m/>
    <m/>
    <m/>
    <m/>
    <m/>
    <m/>
    <m/>
  </r>
  <r>
    <x v="12"/>
    <m/>
    <m/>
    <m/>
    <m/>
    <m/>
    <m/>
    <m/>
  </r>
  <r>
    <x v="12"/>
    <m/>
    <m/>
    <m/>
    <m/>
    <m/>
    <m/>
    <m/>
  </r>
  <r>
    <x v="12"/>
    <m/>
    <m/>
    <m/>
    <m/>
    <m/>
    <m/>
    <m/>
  </r>
  <r>
    <x v="12"/>
    <m/>
    <m/>
    <m/>
    <m/>
    <m/>
    <m/>
    <m/>
  </r>
  <r>
    <x v="12"/>
    <m/>
    <m/>
    <m/>
    <m/>
    <m/>
    <m/>
    <m/>
  </r>
  <r>
    <x v="12"/>
    <m/>
    <m/>
    <m/>
    <m/>
    <m/>
    <m/>
    <m/>
  </r>
  <r>
    <x v="12"/>
    <m/>
    <m/>
    <m/>
    <m/>
    <m/>
    <m/>
    <m/>
  </r>
  <r>
    <x v="12"/>
    <m/>
    <m/>
    <m/>
    <m/>
    <m/>
    <m/>
    <m/>
  </r>
  <r>
    <x v="12"/>
    <m/>
    <m/>
    <m/>
    <m/>
    <m/>
    <m/>
    <m/>
  </r>
  <r>
    <x v="12"/>
    <m/>
    <m/>
    <m/>
    <m/>
    <m/>
    <m/>
    <m/>
  </r>
  <r>
    <x v="12"/>
    <m/>
    <m/>
    <m/>
    <m/>
    <m/>
    <m/>
    <m/>
  </r>
  <r>
    <x v="12"/>
    <m/>
    <m/>
    <m/>
    <m/>
    <m/>
    <m/>
    <m/>
  </r>
  <r>
    <x v="12"/>
    <m/>
    <m/>
    <m/>
    <m/>
    <m/>
    <m/>
    <m/>
  </r>
  <r>
    <x v="12"/>
    <m/>
    <m/>
    <m/>
    <m/>
    <m/>
    <m/>
    <m/>
  </r>
  <r>
    <x v="12"/>
    <m/>
    <m/>
    <m/>
    <m/>
    <m/>
    <m/>
    <m/>
  </r>
  <r>
    <x v="12"/>
    <m/>
    <m/>
    <m/>
    <m/>
    <m/>
    <m/>
    <m/>
  </r>
  <r>
    <x v="12"/>
    <m/>
    <m/>
    <m/>
    <m/>
    <m/>
    <m/>
    <m/>
  </r>
  <r>
    <x v="12"/>
    <m/>
    <m/>
    <m/>
    <m/>
    <m/>
    <m/>
    <m/>
  </r>
  <r>
    <x v="12"/>
    <m/>
    <m/>
    <m/>
    <m/>
    <m/>
    <m/>
    <m/>
  </r>
  <r>
    <x v="12"/>
    <m/>
    <m/>
    <m/>
    <m/>
    <m/>
    <m/>
    <m/>
  </r>
  <r>
    <x v="12"/>
    <m/>
    <m/>
    <m/>
    <m/>
    <m/>
    <m/>
    <m/>
  </r>
  <r>
    <x v="12"/>
    <m/>
    <m/>
    <m/>
    <m/>
    <m/>
    <m/>
    <m/>
  </r>
  <r>
    <x v="12"/>
    <m/>
    <m/>
    <m/>
    <m/>
    <m/>
    <m/>
    <m/>
  </r>
  <r>
    <x v="12"/>
    <m/>
    <m/>
    <m/>
    <m/>
    <m/>
    <m/>
    <m/>
  </r>
  <r>
    <x v="12"/>
    <m/>
    <m/>
    <m/>
    <m/>
    <m/>
    <m/>
    <m/>
  </r>
  <r>
    <x v="12"/>
    <m/>
    <m/>
    <m/>
    <m/>
    <m/>
    <m/>
    <m/>
  </r>
  <r>
    <x v="12"/>
    <m/>
    <m/>
    <m/>
    <m/>
    <m/>
    <m/>
    <m/>
  </r>
  <r>
    <x v="12"/>
    <m/>
    <m/>
    <m/>
    <m/>
    <m/>
    <m/>
    <m/>
  </r>
  <r>
    <x v="12"/>
    <m/>
    <m/>
    <m/>
    <m/>
    <m/>
    <m/>
    <m/>
  </r>
  <r>
    <x v="12"/>
    <m/>
    <m/>
    <m/>
    <m/>
    <m/>
    <m/>
    <m/>
  </r>
  <r>
    <x v="12"/>
    <m/>
    <m/>
    <m/>
    <m/>
    <m/>
    <m/>
    <m/>
  </r>
  <r>
    <x v="12"/>
    <m/>
    <m/>
    <m/>
    <m/>
    <m/>
    <m/>
    <m/>
  </r>
  <r>
    <x v="12"/>
    <m/>
    <m/>
    <m/>
    <m/>
    <m/>
    <m/>
    <m/>
  </r>
  <r>
    <x v="12"/>
    <m/>
    <m/>
    <m/>
    <m/>
    <m/>
    <m/>
    <m/>
  </r>
  <r>
    <x v="12"/>
    <m/>
    <m/>
    <m/>
    <m/>
    <m/>
    <m/>
    <m/>
  </r>
  <r>
    <x v="12"/>
    <m/>
    <m/>
    <m/>
    <m/>
    <m/>
    <m/>
    <m/>
  </r>
  <r>
    <x v="12"/>
    <m/>
    <m/>
    <m/>
    <m/>
    <m/>
    <m/>
    <m/>
  </r>
  <r>
    <x v="12"/>
    <m/>
    <m/>
    <m/>
    <m/>
    <m/>
    <m/>
    <m/>
  </r>
  <r>
    <x v="12"/>
    <m/>
    <m/>
    <m/>
    <m/>
    <m/>
    <m/>
    <m/>
  </r>
  <r>
    <x v="12"/>
    <m/>
    <m/>
    <m/>
    <m/>
    <m/>
    <m/>
    <m/>
  </r>
  <r>
    <x v="12"/>
    <m/>
    <m/>
    <m/>
    <m/>
    <m/>
    <m/>
    <m/>
  </r>
  <r>
    <x v="12"/>
    <m/>
    <m/>
    <m/>
    <m/>
    <m/>
    <m/>
    <m/>
  </r>
  <r>
    <x v="12"/>
    <m/>
    <m/>
    <m/>
    <m/>
    <m/>
    <m/>
    <m/>
  </r>
  <r>
    <x v="12"/>
    <m/>
    <m/>
    <m/>
    <m/>
    <m/>
    <m/>
    <m/>
  </r>
  <r>
    <x v="12"/>
    <m/>
    <m/>
    <m/>
    <m/>
    <m/>
    <m/>
    <m/>
  </r>
  <r>
    <x v="12"/>
    <m/>
    <m/>
    <m/>
    <m/>
    <m/>
    <m/>
    <m/>
  </r>
  <r>
    <x v="12"/>
    <m/>
    <m/>
    <m/>
    <m/>
    <m/>
    <m/>
    <m/>
  </r>
  <r>
    <x v="12"/>
    <m/>
    <m/>
    <m/>
    <m/>
    <m/>
    <m/>
    <m/>
  </r>
  <r>
    <x v="12"/>
    <m/>
    <m/>
    <m/>
    <m/>
    <m/>
    <m/>
    <m/>
  </r>
  <r>
    <x v="12"/>
    <m/>
    <m/>
    <m/>
    <m/>
    <m/>
    <m/>
    <m/>
  </r>
  <r>
    <x v="12"/>
    <m/>
    <m/>
    <m/>
    <m/>
    <m/>
    <m/>
    <m/>
  </r>
  <r>
    <x v="12"/>
    <m/>
    <m/>
    <m/>
    <m/>
    <m/>
    <m/>
    <m/>
  </r>
  <r>
    <x v="12"/>
    <m/>
    <m/>
    <m/>
    <m/>
    <m/>
    <m/>
    <m/>
  </r>
  <r>
    <x v="12"/>
    <m/>
    <m/>
    <m/>
    <m/>
    <m/>
    <m/>
    <m/>
  </r>
  <r>
    <x v="12"/>
    <m/>
    <m/>
    <m/>
    <m/>
    <m/>
    <m/>
    <m/>
  </r>
  <r>
    <x v="12"/>
    <m/>
    <m/>
    <m/>
    <m/>
    <m/>
    <m/>
    <m/>
  </r>
  <r>
    <x v="12"/>
    <m/>
    <m/>
    <m/>
    <m/>
    <m/>
    <m/>
    <m/>
  </r>
  <r>
    <x v="12"/>
    <m/>
    <m/>
    <m/>
    <m/>
    <m/>
    <m/>
    <m/>
  </r>
  <r>
    <x v="12"/>
    <m/>
    <m/>
    <m/>
    <m/>
    <m/>
    <m/>
    <m/>
  </r>
  <r>
    <x v="12"/>
    <m/>
    <m/>
    <m/>
    <m/>
    <m/>
    <m/>
    <m/>
  </r>
  <r>
    <x v="12"/>
    <m/>
    <m/>
    <m/>
    <m/>
    <m/>
    <m/>
    <m/>
  </r>
  <r>
    <x v="12"/>
    <m/>
    <m/>
    <m/>
    <m/>
    <m/>
    <m/>
    <m/>
  </r>
  <r>
    <x v="12"/>
    <m/>
    <m/>
    <m/>
    <m/>
    <m/>
    <m/>
    <m/>
  </r>
  <r>
    <x v="12"/>
    <m/>
    <m/>
    <m/>
    <m/>
    <m/>
    <m/>
    <m/>
  </r>
  <r>
    <x v="12"/>
    <m/>
    <m/>
    <m/>
    <m/>
    <m/>
    <m/>
    <m/>
  </r>
  <r>
    <x v="12"/>
    <m/>
    <m/>
    <m/>
    <m/>
    <m/>
    <m/>
    <m/>
  </r>
  <r>
    <x v="12"/>
    <m/>
    <m/>
    <m/>
    <m/>
    <m/>
    <m/>
    <m/>
  </r>
  <r>
    <x v="12"/>
    <m/>
    <m/>
    <m/>
    <m/>
    <m/>
    <m/>
    <m/>
  </r>
  <r>
    <x v="12"/>
    <m/>
    <m/>
    <m/>
    <m/>
    <m/>
    <m/>
    <m/>
  </r>
  <r>
    <x v="12"/>
    <m/>
    <m/>
    <m/>
    <m/>
    <m/>
    <m/>
    <m/>
  </r>
  <r>
    <x v="12"/>
    <m/>
    <m/>
    <m/>
    <m/>
    <m/>
    <m/>
    <m/>
  </r>
  <r>
    <x v="12"/>
    <m/>
    <m/>
    <m/>
    <m/>
    <m/>
    <m/>
    <m/>
  </r>
  <r>
    <x v="12"/>
    <m/>
    <m/>
    <m/>
    <m/>
    <m/>
    <m/>
    <m/>
  </r>
  <r>
    <x v="12"/>
    <m/>
    <m/>
    <m/>
    <m/>
    <m/>
    <m/>
    <m/>
  </r>
  <r>
    <x v="12"/>
    <m/>
    <m/>
    <m/>
    <m/>
    <m/>
    <m/>
    <m/>
  </r>
  <r>
    <x v="12"/>
    <m/>
    <m/>
    <m/>
    <m/>
    <m/>
    <m/>
    <m/>
  </r>
  <r>
    <x v="12"/>
    <m/>
    <m/>
    <m/>
    <m/>
    <m/>
    <m/>
    <m/>
  </r>
  <r>
    <x v="12"/>
    <m/>
    <m/>
    <m/>
    <m/>
    <m/>
    <m/>
    <m/>
  </r>
  <r>
    <x v="12"/>
    <m/>
    <m/>
    <m/>
    <m/>
    <m/>
    <m/>
    <m/>
  </r>
  <r>
    <x v="12"/>
    <m/>
    <m/>
    <m/>
    <m/>
    <m/>
    <m/>
    <m/>
  </r>
  <r>
    <x v="12"/>
    <m/>
    <m/>
    <m/>
    <m/>
    <m/>
    <m/>
    <m/>
  </r>
  <r>
    <x v="12"/>
    <m/>
    <m/>
    <m/>
    <m/>
    <m/>
    <m/>
    <m/>
  </r>
  <r>
    <x v="12"/>
    <m/>
    <m/>
    <m/>
    <m/>
    <m/>
    <m/>
    <m/>
  </r>
  <r>
    <x v="12"/>
    <m/>
    <m/>
    <m/>
    <m/>
    <m/>
    <m/>
    <m/>
  </r>
  <r>
    <x v="12"/>
    <m/>
    <m/>
    <m/>
    <m/>
    <m/>
    <m/>
    <m/>
  </r>
  <r>
    <x v="12"/>
    <m/>
    <m/>
    <m/>
    <m/>
    <m/>
    <m/>
    <m/>
  </r>
  <r>
    <x v="12"/>
    <m/>
    <m/>
    <m/>
    <m/>
    <m/>
    <m/>
    <m/>
  </r>
  <r>
    <x v="12"/>
    <m/>
    <m/>
    <m/>
    <m/>
    <m/>
    <m/>
    <m/>
  </r>
  <r>
    <x v="12"/>
    <m/>
    <m/>
    <m/>
    <m/>
    <m/>
    <m/>
    <m/>
  </r>
  <r>
    <x v="12"/>
    <m/>
    <m/>
    <m/>
    <m/>
    <m/>
    <m/>
    <m/>
  </r>
  <r>
    <x v="12"/>
    <m/>
    <m/>
    <m/>
    <m/>
    <m/>
    <m/>
    <m/>
  </r>
  <r>
    <x v="12"/>
    <m/>
    <m/>
    <m/>
    <m/>
    <m/>
    <m/>
    <m/>
  </r>
  <r>
    <x v="12"/>
    <m/>
    <m/>
    <m/>
    <m/>
    <m/>
    <m/>
    <m/>
  </r>
  <r>
    <x v="12"/>
    <m/>
    <m/>
    <m/>
    <m/>
    <m/>
    <m/>
    <m/>
  </r>
  <r>
    <x v="12"/>
    <m/>
    <m/>
    <m/>
    <m/>
    <m/>
    <m/>
    <m/>
  </r>
  <r>
    <x v="12"/>
    <m/>
    <m/>
    <m/>
    <m/>
    <m/>
    <m/>
    <m/>
  </r>
  <r>
    <x v="12"/>
    <m/>
    <m/>
    <m/>
    <m/>
    <m/>
    <m/>
    <m/>
  </r>
  <r>
    <x v="12"/>
    <m/>
    <m/>
    <m/>
    <m/>
    <m/>
    <m/>
    <m/>
  </r>
  <r>
    <x v="12"/>
    <m/>
    <m/>
    <m/>
    <m/>
    <m/>
    <m/>
    <m/>
  </r>
  <r>
    <x v="12"/>
    <m/>
    <m/>
    <m/>
    <m/>
    <m/>
    <m/>
    <m/>
  </r>
  <r>
    <x v="12"/>
    <m/>
    <m/>
    <m/>
    <m/>
    <m/>
    <m/>
    <m/>
  </r>
  <r>
    <x v="12"/>
    <m/>
    <m/>
    <m/>
    <m/>
    <m/>
    <m/>
    <m/>
  </r>
  <r>
    <x v="12"/>
    <m/>
    <m/>
    <m/>
    <m/>
    <m/>
    <m/>
    <m/>
  </r>
  <r>
    <x v="12"/>
    <m/>
    <m/>
    <m/>
    <m/>
    <m/>
    <m/>
    <m/>
  </r>
  <r>
    <x v="12"/>
    <m/>
    <m/>
    <m/>
    <m/>
    <m/>
    <m/>
    <m/>
  </r>
  <r>
    <x v="12"/>
    <m/>
    <m/>
    <m/>
    <m/>
    <m/>
    <m/>
    <m/>
  </r>
  <r>
    <x v="12"/>
    <m/>
    <m/>
    <m/>
    <m/>
    <m/>
    <m/>
    <m/>
  </r>
  <r>
    <x v="12"/>
    <m/>
    <m/>
    <m/>
    <m/>
    <m/>
    <m/>
    <m/>
  </r>
  <r>
    <x v="12"/>
    <m/>
    <m/>
    <m/>
    <m/>
    <m/>
    <m/>
    <m/>
  </r>
  <r>
    <x v="12"/>
    <m/>
    <m/>
    <m/>
    <m/>
    <m/>
    <m/>
    <m/>
  </r>
  <r>
    <x v="12"/>
    <m/>
    <m/>
    <m/>
    <m/>
    <m/>
    <m/>
    <m/>
  </r>
  <r>
    <x v="12"/>
    <m/>
    <m/>
    <m/>
    <m/>
    <m/>
    <m/>
    <m/>
  </r>
  <r>
    <x v="12"/>
    <m/>
    <m/>
    <m/>
    <m/>
    <m/>
    <m/>
    <m/>
  </r>
  <r>
    <x v="12"/>
    <m/>
    <m/>
    <m/>
    <m/>
    <m/>
    <m/>
    <m/>
  </r>
  <r>
    <x v="12"/>
    <m/>
    <m/>
    <m/>
    <m/>
    <m/>
    <m/>
    <m/>
  </r>
  <r>
    <x v="12"/>
    <m/>
    <m/>
    <m/>
    <m/>
    <m/>
    <m/>
    <m/>
  </r>
  <r>
    <x v="12"/>
    <m/>
    <m/>
    <m/>
    <m/>
    <m/>
    <m/>
    <m/>
  </r>
  <r>
    <x v="12"/>
    <m/>
    <m/>
    <m/>
    <m/>
    <m/>
    <m/>
    <m/>
  </r>
  <r>
    <x v="12"/>
    <m/>
    <m/>
    <m/>
    <m/>
    <m/>
    <m/>
    <m/>
  </r>
  <r>
    <x v="12"/>
    <m/>
    <m/>
    <m/>
    <m/>
    <m/>
    <m/>
    <m/>
  </r>
  <r>
    <x v="12"/>
    <m/>
    <m/>
    <m/>
    <m/>
    <m/>
    <m/>
    <m/>
  </r>
  <r>
    <x v="12"/>
    <m/>
    <m/>
    <m/>
    <m/>
    <m/>
    <m/>
    <m/>
  </r>
  <r>
    <x v="12"/>
    <m/>
    <m/>
    <m/>
    <m/>
    <m/>
    <m/>
    <m/>
  </r>
  <r>
    <x v="12"/>
    <m/>
    <m/>
    <m/>
    <m/>
    <m/>
    <m/>
    <m/>
  </r>
  <r>
    <x v="12"/>
    <m/>
    <m/>
    <m/>
    <m/>
    <m/>
    <m/>
    <m/>
  </r>
  <r>
    <x v="12"/>
    <m/>
    <m/>
    <m/>
    <m/>
    <m/>
    <m/>
    <m/>
  </r>
  <r>
    <x v="12"/>
    <m/>
    <m/>
    <m/>
    <m/>
    <m/>
    <m/>
    <m/>
  </r>
  <r>
    <x v="12"/>
    <m/>
    <m/>
    <m/>
    <m/>
    <m/>
    <m/>
    <m/>
  </r>
  <r>
    <x v="12"/>
    <m/>
    <m/>
    <m/>
    <m/>
    <m/>
    <m/>
    <m/>
  </r>
  <r>
    <x v="12"/>
    <m/>
    <m/>
    <m/>
    <m/>
    <m/>
    <m/>
    <m/>
  </r>
  <r>
    <x v="12"/>
    <m/>
    <m/>
    <m/>
    <m/>
    <m/>
    <m/>
    <m/>
  </r>
  <r>
    <x v="12"/>
    <m/>
    <m/>
    <m/>
    <m/>
    <m/>
    <m/>
    <m/>
  </r>
  <r>
    <x v="12"/>
    <m/>
    <m/>
    <m/>
    <m/>
    <m/>
    <m/>
    <m/>
  </r>
  <r>
    <x v="12"/>
    <m/>
    <m/>
    <m/>
    <m/>
    <m/>
    <m/>
    <m/>
  </r>
  <r>
    <x v="12"/>
    <m/>
    <m/>
    <m/>
    <m/>
    <m/>
    <m/>
    <m/>
  </r>
  <r>
    <x v="12"/>
    <m/>
    <m/>
    <m/>
    <m/>
    <m/>
    <m/>
    <m/>
  </r>
  <r>
    <x v="12"/>
    <m/>
    <m/>
    <m/>
    <m/>
    <m/>
    <m/>
    <m/>
  </r>
  <r>
    <x v="12"/>
    <m/>
    <m/>
    <m/>
    <m/>
    <m/>
    <m/>
    <m/>
  </r>
  <r>
    <x v="12"/>
    <m/>
    <m/>
    <m/>
    <m/>
    <m/>
    <m/>
    <m/>
  </r>
  <r>
    <x v="12"/>
    <m/>
    <m/>
    <m/>
    <m/>
    <m/>
    <m/>
    <m/>
  </r>
  <r>
    <x v="12"/>
    <m/>
    <m/>
    <m/>
    <m/>
    <m/>
    <m/>
    <m/>
  </r>
  <r>
    <x v="12"/>
    <m/>
    <m/>
    <m/>
    <m/>
    <m/>
    <m/>
    <m/>
  </r>
  <r>
    <x v="12"/>
    <m/>
    <m/>
    <m/>
    <m/>
    <m/>
    <m/>
    <m/>
  </r>
  <r>
    <x v="12"/>
    <m/>
    <m/>
    <m/>
    <m/>
    <m/>
    <m/>
    <m/>
  </r>
  <r>
    <x v="12"/>
    <m/>
    <m/>
    <m/>
    <m/>
    <m/>
    <m/>
    <m/>
  </r>
  <r>
    <x v="12"/>
    <m/>
    <m/>
    <m/>
    <m/>
    <m/>
    <m/>
    <m/>
  </r>
  <r>
    <x v="12"/>
    <m/>
    <m/>
    <m/>
    <m/>
    <m/>
    <m/>
    <m/>
  </r>
  <r>
    <x v="12"/>
    <m/>
    <m/>
    <m/>
    <m/>
    <m/>
    <m/>
    <m/>
  </r>
  <r>
    <x v="12"/>
    <m/>
    <m/>
    <m/>
    <m/>
    <m/>
    <m/>
    <m/>
  </r>
  <r>
    <x v="12"/>
    <m/>
    <m/>
    <m/>
    <m/>
    <m/>
    <m/>
    <m/>
  </r>
  <r>
    <x v="12"/>
    <m/>
    <m/>
    <m/>
    <m/>
    <m/>
    <m/>
    <m/>
  </r>
  <r>
    <x v="12"/>
    <m/>
    <m/>
    <m/>
    <m/>
    <m/>
    <m/>
    <m/>
  </r>
  <r>
    <x v="12"/>
    <m/>
    <m/>
    <m/>
    <m/>
    <m/>
    <m/>
    <m/>
  </r>
  <r>
    <x v="12"/>
    <m/>
    <m/>
    <m/>
    <m/>
    <m/>
    <m/>
    <m/>
  </r>
  <r>
    <x v="12"/>
    <m/>
    <m/>
    <m/>
    <m/>
    <m/>
    <m/>
    <m/>
  </r>
  <r>
    <x v="12"/>
    <m/>
    <m/>
    <m/>
    <m/>
    <m/>
    <m/>
    <m/>
  </r>
  <r>
    <x v="12"/>
    <m/>
    <m/>
    <m/>
    <m/>
    <m/>
    <m/>
    <m/>
  </r>
  <r>
    <x v="12"/>
    <m/>
    <m/>
    <m/>
    <m/>
    <m/>
    <m/>
    <m/>
  </r>
  <r>
    <x v="12"/>
    <m/>
    <m/>
    <m/>
    <m/>
    <m/>
    <m/>
    <m/>
  </r>
  <r>
    <x v="12"/>
    <m/>
    <m/>
    <m/>
    <m/>
    <m/>
    <m/>
    <m/>
  </r>
  <r>
    <x v="12"/>
    <m/>
    <m/>
    <m/>
    <m/>
    <m/>
    <m/>
    <m/>
  </r>
  <r>
    <x v="12"/>
    <m/>
    <m/>
    <m/>
    <m/>
    <m/>
    <m/>
    <m/>
  </r>
  <r>
    <x v="12"/>
    <m/>
    <m/>
    <m/>
    <m/>
    <m/>
    <m/>
    <m/>
  </r>
  <r>
    <x v="12"/>
    <m/>
    <m/>
    <m/>
    <m/>
    <m/>
    <m/>
    <m/>
  </r>
  <r>
    <x v="12"/>
    <m/>
    <m/>
    <m/>
    <m/>
    <m/>
    <m/>
    <m/>
  </r>
  <r>
    <x v="12"/>
    <m/>
    <m/>
    <m/>
    <m/>
    <m/>
    <m/>
    <m/>
  </r>
  <r>
    <x v="12"/>
    <m/>
    <m/>
    <m/>
    <m/>
    <m/>
    <m/>
    <m/>
  </r>
  <r>
    <x v="12"/>
    <m/>
    <m/>
    <m/>
    <m/>
    <m/>
    <m/>
    <m/>
  </r>
  <r>
    <x v="12"/>
    <m/>
    <m/>
    <m/>
    <m/>
    <m/>
    <m/>
    <m/>
  </r>
  <r>
    <x v="12"/>
    <m/>
    <m/>
    <m/>
    <m/>
    <m/>
    <m/>
    <m/>
  </r>
  <r>
    <x v="12"/>
    <m/>
    <m/>
    <m/>
    <m/>
    <m/>
    <m/>
    <m/>
  </r>
  <r>
    <x v="12"/>
    <m/>
    <m/>
    <m/>
    <m/>
    <m/>
    <m/>
    <m/>
  </r>
  <r>
    <x v="12"/>
    <m/>
    <m/>
    <m/>
    <m/>
    <m/>
    <m/>
    <m/>
  </r>
  <r>
    <x v="12"/>
    <m/>
    <m/>
    <m/>
    <m/>
    <m/>
    <m/>
    <m/>
  </r>
  <r>
    <x v="12"/>
    <m/>
    <m/>
    <m/>
    <m/>
    <m/>
    <m/>
    <m/>
  </r>
  <r>
    <x v="12"/>
    <m/>
    <m/>
    <m/>
    <m/>
    <m/>
    <m/>
    <m/>
  </r>
  <r>
    <x v="12"/>
    <m/>
    <m/>
    <m/>
    <m/>
    <m/>
    <m/>
    <m/>
  </r>
  <r>
    <x v="12"/>
    <m/>
    <m/>
    <m/>
    <m/>
    <m/>
    <m/>
    <m/>
  </r>
  <r>
    <x v="12"/>
    <m/>
    <m/>
    <m/>
    <m/>
    <m/>
    <m/>
    <m/>
  </r>
  <r>
    <x v="12"/>
    <m/>
    <m/>
    <m/>
    <m/>
    <m/>
    <m/>
    <m/>
  </r>
  <r>
    <x v="12"/>
    <m/>
    <m/>
    <m/>
    <m/>
    <m/>
    <m/>
    <m/>
  </r>
  <r>
    <x v="12"/>
    <m/>
    <m/>
    <m/>
    <m/>
    <m/>
    <m/>
    <m/>
  </r>
  <r>
    <x v="12"/>
    <m/>
    <m/>
    <m/>
    <m/>
    <m/>
    <m/>
    <m/>
  </r>
  <r>
    <x v="12"/>
    <m/>
    <m/>
    <m/>
    <m/>
    <m/>
    <m/>
    <m/>
  </r>
  <r>
    <x v="12"/>
    <m/>
    <m/>
    <m/>
    <m/>
    <m/>
    <m/>
    <m/>
  </r>
  <r>
    <x v="12"/>
    <m/>
    <m/>
    <m/>
    <m/>
    <m/>
    <m/>
    <m/>
  </r>
  <r>
    <x v="12"/>
    <m/>
    <m/>
    <m/>
    <m/>
    <m/>
    <m/>
    <m/>
  </r>
  <r>
    <x v="12"/>
    <m/>
    <m/>
    <m/>
    <m/>
    <m/>
    <m/>
    <m/>
  </r>
  <r>
    <x v="12"/>
    <m/>
    <m/>
    <m/>
    <m/>
    <m/>
    <m/>
    <m/>
  </r>
  <r>
    <x v="12"/>
    <m/>
    <m/>
    <m/>
    <m/>
    <m/>
    <m/>
    <m/>
  </r>
  <r>
    <x v="12"/>
    <m/>
    <m/>
    <m/>
    <m/>
    <m/>
    <m/>
    <m/>
  </r>
  <r>
    <x v="12"/>
    <m/>
    <m/>
    <m/>
    <m/>
    <m/>
    <m/>
    <m/>
  </r>
  <r>
    <x v="12"/>
    <m/>
    <m/>
    <m/>
    <m/>
    <m/>
    <m/>
    <m/>
  </r>
  <r>
    <x v="12"/>
    <m/>
    <m/>
    <m/>
    <m/>
    <m/>
    <m/>
    <m/>
  </r>
  <r>
    <x v="12"/>
    <m/>
    <m/>
    <m/>
    <m/>
    <m/>
    <m/>
    <m/>
  </r>
  <r>
    <x v="12"/>
    <m/>
    <m/>
    <m/>
    <m/>
    <m/>
    <m/>
    <m/>
  </r>
  <r>
    <x v="12"/>
    <m/>
    <m/>
    <m/>
    <m/>
    <m/>
    <m/>
    <m/>
  </r>
  <r>
    <x v="12"/>
    <m/>
    <m/>
    <m/>
    <m/>
    <m/>
    <m/>
    <m/>
  </r>
  <r>
    <x v="12"/>
    <m/>
    <m/>
    <m/>
    <m/>
    <m/>
    <m/>
    <m/>
  </r>
  <r>
    <x v="12"/>
    <m/>
    <m/>
    <m/>
    <m/>
    <m/>
    <m/>
    <m/>
  </r>
  <r>
    <x v="12"/>
    <m/>
    <m/>
    <m/>
    <m/>
    <m/>
    <m/>
    <m/>
  </r>
  <r>
    <x v="12"/>
    <m/>
    <m/>
    <m/>
    <m/>
    <m/>
    <m/>
    <m/>
  </r>
  <r>
    <x v="12"/>
    <m/>
    <m/>
    <m/>
    <m/>
    <m/>
    <m/>
    <m/>
  </r>
  <r>
    <x v="12"/>
    <m/>
    <m/>
    <m/>
    <m/>
    <m/>
    <m/>
    <m/>
  </r>
  <r>
    <x v="12"/>
    <m/>
    <m/>
    <m/>
    <m/>
    <m/>
    <m/>
    <m/>
  </r>
  <r>
    <x v="12"/>
    <m/>
    <m/>
    <m/>
    <m/>
    <m/>
    <m/>
    <m/>
  </r>
  <r>
    <x v="12"/>
    <m/>
    <m/>
    <m/>
    <m/>
    <m/>
    <m/>
    <m/>
  </r>
  <r>
    <x v="12"/>
    <m/>
    <m/>
    <m/>
    <m/>
    <m/>
    <m/>
    <m/>
  </r>
  <r>
    <x v="12"/>
    <m/>
    <m/>
    <m/>
    <m/>
    <m/>
    <m/>
    <m/>
  </r>
  <r>
    <x v="12"/>
    <m/>
    <m/>
    <m/>
    <m/>
    <m/>
    <m/>
    <m/>
  </r>
  <r>
    <x v="12"/>
    <m/>
    <m/>
    <m/>
    <m/>
    <m/>
    <m/>
    <m/>
  </r>
  <r>
    <x v="12"/>
    <m/>
    <m/>
    <m/>
    <m/>
    <m/>
    <m/>
    <m/>
  </r>
  <r>
    <x v="12"/>
    <m/>
    <m/>
    <m/>
    <m/>
    <m/>
    <m/>
    <m/>
  </r>
  <r>
    <x v="12"/>
    <m/>
    <m/>
    <m/>
    <m/>
    <m/>
    <m/>
    <m/>
  </r>
  <r>
    <x v="12"/>
    <m/>
    <m/>
    <m/>
    <m/>
    <m/>
    <m/>
    <m/>
  </r>
  <r>
    <x v="12"/>
    <m/>
    <m/>
    <m/>
    <m/>
    <m/>
    <m/>
    <m/>
  </r>
  <r>
    <x v="12"/>
    <m/>
    <m/>
    <m/>
    <m/>
    <m/>
    <m/>
    <m/>
  </r>
  <r>
    <x v="12"/>
    <m/>
    <m/>
    <m/>
    <m/>
    <m/>
    <m/>
    <m/>
  </r>
  <r>
    <x v="12"/>
    <m/>
    <m/>
    <m/>
    <m/>
    <m/>
    <m/>
    <m/>
  </r>
  <r>
    <x v="12"/>
    <m/>
    <m/>
    <m/>
    <m/>
    <m/>
    <m/>
    <m/>
  </r>
  <r>
    <x v="12"/>
    <m/>
    <m/>
    <m/>
    <m/>
    <m/>
    <m/>
    <m/>
  </r>
  <r>
    <x v="12"/>
    <m/>
    <m/>
    <m/>
    <m/>
    <m/>
    <m/>
    <m/>
  </r>
  <r>
    <x v="12"/>
    <m/>
    <m/>
    <m/>
    <m/>
    <m/>
    <m/>
    <m/>
  </r>
  <r>
    <x v="12"/>
    <m/>
    <m/>
    <m/>
    <m/>
    <m/>
    <m/>
    <m/>
  </r>
  <r>
    <x v="12"/>
    <m/>
    <m/>
    <m/>
    <m/>
    <m/>
    <m/>
    <m/>
  </r>
  <r>
    <x v="12"/>
    <m/>
    <m/>
    <m/>
    <m/>
    <m/>
    <m/>
    <m/>
  </r>
  <r>
    <x v="12"/>
    <m/>
    <m/>
    <m/>
    <m/>
    <m/>
    <m/>
    <m/>
  </r>
  <r>
    <x v="12"/>
    <m/>
    <m/>
    <m/>
    <m/>
    <m/>
    <m/>
    <m/>
  </r>
  <r>
    <x v="12"/>
    <m/>
    <m/>
    <m/>
    <m/>
    <m/>
    <m/>
    <m/>
  </r>
  <r>
    <x v="12"/>
    <m/>
    <m/>
    <m/>
    <m/>
    <m/>
    <m/>
    <m/>
  </r>
  <r>
    <x v="12"/>
    <m/>
    <m/>
    <m/>
    <m/>
    <m/>
    <m/>
    <m/>
  </r>
  <r>
    <x v="12"/>
    <m/>
    <m/>
    <m/>
    <m/>
    <m/>
    <m/>
    <m/>
  </r>
  <r>
    <x v="12"/>
    <m/>
    <m/>
    <m/>
    <m/>
    <m/>
    <m/>
    <m/>
  </r>
  <r>
    <x v="12"/>
    <m/>
    <m/>
    <m/>
    <m/>
    <m/>
    <m/>
    <m/>
  </r>
  <r>
    <x v="12"/>
    <m/>
    <m/>
    <m/>
    <m/>
    <m/>
    <m/>
    <m/>
  </r>
  <r>
    <x v="12"/>
    <m/>
    <m/>
    <m/>
    <m/>
    <m/>
    <m/>
    <m/>
  </r>
  <r>
    <x v="12"/>
    <m/>
    <m/>
    <m/>
    <m/>
    <m/>
    <m/>
    <m/>
  </r>
  <r>
    <x v="12"/>
    <m/>
    <m/>
    <m/>
    <m/>
    <m/>
    <m/>
    <m/>
  </r>
  <r>
    <x v="12"/>
    <m/>
    <m/>
    <m/>
    <m/>
    <m/>
    <m/>
    <m/>
  </r>
  <r>
    <x v="12"/>
    <m/>
    <m/>
    <m/>
    <m/>
    <m/>
    <m/>
    <m/>
  </r>
  <r>
    <x v="12"/>
    <m/>
    <m/>
    <m/>
    <m/>
    <m/>
    <m/>
    <m/>
  </r>
  <r>
    <x v="12"/>
    <m/>
    <m/>
    <m/>
    <m/>
    <m/>
    <m/>
    <m/>
  </r>
  <r>
    <x v="12"/>
    <m/>
    <m/>
    <m/>
    <m/>
    <m/>
    <m/>
    <m/>
  </r>
  <r>
    <x v="12"/>
    <m/>
    <m/>
    <m/>
    <m/>
    <m/>
    <m/>
    <m/>
  </r>
  <r>
    <x v="12"/>
    <m/>
    <m/>
    <m/>
    <m/>
    <m/>
    <m/>
    <m/>
  </r>
  <r>
    <x v="12"/>
    <m/>
    <m/>
    <m/>
    <m/>
    <m/>
    <m/>
    <m/>
  </r>
  <r>
    <x v="12"/>
    <m/>
    <m/>
    <m/>
    <m/>
    <m/>
    <m/>
    <m/>
  </r>
  <r>
    <x v="12"/>
    <m/>
    <m/>
    <m/>
    <m/>
    <m/>
    <m/>
    <m/>
  </r>
  <r>
    <x v="12"/>
    <m/>
    <m/>
    <m/>
    <m/>
    <m/>
    <m/>
    <m/>
  </r>
  <r>
    <x v="12"/>
    <m/>
    <m/>
    <m/>
    <m/>
    <m/>
    <m/>
    <m/>
  </r>
  <r>
    <x v="12"/>
    <m/>
    <m/>
    <m/>
    <m/>
    <m/>
    <m/>
    <m/>
  </r>
  <r>
    <x v="12"/>
    <m/>
    <m/>
    <m/>
    <m/>
    <m/>
    <m/>
    <m/>
  </r>
  <r>
    <x v="12"/>
    <m/>
    <m/>
    <m/>
    <m/>
    <m/>
    <m/>
    <m/>
  </r>
  <r>
    <x v="12"/>
    <m/>
    <m/>
    <m/>
    <m/>
    <m/>
    <m/>
    <m/>
  </r>
  <r>
    <x v="12"/>
    <m/>
    <m/>
    <m/>
    <m/>
    <m/>
    <m/>
    <m/>
  </r>
  <r>
    <x v="12"/>
    <m/>
    <m/>
    <m/>
    <m/>
    <m/>
    <m/>
    <m/>
  </r>
  <r>
    <x v="12"/>
    <m/>
    <m/>
    <m/>
    <m/>
    <m/>
    <m/>
    <m/>
  </r>
  <r>
    <x v="12"/>
    <m/>
    <m/>
    <m/>
    <m/>
    <m/>
    <m/>
    <m/>
  </r>
  <r>
    <x v="12"/>
    <m/>
    <m/>
    <m/>
    <m/>
    <m/>
    <m/>
    <m/>
  </r>
  <r>
    <x v="12"/>
    <m/>
    <m/>
    <m/>
    <m/>
    <m/>
    <m/>
    <m/>
  </r>
  <r>
    <x v="12"/>
    <m/>
    <m/>
    <m/>
    <m/>
    <m/>
    <m/>
    <m/>
  </r>
  <r>
    <x v="12"/>
    <m/>
    <m/>
    <m/>
    <m/>
    <m/>
    <m/>
    <m/>
  </r>
  <r>
    <x v="12"/>
    <m/>
    <m/>
    <m/>
    <m/>
    <m/>
    <m/>
    <m/>
  </r>
  <r>
    <x v="12"/>
    <m/>
    <m/>
    <m/>
    <m/>
    <m/>
    <m/>
    <m/>
  </r>
  <r>
    <x v="12"/>
    <m/>
    <m/>
    <m/>
    <m/>
    <m/>
    <m/>
    <m/>
  </r>
  <r>
    <x v="12"/>
    <m/>
    <m/>
    <m/>
    <m/>
    <m/>
    <m/>
    <m/>
  </r>
  <r>
    <x v="12"/>
    <m/>
    <m/>
    <m/>
    <m/>
    <m/>
    <m/>
    <m/>
  </r>
  <r>
    <x v="12"/>
    <m/>
    <m/>
    <m/>
    <m/>
    <m/>
    <m/>
    <m/>
  </r>
  <r>
    <x v="12"/>
    <m/>
    <m/>
    <m/>
    <m/>
    <m/>
    <m/>
    <m/>
  </r>
  <r>
    <x v="12"/>
    <m/>
    <m/>
    <m/>
    <m/>
    <m/>
    <m/>
    <m/>
  </r>
  <r>
    <x v="12"/>
    <m/>
    <m/>
    <m/>
    <m/>
    <m/>
    <m/>
    <m/>
  </r>
  <r>
    <x v="12"/>
    <m/>
    <m/>
    <m/>
    <m/>
    <m/>
    <m/>
    <m/>
  </r>
  <r>
    <x v="12"/>
    <m/>
    <m/>
    <m/>
    <m/>
    <m/>
    <m/>
    <m/>
  </r>
  <r>
    <x v="12"/>
    <m/>
    <m/>
    <m/>
    <m/>
    <m/>
    <m/>
    <m/>
  </r>
  <r>
    <x v="12"/>
    <m/>
    <m/>
    <m/>
    <m/>
    <m/>
    <m/>
    <m/>
  </r>
  <r>
    <x v="12"/>
    <m/>
    <m/>
    <m/>
    <m/>
    <m/>
    <m/>
    <m/>
  </r>
  <r>
    <x v="12"/>
    <m/>
    <m/>
    <m/>
    <m/>
    <m/>
    <m/>
    <m/>
  </r>
  <r>
    <x v="12"/>
    <m/>
    <m/>
    <m/>
    <m/>
    <m/>
    <m/>
    <m/>
  </r>
  <r>
    <x v="12"/>
    <m/>
    <m/>
    <m/>
    <m/>
    <m/>
    <m/>
    <m/>
  </r>
  <r>
    <x v="12"/>
    <m/>
    <m/>
    <m/>
    <m/>
    <m/>
    <m/>
    <m/>
  </r>
  <r>
    <x v="12"/>
    <m/>
    <m/>
    <m/>
    <m/>
    <m/>
    <m/>
    <m/>
  </r>
  <r>
    <x v="12"/>
    <m/>
    <m/>
    <m/>
    <m/>
    <m/>
    <m/>
    <m/>
  </r>
  <r>
    <x v="12"/>
    <m/>
    <m/>
    <m/>
    <m/>
    <m/>
    <m/>
    <m/>
  </r>
  <r>
    <x v="12"/>
    <m/>
    <m/>
    <m/>
    <m/>
    <m/>
    <m/>
    <m/>
  </r>
  <r>
    <x v="12"/>
    <m/>
    <m/>
    <m/>
    <m/>
    <m/>
    <m/>
    <m/>
  </r>
  <r>
    <x v="12"/>
    <m/>
    <m/>
    <m/>
    <m/>
    <m/>
    <m/>
    <m/>
  </r>
  <r>
    <x v="12"/>
    <m/>
    <m/>
    <m/>
    <m/>
    <m/>
    <m/>
    <m/>
  </r>
  <r>
    <x v="12"/>
    <m/>
    <m/>
    <m/>
    <m/>
    <m/>
    <m/>
    <m/>
  </r>
  <r>
    <x v="12"/>
    <m/>
    <m/>
    <m/>
    <m/>
    <m/>
    <m/>
    <m/>
  </r>
  <r>
    <x v="12"/>
    <m/>
    <m/>
    <m/>
    <m/>
    <m/>
    <m/>
    <m/>
  </r>
  <r>
    <x v="12"/>
    <m/>
    <m/>
    <m/>
    <m/>
    <m/>
    <m/>
    <m/>
  </r>
  <r>
    <x v="12"/>
    <m/>
    <m/>
    <m/>
    <m/>
    <m/>
    <m/>
    <m/>
  </r>
  <r>
    <x v="12"/>
    <m/>
    <m/>
    <m/>
    <m/>
    <m/>
    <m/>
    <m/>
  </r>
  <r>
    <x v="12"/>
    <m/>
    <m/>
    <m/>
    <m/>
    <m/>
    <m/>
    <m/>
  </r>
  <r>
    <x v="12"/>
    <m/>
    <m/>
    <m/>
    <m/>
    <m/>
    <m/>
    <m/>
  </r>
  <r>
    <x v="12"/>
    <m/>
    <m/>
    <m/>
    <m/>
    <m/>
    <m/>
    <m/>
  </r>
  <r>
    <x v="12"/>
    <m/>
    <m/>
    <m/>
    <m/>
    <m/>
    <m/>
    <m/>
  </r>
  <r>
    <x v="12"/>
    <m/>
    <m/>
    <m/>
    <m/>
    <m/>
    <m/>
    <m/>
  </r>
  <r>
    <x v="12"/>
    <m/>
    <m/>
    <m/>
    <m/>
    <m/>
    <m/>
    <m/>
  </r>
  <r>
    <x v="12"/>
    <m/>
    <m/>
    <m/>
    <m/>
    <m/>
    <m/>
    <m/>
  </r>
  <r>
    <x v="12"/>
    <m/>
    <m/>
    <m/>
    <m/>
    <m/>
    <m/>
    <m/>
  </r>
  <r>
    <x v="12"/>
    <m/>
    <m/>
    <m/>
    <m/>
    <m/>
    <m/>
    <m/>
  </r>
  <r>
    <x v="12"/>
    <m/>
    <m/>
    <m/>
    <m/>
    <m/>
    <m/>
    <m/>
  </r>
  <r>
    <x v="12"/>
    <m/>
    <m/>
    <m/>
    <m/>
    <m/>
    <m/>
    <m/>
  </r>
  <r>
    <x v="12"/>
    <m/>
    <m/>
    <m/>
    <m/>
    <m/>
    <m/>
    <m/>
  </r>
  <r>
    <x v="12"/>
    <m/>
    <m/>
    <m/>
    <m/>
    <m/>
    <m/>
    <m/>
  </r>
  <r>
    <x v="12"/>
    <m/>
    <m/>
    <m/>
    <m/>
    <m/>
    <m/>
    <m/>
  </r>
  <r>
    <x v="12"/>
    <m/>
    <m/>
    <m/>
    <m/>
    <m/>
    <m/>
    <m/>
  </r>
  <r>
    <x v="12"/>
    <m/>
    <m/>
    <m/>
    <m/>
    <m/>
    <m/>
    <m/>
  </r>
  <r>
    <x v="12"/>
    <m/>
    <m/>
    <m/>
    <m/>
    <m/>
    <m/>
    <m/>
  </r>
  <r>
    <x v="12"/>
    <m/>
    <m/>
    <m/>
    <m/>
    <m/>
    <m/>
    <m/>
  </r>
  <r>
    <x v="12"/>
    <m/>
    <m/>
    <m/>
    <m/>
    <m/>
    <m/>
    <m/>
  </r>
  <r>
    <x v="12"/>
    <m/>
    <m/>
    <m/>
    <m/>
    <m/>
    <m/>
    <m/>
  </r>
  <r>
    <x v="12"/>
    <m/>
    <m/>
    <m/>
    <m/>
    <m/>
    <m/>
    <m/>
  </r>
  <r>
    <x v="12"/>
    <m/>
    <m/>
    <m/>
    <m/>
    <m/>
    <m/>
    <m/>
  </r>
  <r>
    <x v="12"/>
    <m/>
    <m/>
    <m/>
    <m/>
    <m/>
    <m/>
    <m/>
  </r>
  <r>
    <x v="12"/>
    <m/>
    <m/>
    <m/>
    <m/>
    <m/>
    <m/>
    <m/>
  </r>
  <r>
    <x v="12"/>
    <m/>
    <m/>
    <m/>
    <m/>
    <m/>
    <m/>
    <m/>
  </r>
  <r>
    <x v="12"/>
    <m/>
    <m/>
    <m/>
    <m/>
    <m/>
    <m/>
    <m/>
  </r>
  <r>
    <x v="12"/>
    <m/>
    <m/>
    <m/>
    <m/>
    <m/>
    <m/>
    <m/>
  </r>
  <r>
    <x v="12"/>
    <m/>
    <m/>
    <m/>
    <m/>
    <m/>
    <m/>
    <m/>
  </r>
  <r>
    <x v="12"/>
    <m/>
    <m/>
    <m/>
    <m/>
    <m/>
    <m/>
    <m/>
  </r>
  <r>
    <x v="12"/>
    <m/>
    <m/>
    <m/>
    <m/>
    <m/>
    <m/>
    <m/>
  </r>
  <r>
    <x v="12"/>
    <m/>
    <m/>
    <m/>
    <m/>
    <m/>
    <m/>
    <m/>
  </r>
  <r>
    <x v="12"/>
    <m/>
    <m/>
    <m/>
    <m/>
    <m/>
    <m/>
    <m/>
  </r>
  <r>
    <x v="12"/>
    <m/>
    <m/>
    <m/>
    <m/>
    <m/>
    <m/>
    <m/>
  </r>
  <r>
    <x v="12"/>
    <m/>
    <m/>
    <m/>
    <m/>
    <m/>
    <m/>
    <m/>
  </r>
  <r>
    <x v="12"/>
    <m/>
    <m/>
    <m/>
    <m/>
    <m/>
    <m/>
    <m/>
  </r>
  <r>
    <x v="12"/>
    <m/>
    <m/>
    <m/>
    <m/>
    <m/>
    <m/>
    <m/>
  </r>
  <r>
    <x v="12"/>
    <m/>
    <m/>
    <m/>
    <m/>
    <m/>
    <m/>
    <m/>
  </r>
  <r>
    <x v="12"/>
    <m/>
    <m/>
    <m/>
    <m/>
    <m/>
    <m/>
    <m/>
  </r>
  <r>
    <x v="12"/>
    <m/>
    <m/>
    <m/>
    <m/>
    <m/>
    <m/>
    <m/>
  </r>
  <r>
    <x v="12"/>
    <m/>
    <m/>
    <m/>
    <m/>
    <m/>
    <m/>
    <m/>
  </r>
  <r>
    <x v="12"/>
    <m/>
    <m/>
    <m/>
    <m/>
    <m/>
    <m/>
    <m/>
  </r>
  <r>
    <x v="12"/>
    <m/>
    <m/>
    <m/>
    <m/>
    <m/>
    <m/>
    <m/>
  </r>
  <r>
    <x v="12"/>
    <m/>
    <m/>
    <m/>
    <m/>
    <m/>
    <m/>
    <m/>
  </r>
  <r>
    <x v="12"/>
    <m/>
    <m/>
    <m/>
    <m/>
    <m/>
    <m/>
    <m/>
  </r>
  <r>
    <x v="12"/>
    <m/>
    <m/>
    <m/>
    <m/>
    <m/>
    <m/>
    <m/>
  </r>
  <r>
    <x v="12"/>
    <m/>
    <m/>
    <m/>
    <m/>
    <m/>
    <m/>
    <m/>
  </r>
  <r>
    <x v="12"/>
    <m/>
    <m/>
    <m/>
    <m/>
    <m/>
    <m/>
    <m/>
  </r>
  <r>
    <x v="12"/>
    <m/>
    <m/>
    <m/>
    <m/>
    <m/>
    <m/>
    <m/>
  </r>
  <r>
    <x v="12"/>
    <m/>
    <m/>
    <m/>
    <m/>
    <m/>
    <m/>
    <m/>
  </r>
  <r>
    <x v="12"/>
    <m/>
    <m/>
    <m/>
    <m/>
    <m/>
    <m/>
    <m/>
  </r>
  <r>
    <x v="12"/>
    <m/>
    <m/>
    <m/>
    <m/>
    <m/>
    <m/>
    <m/>
  </r>
  <r>
    <x v="12"/>
    <m/>
    <m/>
    <m/>
    <m/>
    <m/>
    <m/>
    <m/>
  </r>
  <r>
    <x v="12"/>
    <m/>
    <m/>
    <m/>
    <m/>
    <m/>
    <m/>
    <m/>
  </r>
  <r>
    <x v="12"/>
    <m/>
    <m/>
    <m/>
    <m/>
    <m/>
    <m/>
    <m/>
  </r>
  <r>
    <x v="12"/>
    <m/>
    <m/>
    <m/>
    <m/>
    <m/>
    <m/>
    <m/>
  </r>
  <r>
    <x v="12"/>
    <m/>
    <m/>
    <m/>
    <m/>
    <m/>
    <m/>
    <m/>
  </r>
  <r>
    <x v="12"/>
    <m/>
    <m/>
    <m/>
    <m/>
    <m/>
    <m/>
    <m/>
  </r>
  <r>
    <x v="12"/>
    <m/>
    <m/>
    <m/>
    <m/>
    <m/>
    <m/>
    <m/>
  </r>
  <r>
    <x v="12"/>
    <m/>
    <m/>
    <m/>
    <m/>
    <m/>
    <m/>
    <m/>
  </r>
  <r>
    <x v="12"/>
    <m/>
    <m/>
    <m/>
    <m/>
    <m/>
    <m/>
    <m/>
  </r>
  <r>
    <x v="12"/>
    <m/>
    <m/>
    <m/>
    <m/>
    <m/>
    <m/>
    <m/>
  </r>
  <r>
    <x v="12"/>
    <m/>
    <m/>
    <m/>
    <m/>
    <m/>
    <m/>
    <m/>
  </r>
  <r>
    <x v="12"/>
    <m/>
    <m/>
    <m/>
    <m/>
    <m/>
    <m/>
    <m/>
  </r>
  <r>
    <x v="12"/>
    <m/>
    <m/>
    <m/>
    <m/>
    <m/>
    <m/>
    <m/>
  </r>
  <r>
    <x v="12"/>
    <m/>
    <m/>
    <m/>
    <m/>
    <m/>
    <m/>
    <m/>
  </r>
  <r>
    <x v="12"/>
    <m/>
    <m/>
    <m/>
    <m/>
    <m/>
    <m/>
    <m/>
  </r>
  <r>
    <x v="12"/>
    <m/>
    <m/>
    <m/>
    <m/>
    <m/>
    <m/>
    <m/>
  </r>
  <r>
    <x v="12"/>
    <m/>
    <m/>
    <m/>
    <m/>
    <m/>
    <m/>
    <m/>
  </r>
  <r>
    <x v="12"/>
    <m/>
    <m/>
    <m/>
    <m/>
    <m/>
    <m/>
    <m/>
  </r>
  <r>
    <x v="12"/>
    <m/>
    <m/>
    <m/>
    <m/>
    <m/>
    <m/>
    <m/>
  </r>
  <r>
    <x v="12"/>
    <m/>
    <m/>
    <m/>
    <m/>
    <m/>
    <m/>
    <m/>
  </r>
  <r>
    <x v="12"/>
    <m/>
    <m/>
    <m/>
    <m/>
    <m/>
    <m/>
    <m/>
  </r>
  <r>
    <x v="12"/>
    <m/>
    <m/>
    <m/>
    <m/>
    <m/>
    <m/>
    <m/>
  </r>
  <r>
    <x v="12"/>
    <m/>
    <m/>
    <m/>
    <m/>
    <m/>
    <m/>
    <m/>
  </r>
  <r>
    <x v="12"/>
    <m/>
    <m/>
    <m/>
    <m/>
    <m/>
    <m/>
    <m/>
  </r>
  <r>
    <x v="12"/>
    <m/>
    <m/>
    <m/>
    <m/>
    <m/>
    <m/>
    <m/>
  </r>
  <r>
    <x v="12"/>
    <m/>
    <m/>
    <m/>
    <m/>
    <m/>
    <m/>
    <m/>
  </r>
  <r>
    <x v="12"/>
    <m/>
    <m/>
    <m/>
    <m/>
    <m/>
    <m/>
    <m/>
  </r>
  <r>
    <x v="12"/>
    <m/>
    <m/>
    <m/>
    <m/>
    <m/>
    <m/>
    <m/>
  </r>
  <r>
    <x v="12"/>
    <m/>
    <m/>
    <m/>
    <m/>
    <m/>
    <m/>
    <m/>
  </r>
  <r>
    <x v="12"/>
    <m/>
    <m/>
    <m/>
    <m/>
    <m/>
    <m/>
    <m/>
  </r>
  <r>
    <x v="12"/>
    <m/>
    <m/>
    <m/>
    <m/>
    <m/>
    <m/>
    <m/>
  </r>
  <r>
    <x v="12"/>
    <m/>
    <m/>
    <m/>
    <m/>
    <m/>
    <m/>
    <m/>
  </r>
  <r>
    <x v="12"/>
    <m/>
    <m/>
    <m/>
    <m/>
    <m/>
    <m/>
    <m/>
  </r>
  <r>
    <x v="12"/>
    <m/>
    <m/>
    <m/>
    <m/>
    <m/>
    <m/>
    <m/>
  </r>
  <r>
    <x v="12"/>
    <m/>
    <m/>
    <m/>
    <m/>
    <m/>
    <m/>
    <m/>
  </r>
  <r>
    <x v="12"/>
    <m/>
    <m/>
    <m/>
    <m/>
    <m/>
    <m/>
    <m/>
  </r>
  <r>
    <x v="12"/>
    <m/>
    <m/>
    <m/>
    <m/>
    <m/>
    <m/>
    <m/>
  </r>
  <r>
    <x v="12"/>
    <m/>
    <m/>
    <m/>
    <m/>
    <m/>
    <m/>
    <m/>
  </r>
  <r>
    <x v="12"/>
    <m/>
    <m/>
    <m/>
    <m/>
    <m/>
    <m/>
    <m/>
  </r>
  <r>
    <x v="12"/>
    <m/>
    <m/>
    <m/>
    <m/>
    <m/>
    <m/>
    <m/>
  </r>
  <r>
    <x v="12"/>
    <m/>
    <m/>
    <m/>
    <m/>
    <m/>
    <m/>
    <m/>
  </r>
  <r>
    <x v="12"/>
    <m/>
    <m/>
    <m/>
    <m/>
    <m/>
    <m/>
    <m/>
  </r>
  <r>
    <x v="12"/>
    <m/>
    <m/>
    <m/>
    <m/>
    <m/>
    <m/>
    <m/>
  </r>
  <r>
    <x v="12"/>
    <m/>
    <m/>
    <m/>
    <m/>
    <m/>
    <m/>
    <m/>
  </r>
  <r>
    <x v="12"/>
    <m/>
    <m/>
    <m/>
    <m/>
    <m/>
    <m/>
    <m/>
  </r>
  <r>
    <x v="12"/>
    <m/>
    <m/>
    <m/>
    <m/>
    <m/>
    <m/>
    <m/>
  </r>
  <r>
    <x v="12"/>
    <m/>
    <m/>
    <m/>
    <m/>
    <m/>
    <m/>
    <m/>
  </r>
  <r>
    <x v="12"/>
    <m/>
    <m/>
    <m/>
    <m/>
    <m/>
    <m/>
    <m/>
  </r>
  <r>
    <x v="12"/>
    <m/>
    <m/>
    <m/>
    <m/>
    <m/>
    <m/>
    <m/>
  </r>
  <r>
    <x v="12"/>
    <m/>
    <m/>
    <m/>
    <m/>
    <m/>
    <m/>
    <m/>
  </r>
  <r>
    <x v="12"/>
    <m/>
    <m/>
    <m/>
    <m/>
    <m/>
    <m/>
    <m/>
  </r>
  <r>
    <x v="12"/>
    <m/>
    <m/>
    <m/>
    <m/>
    <m/>
    <m/>
    <m/>
  </r>
  <r>
    <x v="12"/>
    <m/>
    <m/>
    <m/>
    <m/>
    <m/>
    <m/>
    <m/>
  </r>
  <r>
    <x v="12"/>
    <m/>
    <m/>
    <m/>
    <m/>
    <m/>
    <m/>
    <m/>
  </r>
  <r>
    <x v="12"/>
    <m/>
    <m/>
    <m/>
    <m/>
    <m/>
    <m/>
    <m/>
  </r>
  <r>
    <x v="12"/>
    <m/>
    <m/>
    <m/>
    <m/>
    <m/>
    <m/>
    <m/>
  </r>
  <r>
    <x v="12"/>
    <m/>
    <m/>
    <m/>
    <m/>
    <m/>
    <m/>
    <m/>
  </r>
  <r>
    <x v="12"/>
    <m/>
    <m/>
    <m/>
    <m/>
    <m/>
    <m/>
    <m/>
  </r>
  <r>
    <x v="12"/>
    <m/>
    <m/>
    <m/>
    <m/>
    <m/>
    <m/>
    <m/>
  </r>
  <r>
    <x v="12"/>
    <m/>
    <m/>
    <m/>
    <m/>
    <m/>
    <m/>
    <m/>
  </r>
  <r>
    <x v="12"/>
    <m/>
    <m/>
    <m/>
    <m/>
    <m/>
    <m/>
    <m/>
  </r>
  <r>
    <x v="12"/>
    <m/>
    <m/>
    <m/>
    <m/>
    <m/>
    <m/>
    <m/>
  </r>
  <r>
    <x v="12"/>
    <m/>
    <m/>
    <m/>
    <m/>
    <m/>
    <m/>
    <m/>
  </r>
  <r>
    <x v="12"/>
    <m/>
    <m/>
    <m/>
    <m/>
    <m/>
    <m/>
    <m/>
  </r>
  <r>
    <x v="12"/>
    <m/>
    <m/>
    <m/>
    <m/>
    <m/>
    <m/>
    <m/>
  </r>
  <r>
    <x v="12"/>
    <m/>
    <m/>
    <m/>
    <m/>
    <m/>
    <m/>
    <m/>
  </r>
  <r>
    <x v="12"/>
    <m/>
    <m/>
    <m/>
    <m/>
    <m/>
    <m/>
    <m/>
  </r>
  <r>
    <x v="12"/>
    <m/>
    <m/>
    <m/>
    <m/>
    <m/>
    <m/>
    <m/>
  </r>
  <r>
    <x v="12"/>
    <m/>
    <m/>
    <m/>
    <m/>
    <m/>
    <m/>
    <m/>
  </r>
  <r>
    <x v="12"/>
    <m/>
    <m/>
    <m/>
    <m/>
    <m/>
    <m/>
    <m/>
  </r>
  <r>
    <x v="12"/>
    <m/>
    <m/>
    <m/>
    <m/>
    <m/>
    <m/>
    <m/>
  </r>
  <r>
    <x v="12"/>
    <m/>
    <m/>
    <m/>
    <m/>
    <m/>
    <m/>
    <m/>
  </r>
  <r>
    <x v="12"/>
    <m/>
    <m/>
    <m/>
    <m/>
    <m/>
    <m/>
    <m/>
  </r>
  <r>
    <x v="12"/>
    <m/>
    <m/>
    <m/>
    <m/>
    <m/>
    <m/>
    <m/>
  </r>
  <r>
    <x v="12"/>
    <m/>
    <m/>
    <m/>
    <m/>
    <m/>
    <m/>
    <m/>
  </r>
  <r>
    <x v="12"/>
    <m/>
    <m/>
    <m/>
    <m/>
    <m/>
    <m/>
    <m/>
  </r>
  <r>
    <x v="12"/>
    <m/>
    <m/>
    <m/>
    <m/>
    <m/>
    <m/>
    <m/>
  </r>
  <r>
    <x v="12"/>
    <m/>
    <m/>
    <m/>
    <m/>
    <m/>
    <m/>
    <m/>
  </r>
  <r>
    <x v="12"/>
    <m/>
    <m/>
    <m/>
    <m/>
    <m/>
    <m/>
    <m/>
  </r>
  <r>
    <x v="12"/>
    <m/>
    <m/>
    <m/>
    <m/>
    <m/>
    <m/>
    <m/>
  </r>
  <r>
    <x v="12"/>
    <m/>
    <m/>
    <m/>
    <m/>
    <m/>
    <m/>
    <m/>
  </r>
  <r>
    <x v="12"/>
    <m/>
    <m/>
    <m/>
    <m/>
    <m/>
    <m/>
    <m/>
  </r>
  <r>
    <x v="12"/>
    <m/>
    <m/>
    <m/>
    <m/>
    <m/>
    <m/>
    <m/>
  </r>
  <r>
    <x v="12"/>
    <m/>
    <m/>
    <m/>
    <m/>
    <m/>
    <m/>
    <m/>
  </r>
  <r>
    <x v="12"/>
    <m/>
    <m/>
    <m/>
    <m/>
    <m/>
    <m/>
    <m/>
  </r>
  <r>
    <x v="12"/>
    <m/>
    <m/>
    <m/>
    <m/>
    <m/>
    <m/>
    <m/>
  </r>
  <r>
    <x v="12"/>
    <m/>
    <m/>
    <m/>
    <m/>
    <m/>
    <m/>
    <m/>
  </r>
  <r>
    <x v="12"/>
    <m/>
    <m/>
    <m/>
    <m/>
    <m/>
    <m/>
    <m/>
  </r>
  <r>
    <x v="12"/>
    <m/>
    <m/>
    <m/>
    <m/>
    <m/>
    <m/>
    <m/>
  </r>
  <r>
    <x v="12"/>
    <m/>
    <m/>
    <m/>
    <m/>
    <m/>
    <m/>
    <m/>
  </r>
  <r>
    <x v="12"/>
    <m/>
    <m/>
    <m/>
    <m/>
    <m/>
    <m/>
    <m/>
  </r>
  <r>
    <x v="12"/>
    <m/>
    <m/>
    <m/>
    <m/>
    <m/>
    <m/>
    <m/>
  </r>
  <r>
    <x v="12"/>
    <m/>
    <m/>
    <m/>
    <m/>
    <m/>
    <m/>
    <m/>
  </r>
  <r>
    <x v="12"/>
    <m/>
    <m/>
    <m/>
    <m/>
    <m/>
    <m/>
    <m/>
  </r>
  <r>
    <x v="12"/>
    <m/>
    <m/>
    <m/>
    <m/>
    <m/>
    <m/>
    <m/>
  </r>
  <r>
    <x v="12"/>
    <m/>
    <m/>
    <m/>
    <m/>
    <m/>
    <m/>
    <m/>
  </r>
  <r>
    <x v="12"/>
    <m/>
    <m/>
    <m/>
    <m/>
    <m/>
    <m/>
    <m/>
  </r>
  <r>
    <x v="12"/>
    <m/>
    <m/>
    <m/>
    <m/>
    <m/>
    <m/>
    <m/>
  </r>
  <r>
    <x v="12"/>
    <m/>
    <m/>
    <m/>
    <m/>
    <m/>
    <m/>
    <m/>
  </r>
  <r>
    <x v="12"/>
    <m/>
    <m/>
    <m/>
    <m/>
    <m/>
    <m/>
    <m/>
  </r>
  <r>
    <x v="12"/>
    <m/>
    <m/>
    <m/>
    <m/>
    <m/>
    <m/>
    <m/>
  </r>
  <r>
    <x v="12"/>
    <m/>
    <m/>
    <m/>
    <m/>
    <m/>
    <m/>
    <m/>
  </r>
  <r>
    <x v="12"/>
    <m/>
    <m/>
    <m/>
    <m/>
    <m/>
    <m/>
    <m/>
  </r>
  <r>
    <x v="12"/>
    <m/>
    <m/>
    <m/>
    <m/>
    <m/>
    <m/>
    <m/>
  </r>
  <r>
    <x v="12"/>
    <m/>
    <m/>
    <m/>
    <m/>
    <m/>
    <m/>
    <m/>
  </r>
  <r>
    <x v="12"/>
    <m/>
    <m/>
    <m/>
    <m/>
    <m/>
    <m/>
    <m/>
  </r>
  <r>
    <x v="12"/>
    <m/>
    <m/>
    <m/>
    <m/>
    <m/>
    <m/>
    <m/>
  </r>
  <r>
    <x v="12"/>
    <m/>
    <m/>
    <m/>
    <m/>
    <m/>
    <m/>
    <m/>
  </r>
  <r>
    <x v="12"/>
    <m/>
    <m/>
    <m/>
    <m/>
    <m/>
    <m/>
    <m/>
  </r>
  <r>
    <x v="12"/>
    <m/>
    <m/>
    <m/>
    <m/>
    <m/>
    <m/>
    <m/>
  </r>
  <r>
    <x v="12"/>
    <m/>
    <m/>
    <m/>
    <m/>
    <m/>
    <m/>
    <m/>
  </r>
  <r>
    <x v="12"/>
    <m/>
    <m/>
    <m/>
    <m/>
    <m/>
    <m/>
    <m/>
  </r>
  <r>
    <x v="12"/>
    <m/>
    <m/>
    <m/>
    <m/>
    <m/>
    <m/>
    <m/>
  </r>
  <r>
    <x v="12"/>
    <m/>
    <m/>
    <m/>
    <m/>
    <m/>
    <m/>
    <m/>
  </r>
  <r>
    <x v="12"/>
    <m/>
    <m/>
    <m/>
    <m/>
    <m/>
    <m/>
    <m/>
  </r>
  <r>
    <x v="12"/>
    <m/>
    <m/>
    <m/>
    <m/>
    <m/>
    <m/>
    <m/>
  </r>
  <r>
    <x v="12"/>
    <m/>
    <m/>
    <m/>
    <m/>
    <m/>
    <m/>
    <m/>
  </r>
  <r>
    <x v="12"/>
    <m/>
    <m/>
    <m/>
    <m/>
    <m/>
    <m/>
    <m/>
  </r>
  <r>
    <x v="12"/>
    <m/>
    <m/>
    <m/>
    <m/>
    <m/>
    <m/>
    <m/>
  </r>
  <r>
    <x v="12"/>
    <m/>
    <m/>
    <m/>
    <m/>
    <m/>
    <m/>
    <m/>
  </r>
  <r>
    <x v="12"/>
    <m/>
    <m/>
    <m/>
    <m/>
    <m/>
    <m/>
    <m/>
  </r>
  <r>
    <x v="12"/>
    <m/>
    <m/>
    <m/>
    <m/>
    <m/>
    <m/>
    <m/>
  </r>
  <r>
    <x v="12"/>
    <m/>
    <m/>
    <m/>
    <m/>
    <m/>
    <m/>
    <m/>
  </r>
  <r>
    <x v="12"/>
    <m/>
    <m/>
    <m/>
    <m/>
    <m/>
    <m/>
    <m/>
  </r>
  <r>
    <x v="12"/>
    <m/>
    <m/>
    <m/>
    <m/>
    <m/>
    <m/>
    <m/>
  </r>
  <r>
    <x v="12"/>
    <m/>
    <m/>
    <m/>
    <m/>
    <m/>
    <m/>
    <m/>
  </r>
  <r>
    <x v="12"/>
    <m/>
    <m/>
    <m/>
    <m/>
    <m/>
    <m/>
    <m/>
  </r>
  <r>
    <x v="12"/>
    <m/>
    <m/>
    <m/>
    <m/>
    <m/>
    <m/>
    <m/>
  </r>
  <r>
    <x v="12"/>
    <m/>
    <m/>
    <m/>
    <m/>
    <m/>
    <m/>
    <m/>
  </r>
  <r>
    <x v="12"/>
    <m/>
    <m/>
    <m/>
    <m/>
    <m/>
    <m/>
    <m/>
  </r>
  <r>
    <x v="12"/>
    <m/>
    <m/>
    <m/>
    <m/>
    <m/>
    <m/>
    <m/>
  </r>
  <r>
    <x v="12"/>
    <m/>
    <m/>
    <m/>
    <m/>
    <m/>
    <m/>
    <m/>
  </r>
  <r>
    <x v="12"/>
    <m/>
    <m/>
    <m/>
    <m/>
    <m/>
    <m/>
    <m/>
  </r>
  <r>
    <x v="12"/>
    <m/>
    <m/>
    <m/>
    <m/>
    <m/>
    <m/>
    <m/>
  </r>
  <r>
    <x v="12"/>
    <m/>
    <m/>
    <m/>
    <m/>
    <m/>
    <m/>
    <m/>
  </r>
  <r>
    <x v="12"/>
    <m/>
    <m/>
    <m/>
    <m/>
    <m/>
    <m/>
    <m/>
  </r>
  <r>
    <x v="12"/>
    <m/>
    <m/>
    <m/>
    <m/>
    <m/>
    <m/>
    <m/>
  </r>
  <r>
    <x v="12"/>
    <m/>
    <m/>
    <m/>
    <m/>
    <m/>
    <m/>
    <m/>
  </r>
  <r>
    <x v="12"/>
    <m/>
    <m/>
    <m/>
    <m/>
    <m/>
    <m/>
    <m/>
  </r>
  <r>
    <x v="12"/>
    <m/>
    <m/>
    <m/>
    <m/>
    <m/>
    <m/>
    <m/>
  </r>
  <r>
    <x v="12"/>
    <m/>
    <m/>
    <m/>
    <m/>
    <m/>
    <m/>
    <m/>
  </r>
  <r>
    <x v="12"/>
    <m/>
    <m/>
    <m/>
    <m/>
    <m/>
    <m/>
    <m/>
  </r>
  <r>
    <x v="12"/>
    <m/>
    <m/>
    <m/>
    <m/>
    <m/>
    <m/>
    <m/>
  </r>
  <r>
    <x v="12"/>
    <m/>
    <m/>
    <m/>
    <m/>
    <m/>
    <m/>
    <m/>
  </r>
  <r>
    <x v="12"/>
    <m/>
    <m/>
    <m/>
    <m/>
    <m/>
    <m/>
    <m/>
  </r>
  <r>
    <x v="12"/>
    <m/>
    <m/>
    <m/>
    <m/>
    <m/>
    <m/>
    <m/>
  </r>
  <r>
    <x v="12"/>
    <m/>
    <m/>
    <m/>
    <m/>
    <m/>
    <m/>
    <m/>
  </r>
  <r>
    <x v="12"/>
    <m/>
    <m/>
    <m/>
    <m/>
    <m/>
    <m/>
    <m/>
  </r>
  <r>
    <x v="12"/>
    <m/>
    <m/>
    <m/>
    <m/>
    <m/>
    <m/>
    <m/>
  </r>
  <r>
    <x v="12"/>
    <m/>
    <m/>
    <m/>
    <m/>
    <m/>
    <m/>
    <m/>
  </r>
  <r>
    <x v="12"/>
    <m/>
    <m/>
    <m/>
    <m/>
    <m/>
    <m/>
    <m/>
  </r>
  <r>
    <x v="12"/>
    <m/>
    <m/>
    <m/>
    <m/>
    <m/>
    <m/>
    <m/>
  </r>
  <r>
    <x v="12"/>
    <m/>
    <m/>
    <m/>
    <m/>
    <m/>
    <m/>
    <m/>
  </r>
  <r>
    <x v="12"/>
    <m/>
    <m/>
    <m/>
    <m/>
    <m/>
    <m/>
    <m/>
  </r>
  <r>
    <x v="12"/>
    <m/>
    <m/>
    <m/>
    <m/>
    <m/>
    <m/>
    <m/>
  </r>
  <r>
    <x v="12"/>
    <m/>
    <m/>
    <m/>
    <m/>
    <m/>
    <m/>
    <m/>
  </r>
  <r>
    <x v="12"/>
    <m/>
    <m/>
    <m/>
    <m/>
    <m/>
    <m/>
    <m/>
  </r>
  <r>
    <x v="12"/>
    <m/>
    <m/>
    <m/>
    <m/>
    <m/>
    <m/>
    <m/>
  </r>
  <r>
    <x v="12"/>
    <m/>
    <m/>
    <m/>
    <m/>
    <m/>
    <m/>
    <m/>
  </r>
  <r>
    <x v="12"/>
    <m/>
    <m/>
    <m/>
    <m/>
    <m/>
    <m/>
    <m/>
  </r>
  <r>
    <x v="12"/>
    <m/>
    <m/>
    <m/>
    <m/>
    <m/>
    <m/>
    <m/>
  </r>
  <r>
    <x v="12"/>
    <m/>
    <m/>
    <m/>
    <m/>
    <m/>
    <m/>
    <m/>
  </r>
  <r>
    <x v="12"/>
    <m/>
    <m/>
    <m/>
    <m/>
    <m/>
    <m/>
    <m/>
  </r>
  <r>
    <x v="12"/>
    <m/>
    <m/>
    <m/>
    <m/>
    <m/>
    <m/>
    <m/>
  </r>
  <r>
    <x v="12"/>
    <m/>
    <m/>
    <m/>
    <m/>
    <m/>
    <m/>
    <m/>
  </r>
  <r>
    <x v="12"/>
    <m/>
    <m/>
    <m/>
    <m/>
    <m/>
    <m/>
    <m/>
  </r>
  <r>
    <x v="12"/>
    <m/>
    <m/>
    <m/>
    <m/>
    <m/>
    <m/>
    <m/>
  </r>
  <r>
    <x v="12"/>
    <m/>
    <m/>
    <m/>
    <m/>
    <m/>
    <m/>
    <m/>
  </r>
  <r>
    <x v="12"/>
    <m/>
    <m/>
    <m/>
    <m/>
    <m/>
    <m/>
    <m/>
  </r>
  <r>
    <x v="12"/>
    <m/>
    <m/>
    <m/>
    <m/>
    <m/>
    <m/>
    <m/>
  </r>
  <r>
    <x v="12"/>
    <m/>
    <m/>
    <m/>
    <m/>
    <m/>
    <m/>
    <m/>
  </r>
  <r>
    <x v="12"/>
    <m/>
    <m/>
    <m/>
    <m/>
    <m/>
    <m/>
    <m/>
  </r>
  <r>
    <x v="12"/>
    <m/>
    <m/>
    <m/>
    <m/>
    <m/>
    <m/>
    <m/>
  </r>
  <r>
    <x v="12"/>
    <m/>
    <m/>
    <m/>
    <m/>
    <m/>
    <m/>
    <m/>
  </r>
  <r>
    <x v="12"/>
    <m/>
    <m/>
    <m/>
    <m/>
    <m/>
    <m/>
    <m/>
  </r>
  <r>
    <x v="12"/>
    <m/>
    <m/>
    <m/>
    <m/>
    <m/>
    <m/>
    <m/>
  </r>
  <r>
    <x v="12"/>
    <m/>
    <m/>
    <m/>
    <m/>
    <m/>
    <m/>
    <m/>
  </r>
  <r>
    <x v="12"/>
    <m/>
    <m/>
    <m/>
    <m/>
    <m/>
    <m/>
    <m/>
  </r>
  <r>
    <x v="12"/>
    <m/>
    <m/>
    <m/>
    <m/>
    <m/>
    <m/>
    <m/>
  </r>
  <r>
    <x v="12"/>
    <m/>
    <m/>
    <m/>
    <m/>
    <m/>
    <m/>
    <m/>
  </r>
  <r>
    <x v="12"/>
    <m/>
    <m/>
    <m/>
    <m/>
    <m/>
    <m/>
    <m/>
  </r>
  <r>
    <x v="12"/>
    <m/>
    <m/>
    <m/>
    <m/>
    <m/>
    <m/>
    <m/>
  </r>
  <r>
    <x v="12"/>
    <m/>
    <m/>
    <m/>
    <m/>
    <m/>
    <m/>
    <m/>
  </r>
  <r>
    <x v="12"/>
    <m/>
    <m/>
    <m/>
    <m/>
    <m/>
    <m/>
    <m/>
  </r>
  <r>
    <x v="12"/>
    <m/>
    <m/>
    <m/>
    <m/>
    <m/>
    <m/>
    <m/>
  </r>
  <r>
    <x v="12"/>
    <m/>
    <m/>
    <m/>
    <m/>
    <m/>
    <m/>
    <m/>
  </r>
  <r>
    <x v="12"/>
    <m/>
    <m/>
    <m/>
    <m/>
    <m/>
    <m/>
    <m/>
  </r>
  <r>
    <x v="12"/>
    <m/>
    <m/>
    <m/>
    <m/>
    <m/>
    <m/>
    <m/>
  </r>
  <r>
    <x v="12"/>
    <m/>
    <m/>
    <m/>
    <m/>
    <m/>
    <m/>
    <m/>
  </r>
  <r>
    <x v="12"/>
    <m/>
    <m/>
    <m/>
    <m/>
    <m/>
    <m/>
    <m/>
  </r>
  <r>
    <x v="12"/>
    <m/>
    <m/>
    <m/>
    <m/>
    <m/>
    <m/>
    <m/>
  </r>
  <r>
    <x v="12"/>
    <m/>
    <m/>
    <m/>
    <m/>
    <m/>
    <m/>
    <m/>
  </r>
  <r>
    <x v="12"/>
    <m/>
    <m/>
    <m/>
    <m/>
    <m/>
    <m/>
    <m/>
  </r>
  <r>
    <x v="12"/>
    <m/>
    <m/>
    <m/>
    <m/>
    <m/>
    <m/>
    <m/>
  </r>
  <r>
    <x v="12"/>
    <m/>
    <m/>
    <m/>
    <m/>
    <m/>
    <m/>
    <m/>
  </r>
  <r>
    <x v="12"/>
    <m/>
    <m/>
    <m/>
    <m/>
    <m/>
    <m/>
    <m/>
  </r>
  <r>
    <x v="12"/>
    <m/>
    <m/>
    <m/>
    <m/>
    <m/>
    <m/>
    <m/>
  </r>
  <r>
    <x v="12"/>
    <m/>
    <m/>
    <m/>
    <m/>
    <m/>
    <m/>
    <m/>
  </r>
  <r>
    <x v="12"/>
    <m/>
    <m/>
    <m/>
    <m/>
    <m/>
    <m/>
    <m/>
  </r>
  <r>
    <x v="12"/>
    <m/>
    <m/>
    <m/>
    <m/>
    <m/>
    <m/>
    <m/>
  </r>
  <r>
    <x v="12"/>
    <m/>
    <m/>
    <m/>
    <m/>
    <m/>
    <m/>
    <m/>
  </r>
  <r>
    <x v="12"/>
    <m/>
    <m/>
    <m/>
    <m/>
    <m/>
    <m/>
    <m/>
  </r>
  <r>
    <x v="12"/>
    <m/>
    <m/>
    <m/>
    <m/>
    <m/>
    <m/>
    <m/>
  </r>
  <r>
    <x v="12"/>
    <m/>
    <m/>
    <m/>
    <m/>
    <m/>
    <m/>
    <m/>
  </r>
  <r>
    <x v="12"/>
    <m/>
    <m/>
    <m/>
    <m/>
    <m/>
    <m/>
    <m/>
  </r>
  <r>
    <x v="12"/>
    <m/>
    <m/>
    <m/>
    <m/>
    <m/>
    <m/>
    <m/>
  </r>
  <r>
    <x v="12"/>
    <m/>
    <m/>
    <m/>
    <m/>
    <m/>
    <m/>
    <m/>
  </r>
  <r>
    <x v="12"/>
    <m/>
    <m/>
    <m/>
    <m/>
    <m/>
    <m/>
    <m/>
  </r>
  <r>
    <x v="12"/>
    <m/>
    <m/>
    <m/>
    <m/>
    <m/>
    <m/>
    <m/>
  </r>
  <r>
    <x v="12"/>
    <m/>
    <m/>
    <m/>
    <m/>
    <m/>
    <m/>
    <m/>
  </r>
  <r>
    <x v="12"/>
    <m/>
    <m/>
    <m/>
    <m/>
    <m/>
    <m/>
    <m/>
  </r>
  <r>
    <x v="12"/>
    <m/>
    <m/>
    <m/>
    <m/>
    <m/>
    <m/>
    <m/>
  </r>
  <r>
    <x v="12"/>
    <m/>
    <m/>
    <m/>
    <m/>
    <m/>
    <m/>
    <m/>
  </r>
  <r>
    <x v="12"/>
    <m/>
    <m/>
    <m/>
    <m/>
    <m/>
    <m/>
    <m/>
  </r>
  <r>
    <x v="12"/>
    <m/>
    <m/>
    <m/>
    <m/>
    <m/>
    <m/>
    <m/>
  </r>
  <r>
    <x v="12"/>
    <m/>
    <m/>
    <m/>
    <m/>
    <m/>
    <m/>
    <m/>
  </r>
  <r>
    <x v="12"/>
    <m/>
    <m/>
    <m/>
    <m/>
    <m/>
    <m/>
    <m/>
  </r>
  <r>
    <x v="12"/>
    <m/>
    <m/>
    <m/>
    <m/>
    <m/>
    <m/>
    <m/>
  </r>
  <r>
    <x v="12"/>
    <m/>
    <m/>
    <m/>
    <m/>
    <m/>
    <m/>
    <m/>
  </r>
  <r>
    <x v="12"/>
    <m/>
    <m/>
    <m/>
    <m/>
    <m/>
    <m/>
    <m/>
  </r>
  <r>
    <x v="12"/>
    <m/>
    <m/>
    <m/>
    <m/>
    <m/>
    <m/>
    <m/>
  </r>
  <r>
    <x v="12"/>
    <m/>
    <m/>
    <m/>
    <m/>
    <m/>
    <m/>
    <m/>
  </r>
  <r>
    <x v="12"/>
    <m/>
    <m/>
    <m/>
    <m/>
    <m/>
    <m/>
    <m/>
  </r>
  <r>
    <x v="12"/>
    <m/>
    <m/>
    <m/>
    <m/>
    <m/>
    <m/>
    <m/>
  </r>
  <r>
    <x v="12"/>
    <m/>
    <m/>
    <m/>
    <m/>
    <m/>
    <m/>
    <m/>
  </r>
  <r>
    <x v="12"/>
    <m/>
    <m/>
    <m/>
    <m/>
    <m/>
    <m/>
    <m/>
  </r>
  <r>
    <x v="12"/>
    <m/>
    <m/>
    <m/>
    <m/>
    <m/>
    <m/>
    <m/>
  </r>
  <r>
    <x v="12"/>
    <m/>
    <m/>
    <m/>
    <m/>
    <m/>
    <m/>
    <m/>
  </r>
  <r>
    <x v="12"/>
    <m/>
    <m/>
    <m/>
    <m/>
    <m/>
    <m/>
    <m/>
  </r>
  <r>
    <x v="12"/>
    <m/>
    <m/>
    <m/>
    <m/>
    <m/>
    <m/>
    <m/>
  </r>
  <r>
    <x v="12"/>
    <m/>
    <m/>
    <m/>
    <m/>
    <m/>
    <m/>
    <m/>
  </r>
  <r>
    <x v="12"/>
    <m/>
    <m/>
    <m/>
    <m/>
    <m/>
    <m/>
    <m/>
  </r>
  <r>
    <x v="12"/>
    <m/>
    <m/>
    <m/>
    <m/>
    <m/>
    <m/>
    <m/>
  </r>
  <r>
    <x v="12"/>
    <m/>
    <m/>
    <m/>
    <m/>
    <m/>
    <m/>
    <m/>
  </r>
  <r>
    <x v="12"/>
    <m/>
    <m/>
    <m/>
    <m/>
    <m/>
    <m/>
    <m/>
  </r>
  <r>
    <x v="12"/>
    <m/>
    <m/>
    <m/>
    <m/>
    <m/>
    <m/>
    <m/>
  </r>
  <r>
    <x v="12"/>
    <m/>
    <m/>
    <m/>
    <m/>
    <m/>
    <m/>
    <m/>
  </r>
  <r>
    <x v="12"/>
    <m/>
    <m/>
    <m/>
    <m/>
    <m/>
    <m/>
    <m/>
  </r>
  <r>
    <x v="12"/>
    <m/>
    <m/>
    <m/>
    <m/>
    <m/>
    <m/>
    <m/>
  </r>
  <r>
    <x v="12"/>
    <m/>
    <m/>
    <m/>
    <m/>
    <m/>
    <m/>
    <m/>
  </r>
  <r>
    <x v="12"/>
    <m/>
    <m/>
    <m/>
    <m/>
    <m/>
    <m/>
    <m/>
  </r>
  <r>
    <x v="12"/>
    <m/>
    <m/>
    <m/>
    <m/>
    <m/>
    <m/>
    <m/>
  </r>
  <r>
    <x v="12"/>
    <m/>
    <m/>
    <m/>
    <m/>
    <m/>
    <m/>
    <m/>
  </r>
  <r>
    <x v="12"/>
    <m/>
    <m/>
    <m/>
    <m/>
    <m/>
    <m/>
    <m/>
  </r>
  <r>
    <x v="12"/>
    <m/>
    <m/>
    <m/>
    <m/>
    <m/>
    <m/>
    <m/>
  </r>
  <r>
    <x v="12"/>
    <m/>
    <m/>
    <m/>
    <m/>
    <m/>
    <m/>
    <m/>
  </r>
  <r>
    <x v="12"/>
    <m/>
    <m/>
    <m/>
    <m/>
    <m/>
    <m/>
    <m/>
  </r>
  <r>
    <x v="12"/>
    <m/>
    <m/>
    <m/>
    <m/>
    <m/>
    <m/>
    <m/>
  </r>
  <r>
    <x v="12"/>
    <m/>
    <m/>
    <m/>
    <m/>
    <m/>
    <m/>
    <m/>
  </r>
  <r>
    <x v="12"/>
    <m/>
    <m/>
    <m/>
    <m/>
    <m/>
    <m/>
    <m/>
  </r>
  <r>
    <x v="12"/>
    <m/>
    <m/>
    <m/>
    <m/>
    <m/>
    <m/>
    <m/>
  </r>
  <r>
    <x v="12"/>
    <m/>
    <m/>
    <m/>
    <m/>
    <m/>
    <m/>
    <m/>
  </r>
  <r>
    <x v="12"/>
    <m/>
    <m/>
    <m/>
    <m/>
    <m/>
    <m/>
    <m/>
  </r>
  <r>
    <x v="12"/>
    <m/>
    <m/>
    <m/>
    <m/>
    <m/>
    <m/>
    <m/>
  </r>
  <r>
    <x v="12"/>
    <m/>
    <m/>
    <m/>
    <m/>
    <m/>
    <m/>
    <m/>
  </r>
  <r>
    <x v="12"/>
    <m/>
    <m/>
    <m/>
    <m/>
    <m/>
    <m/>
    <m/>
  </r>
  <r>
    <x v="12"/>
    <m/>
    <m/>
    <m/>
    <m/>
    <m/>
    <m/>
    <m/>
  </r>
  <r>
    <x v="12"/>
    <m/>
    <m/>
    <m/>
    <m/>
    <m/>
    <m/>
    <m/>
  </r>
  <r>
    <x v="12"/>
    <m/>
    <m/>
    <m/>
    <m/>
    <m/>
    <m/>
    <m/>
  </r>
  <r>
    <x v="12"/>
    <m/>
    <m/>
    <m/>
    <m/>
    <m/>
    <m/>
    <m/>
  </r>
  <r>
    <x v="12"/>
    <m/>
    <m/>
    <m/>
    <m/>
    <m/>
    <m/>
    <m/>
  </r>
  <r>
    <x v="12"/>
    <m/>
    <m/>
    <m/>
    <m/>
    <m/>
    <m/>
    <m/>
  </r>
  <r>
    <x v="12"/>
    <m/>
    <m/>
    <m/>
    <m/>
    <m/>
    <m/>
    <m/>
  </r>
  <r>
    <x v="12"/>
    <m/>
    <m/>
    <m/>
    <m/>
    <m/>
    <m/>
    <m/>
  </r>
  <r>
    <x v="12"/>
    <m/>
    <m/>
    <m/>
    <m/>
    <m/>
    <m/>
    <m/>
  </r>
  <r>
    <x v="12"/>
    <m/>
    <m/>
    <m/>
    <m/>
    <m/>
    <m/>
    <m/>
  </r>
  <r>
    <x v="12"/>
    <m/>
    <m/>
    <m/>
    <m/>
    <m/>
    <m/>
    <m/>
  </r>
  <r>
    <x v="12"/>
    <m/>
    <m/>
    <m/>
    <m/>
    <m/>
    <m/>
    <m/>
  </r>
  <r>
    <x v="12"/>
    <m/>
    <m/>
    <m/>
    <m/>
    <m/>
    <m/>
    <m/>
  </r>
  <r>
    <x v="12"/>
    <m/>
    <m/>
    <m/>
    <m/>
    <m/>
    <m/>
    <m/>
  </r>
  <r>
    <x v="12"/>
    <m/>
    <m/>
    <m/>
    <m/>
    <m/>
    <m/>
    <m/>
  </r>
  <r>
    <x v="12"/>
    <m/>
    <m/>
    <m/>
    <m/>
    <m/>
    <m/>
    <m/>
  </r>
  <r>
    <x v="12"/>
    <m/>
    <m/>
    <m/>
    <m/>
    <m/>
    <m/>
    <m/>
  </r>
  <r>
    <x v="12"/>
    <m/>
    <m/>
    <m/>
    <m/>
    <m/>
    <m/>
    <m/>
  </r>
  <r>
    <x v="12"/>
    <m/>
    <m/>
    <m/>
    <m/>
    <m/>
    <m/>
    <m/>
  </r>
  <r>
    <x v="12"/>
    <m/>
    <m/>
    <m/>
    <m/>
    <m/>
    <m/>
    <m/>
  </r>
  <r>
    <x v="12"/>
    <m/>
    <m/>
    <m/>
    <m/>
    <m/>
    <m/>
    <m/>
  </r>
  <r>
    <x v="12"/>
    <m/>
    <m/>
    <m/>
    <m/>
    <m/>
    <m/>
    <m/>
  </r>
  <r>
    <x v="12"/>
    <m/>
    <m/>
    <m/>
    <m/>
    <m/>
    <m/>
    <m/>
  </r>
  <r>
    <x v="12"/>
    <m/>
    <m/>
    <m/>
    <m/>
    <m/>
    <m/>
    <m/>
  </r>
  <r>
    <x v="12"/>
    <m/>
    <m/>
    <m/>
    <m/>
    <m/>
    <m/>
    <m/>
  </r>
  <r>
    <x v="12"/>
    <m/>
    <m/>
    <m/>
    <m/>
    <m/>
    <m/>
    <m/>
  </r>
  <r>
    <x v="12"/>
    <m/>
    <m/>
    <m/>
    <m/>
    <m/>
    <m/>
    <m/>
  </r>
  <r>
    <x v="12"/>
    <m/>
    <m/>
    <m/>
    <m/>
    <m/>
    <m/>
    <m/>
  </r>
  <r>
    <x v="12"/>
    <m/>
    <m/>
    <m/>
    <m/>
    <m/>
    <m/>
    <m/>
  </r>
  <r>
    <x v="12"/>
    <m/>
    <m/>
    <m/>
    <m/>
    <m/>
    <m/>
    <m/>
  </r>
  <r>
    <x v="12"/>
    <m/>
    <m/>
    <m/>
    <m/>
    <m/>
    <m/>
    <m/>
  </r>
  <r>
    <x v="12"/>
    <m/>
    <m/>
    <m/>
    <m/>
    <m/>
    <m/>
    <m/>
  </r>
  <r>
    <x v="12"/>
    <m/>
    <m/>
    <m/>
    <m/>
    <m/>
    <m/>
    <m/>
  </r>
  <r>
    <x v="12"/>
    <m/>
    <m/>
    <m/>
    <m/>
    <m/>
    <m/>
    <m/>
  </r>
  <r>
    <x v="12"/>
    <m/>
    <m/>
    <m/>
    <m/>
    <m/>
    <m/>
    <m/>
  </r>
  <r>
    <x v="12"/>
    <m/>
    <m/>
    <m/>
    <m/>
    <m/>
    <m/>
    <m/>
  </r>
  <r>
    <x v="12"/>
    <m/>
    <m/>
    <m/>
    <m/>
    <m/>
    <m/>
    <m/>
  </r>
  <r>
    <x v="12"/>
    <m/>
    <m/>
    <m/>
    <m/>
    <m/>
    <m/>
    <m/>
  </r>
  <r>
    <x v="12"/>
    <m/>
    <m/>
    <m/>
    <m/>
    <m/>
    <m/>
    <m/>
  </r>
  <r>
    <x v="12"/>
    <m/>
    <m/>
    <m/>
    <m/>
    <m/>
    <m/>
    <m/>
  </r>
  <r>
    <x v="12"/>
    <m/>
    <m/>
    <m/>
    <m/>
    <m/>
    <m/>
    <m/>
  </r>
  <r>
    <x v="12"/>
    <m/>
    <m/>
    <m/>
    <m/>
    <m/>
    <m/>
    <m/>
  </r>
  <r>
    <x v="12"/>
    <m/>
    <m/>
    <m/>
    <m/>
    <m/>
    <m/>
    <m/>
  </r>
  <r>
    <x v="12"/>
    <m/>
    <m/>
    <m/>
    <m/>
    <m/>
    <m/>
    <m/>
  </r>
  <r>
    <x v="12"/>
    <m/>
    <m/>
    <m/>
    <m/>
    <m/>
    <m/>
    <m/>
  </r>
  <r>
    <x v="12"/>
    <m/>
    <m/>
    <m/>
    <m/>
    <m/>
    <m/>
    <m/>
  </r>
  <r>
    <x v="12"/>
    <m/>
    <m/>
    <m/>
    <m/>
    <m/>
    <m/>
    <m/>
  </r>
  <r>
    <x v="12"/>
    <m/>
    <m/>
    <m/>
    <m/>
    <m/>
    <m/>
    <m/>
  </r>
  <r>
    <x v="12"/>
    <m/>
    <m/>
    <m/>
    <m/>
    <m/>
    <m/>
    <m/>
  </r>
  <r>
    <x v="12"/>
    <m/>
    <m/>
    <m/>
    <m/>
    <m/>
    <m/>
    <m/>
  </r>
  <r>
    <x v="12"/>
    <m/>
    <m/>
    <m/>
    <m/>
    <m/>
    <m/>
    <m/>
  </r>
  <r>
    <x v="12"/>
    <m/>
    <m/>
    <m/>
    <m/>
    <m/>
    <m/>
    <m/>
  </r>
  <r>
    <x v="12"/>
    <m/>
    <m/>
    <m/>
    <m/>
    <m/>
    <m/>
    <m/>
  </r>
  <r>
    <x v="12"/>
    <m/>
    <m/>
    <m/>
    <m/>
    <m/>
    <m/>
    <m/>
  </r>
  <r>
    <x v="12"/>
    <m/>
    <m/>
    <m/>
    <m/>
    <m/>
    <m/>
    <m/>
  </r>
  <r>
    <x v="12"/>
    <m/>
    <m/>
    <m/>
    <m/>
    <m/>
    <m/>
    <m/>
  </r>
  <r>
    <x v="12"/>
    <m/>
    <m/>
    <m/>
    <m/>
    <m/>
    <m/>
    <m/>
  </r>
  <r>
    <x v="12"/>
    <m/>
    <m/>
    <m/>
    <m/>
    <m/>
    <m/>
    <m/>
  </r>
  <r>
    <x v="12"/>
    <m/>
    <m/>
    <m/>
    <m/>
    <m/>
    <m/>
    <m/>
  </r>
  <r>
    <x v="12"/>
    <m/>
    <m/>
    <m/>
    <m/>
    <m/>
    <m/>
    <m/>
  </r>
  <r>
    <x v="12"/>
    <m/>
    <m/>
    <m/>
    <m/>
    <m/>
    <m/>
    <m/>
  </r>
  <r>
    <x v="12"/>
    <m/>
    <m/>
    <m/>
    <m/>
    <m/>
    <m/>
    <m/>
  </r>
  <r>
    <x v="12"/>
    <m/>
    <m/>
    <m/>
    <m/>
    <m/>
    <m/>
    <m/>
  </r>
  <r>
    <x v="12"/>
    <m/>
    <m/>
    <m/>
    <m/>
    <m/>
    <m/>
    <m/>
  </r>
  <r>
    <x v="12"/>
    <m/>
    <m/>
    <m/>
    <m/>
    <m/>
    <m/>
    <m/>
  </r>
  <r>
    <x v="12"/>
    <m/>
    <m/>
    <m/>
    <m/>
    <m/>
    <m/>
    <m/>
  </r>
  <r>
    <x v="12"/>
    <m/>
    <m/>
    <m/>
    <m/>
    <m/>
    <m/>
    <m/>
  </r>
  <r>
    <x v="12"/>
    <m/>
    <m/>
    <m/>
    <m/>
    <m/>
    <m/>
    <m/>
  </r>
  <r>
    <x v="12"/>
    <m/>
    <m/>
    <m/>
    <m/>
    <m/>
    <m/>
    <m/>
  </r>
  <r>
    <x v="12"/>
    <m/>
    <m/>
    <m/>
    <m/>
    <m/>
    <m/>
    <m/>
  </r>
  <r>
    <x v="12"/>
    <m/>
    <m/>
    <m/>
    <m/>
    <m/>
    <m/>
    <m/>
  </r>
  <r>
    <x v="12"/>
    <m/>
    <m/>
    <m/>
    <m/>
    <m/>
    <m/>
    <m/>
  </r>
  <r>
    <x v="12"/>
    <m/>
    <m/>
    <m/>
    <m/>
    <m/>
    <m/>
    <m/>
  </r>
  <r>
    <x v="12"/>
    <m/>
    <m/>
    <m/>
    <m/>
    <m/>
    <m/>
    <m/>
  </r>
  <r>
    <x v="12"/>
    <m/>
    <m/>
    <m/>
    <m/>
    <m/>
    <m/>
    <m/>
  </r>
  <r>
    <x v="12"/>
    <m/>
    <m/>
    <m/>
    <m/>
    <m/>
    <m/>
    <m/>
  </r>
  <r>
    <x v="12"/>
    <m/>
    <m/>
    <m/>
    <m/>
    <m/>
    <m/>
    <m/>
  </r>
  <r>
    <x v="12"/>
    <m/>
    <m/>
    <m/>
    <m/>
    <m/>
    <m/>
    <m/>
  </r>
  <r>
    <x v="12"/>
    <m/>
    <m/>
    <m/>
    <m/>
    <m/>
    <m/>
    <m/>
  </r>
  <r>
    <x v="12"/>
    <m/>
    <m/>
    <m/>
    <m/>
    <m/>
    <m/>
    <m/>
  </r>
  <r>
    <x v="12"/>
    <m/>
    <m/>
    <m/>
    <m/>
    <m/>
    <m/>
    <m/>
  </r>
  <r>
    <x v="12"/>
    <m/>
    <m/>
    <m/>
    <m/>
    <m/>
    <m/>
    <m/>
  </r>
  <r>
    <x v="12"/>
    <m/>
    <m/>
    <m/>
    <m/>
    <m/>
    <m/>
    <m/>
  </r>
  <r>
    <x v="12"/>
    <m/>
    <m/>
    <m/>
    <m/>
    <m/>
    <m/>
    <m/>
  </r>
  <r>
    <x v="12"/>
    <m/>
    <m/>
    <m/>
    <m/>
    <m/>
    <m/>
    <m/>
  </r>
  <r>
    <x v="12"/>
    <m/>
    <m/>
    <m/>
    <m/>
    <m/>
    <m/>
    <m/>
  </r>
  <r>
    <x v="12"/>
    <m/>
    <m/>
    <m/>
    <m/>
    <m/>
    <m/>
    <m/>
  </r>
  <r>
    <x v="12"/>
    <m/>
    <m/>
    <m/>
    <m/>
    <m/>
    <m/>
    <m/>
  </r>
  <r>
    <x v="12"/>
    <m/>
    <m/>
    <m/>
    <m/>
    <m/>
    <m/>
    <m/>
  </r>
  <r>
    <x v="12"/>
    <m/>
    <m/>
    <m/>
    <m/>
    <m/>
    <m/>
    <m/>
  </r>
  <r>
    <x v="12"/>
    <m/>
    <m/>
    <m/>
    <m/>
    <m/>
    <m/>
    <m/>
  </r>
  <r>
    <x v="12"/>
    <m/>
    <m/>
    <m/>
    <m/>
    <m/>
    <m/>
    <m/>
  </r>
  <r>
    <x v="12"/>
    <m/>
    <m/>
    <m/>
    <m/>
    <m/>
    <m/>
    <m/>
  </r>
  <r>
    <x v="12"/>
    <m/>
    <m/>
    <m/>
    <m/>
    <m/>
    <m/>
    <m/>
  </r>
  <r>
    <x v="12"/>
    <m/>
    <m/>
    <m/>
    <m/>
    <m/>
    <m/>
    <m/>
  </r>
  <r>
    <x v="12"/>
    <m/>
    <m/>
    <m/>
    <m/>
    <m/>
    <m/>
    <m/>
  </r>
  <r>
    <x v="12"/>
    <m/>
    <m/>
    <m/>
    <m/>
    <m/>
    <m/>
    <m/>
  </r>
  <r>
    <x v="12"/>
    <m/>
    <m/>
    <m/>
    <m/>
    <m/>
    <m/>
    <m/>
  </r>
  <r>
    <x v="12"/>
    <m/>
    <m/>
    <m/>
    <m/>
    <m/>
    <m/>
    <m/>
  </r>
  <r>
    <x v="12"/>
    <m/>
    <m/>
    <m/>
    <m/>
    <m/>
    <m/>
    <m/>
  </r>
  <r>
    <x v="12"/>
    <m/>
    <m/>
    <m/>
    <m/>
    <m/>
    <m/>
    <m/>
  </r>
  <r>
    <x v="12"/>
    <m/>
    <m/>
    <m/>
    <m/>
    <m/>
    <m/>
    <m/>
  </r>
  <r>
    <x v="12"/>
    <m/>
    <m/>
    <m/>
    <m/>
    <m/>
    <m/>
    <m/>
  </r>
  <r>
    <x v="12"/>
    <m/>
    <m/>
    <m/>
    <m/>
    <m/>
    <m/>
    <m/>
  </r>
  <r>
    <x v="12"/>
    <m/>
    <m/>
    <m/>
    <m/>
    <m/>
    <m/>
    <m/>
  </r>
  <r>
    <x v="12"/>
    <m/>
    <m/>
    <m/>
    <m/>
    <m/>
    <m/>
    <m/>
  </r>
  <r>
    <x v="12"/>
    <m/>
    <m/>
    <m/>
    <m/>
    <m/>
    <m/>
    <m/>
  </r>
  <r>
    <x v="12"/>
    <m/>
    <m/>
    <m/>
    <m/>
    <m/>
    <m/>
    <m/>
  </r>
  <r>
    <x v="12"/>
    <m/>
    <m/>
    <m/>
    <m/>
    <m/>
    <m/>
    <m/>
  </r>
  <r>
    <x v="12"/>
    <m/>
    <m/>
    <m/>
    <m/>
    <m/>
    <m/>
    <m/>
  </r>
  <r>
    <x v="12"/>
    <m/>
    <m/>
    <m/>
    <m/>
    <m/>
    <m/>
    <m/>
  </r>
  <r>
    <x v="12"/>
    <m/>
    <m/>
    <m/>
    <m/>
    <m/>
    <m/>
    <m/>
  </r>
  <r>
    <x v="12"/>
    <m/>
    <m/>
    <m/>
    <m/>
    <m/>
    <m/>
    <m/>
  </r>
  <r>
    <x v="12"/>
    <m/>
    <m/>
    <m/>
    <m/>
    <m/>
    <m/>
    <m/>
  </r>
  <r>
    <x v="12"/>
    <m/>
    <m/>
    <m/>
    <m/>
    <m/>
    <m/>
    <m/>
  </r>
  <r>
    <x v="12"/>
    <m/>
    <m/>
    <m/>
    <m/>
    <m/>
    <m/>
    <m/>
  </r>
  <r>
    <x v="12"/>
    <m/>
    <m/>
    <m/>
    <m/>
    <m/>
    <m/>
    <m/>
  </r>
  <r>
    <x v="12"/>
    <m/>
    <m/>
    <m/>
    <m/>
    <m/>
    <m/>
    <m/>
  </r>
  <r>
    <x v="12"/>
    <m/>
    <m/>
    <m/>
    <m/>
    <m/>
    <m/>
    <m/>
  </r>
  <r>
    <x v="12"/>
    <m/>
    <m/>
    <m/>
    <m/>
    <m/>
    <m/>
    <m/>
  </r>
  <r>
    <x v="12"/>
    <m/>
    <m/>
    <m/>
    <m/>
    <m/>
    <m/>
    <m/>
  </r>
  <r>
    <x v="12"/>
    <m/>
    <m/>
    <m/>
    <m/>
    <m/>
    <m/>
    <m/>
  </r>
  <r>
    <x v="12"/>
    <m/>
    <m/>
    <m/>
    <m/>
    <m/>
    <m/>
    <m/>
  </r>
  <r>
    <x v="12"/>
    <m/>
    <m/>
    <m/>
    <m/>
    <m/>
    <m/>
    <m/>
  </r>
  <r>
    <x v="12"/>
    <m/>
    <m/>
    <m/>
    <m/>
    <m/>
    <m/>
    <m/>
  </r>
  <r>
    <x v="12"/>
    <m/>
    <m/>
    <m/>
    <m/>
    <m/>
    <m/>
    <m/>
  </r>
  <r>
    <x v="12"/>
    <m/>
    <m/>
    <m/>
    <m/>
    <m/>
    <m/>
    <m/>
  </r>
  <r>
    <x v="12"/>
    <m/>
    <m/>
    <m/>
    <m/>
    <m/>
    <m/>
    <m/>
  </r>
  <r>
    <x v="12"/>
    <m/>
    <m/>
    <m/>
    <m/>
    <m/>
    <m/>
    <m/>
  </r>
  <r>
    <x v="12"/>
    <m/>
    <m/>
    <m/>
    <m/>
    <m/>
    <m/>
    <m/>
  </r>
  <r>
    <x v="12"/>
    <m/>
    <m/>
    <m/>
    <m/>
    <m/>
    <m/>
    <m/>
  </r>
  <r>
    <x v="12"/>
    <m/>
    <m/>
    <m/>
    <m/>
    <m/>
    <m/>
    <m/>
  </r>
  <r>
    <x v="12"/>
    <m/>
    <m/>
    <m/>
    <m/>
    <m/>
    <m/>
    <m/>
  </r>
  <r>
    <x v="12"/>
    <m/>
    <m/>
    <m/>
    <m/>
    <m/>
    <m/>
    <m/>
  </r>
  <r>
    <x v="12"/>
    <m/>
    <m/>
    <m/>
    <m/>
    <m/>
    <m/>
    <m/>
  </r>
  <r>
    <x v="12"/>
    <m/>
    <m/>
    <m/>
    <m/>
    <m/>
    <m/>
    <m/>
  </r>
  <r>
    <x v="12"/>
    <m/>
    <m/>
    <m/>
    <m/>
    <m/>
    <m/>
    <m/>
  </r>
  <r>
    <x v="12"/>
    <m/>
    <m/>
    <m/>
    <m/>
    <m/>
    <m/>
    <m/>
  </r>
  <r>
    <x v="12"/>
    <m/>
    <m/>
    <m/>
    <m/>
    <m/>
    <m/>
    <m/>
  </r>
  <r>
    <x v="12"/>
    <m/>
    <m/>
    <m/>
    <m/>
    <m/>
    <m/>
    <m/>
  </r>
  <r>
    <x v="12"/>
    <m/>
    <m/>
    <m/>
    <m/>
    <m/>
    <m/>
    <m/>
  </r>
  <r>
    <x v="12"/>
    <m/>
    <m/>
    <m/>
    <m/>
    <m/>
    <m/>
    <m/>
  </r>
  <r>
    <x v="12"/>
    <m/>
    <m/>
    <m/>
    <m/>
    <m/>
    <m/>
    <m/>
  </r>
  <r>
    <x v="12"/>
    <m/>
    <m/>
    <m/>
    <m/>
    <m/>
    <m/>
    <m/>
  </r>
  <r>
    <x v="12"/>
    <m/>
    <m/>
    <m/>
    <m/>
    <m/>
    <m/>
    <m/>
  </r>
  <r>
    <x v="12"/>
    <m/>
    <m/>
    <m/>
    <m/>
    <m/>
    <m/>
    <m/>
  </r>
  <r>
    <x v="12"/>
    <m/>
    <m/>
    <m/>
    <m/>
    <m/>
    <m/>
    <m/>
  </r>
  <r>
    <x v="12"/>
    <m/>
    <m/>
    <m/>
    <m/>
    <m/>
    <m/>
    <m/>
  </r>
  <r>
    <x v="12"/>
    <m/>
    <m/>
    <m/>
    <m/>
    <m/>
    <m/>
    <m/>
  </r>
  <r>
    <x v="12"/>
    <m/>
    <m/>
    <m/>
    <m/>
    <m/>
    <m/>
    <m/>
  </r>
  <r>
    <x v="12"/>
    <m/>
    <m/>
    <m/>
    <m/>
    <m/>
    <m/>
    <m/>
  </r>
  <r>
    <x v="12"/>
    <m/>
    <m/>
    <m/>
    <m/>
    <m/>
    <m/>
    <m/>
  </r>
  <r>
    <x v="12"/>
    <m/>
    <m/>
    <m/>
    <m/>
    <m/>
    <m/>
    <m/>
  </r>
  <r>
    <x v="12"/>
    <m/>
    <m/>
    <m/>
    <m/>
    <m/>
    <m/>
    <m/>
  </r>
  <r>
    <x v="12"/>
    <m/>
    <m/>
    <m/>
    <m/>
    <m/>
    <m/>
    <m/>
  </r>
  <r>
    <x v="12"/>
    <m/>
    <m/>
    <m/>
    <m/>
    <m/>
    <m/>
    <m/>
  </r>
  <r>
    <x v="12"/>
    <m/>
    <m/>
    <m/>
    <m/>
    <m/>
    <m/>
    <m/>
  </r>
  <r>
    <x v="12"/>
    <m/>
    <m/>
    <m/>
    <m/>
    <m/>
    <m/>
    <m/>
  </r>
  <r>
    <x v="12"/>
    <m/>
    <m/>
    <m/>
    <m/>
    <m/>
    <m/>
    <m/>
  </r>
  <r>
    <x v="12"/>
    <m/>
    <m/>
    <m/>
    <m/>
    <m/>
    <m/>
    <m/>
  </r>
  <r>
    <x v="12"/>
    <m/>
    <m/>
    <m/>
    <m/>
    <m/>
    <m/>
    <m/>
  </r>
  <r>
    <x v="12"/>
    <m/>
    <m/>
    <m/>
    <m/>
    <m/>
    <m/>
    <m/>
  </r>
  <r>
    <x v="12"/>
    <m/>
    <m/>
    <m/>
    <m/>
    <m/>
    <m/>
    <m/>
  </r>
  <r>
    <x v="12"/>
    <m/>
    <m/>
    <m/>
    <m/>
    <m/>
    <m/>
    <m/>
  </r>
  <r>
    <x v="12"/>
    <m/>
    <m/>
    <m/>
    <m/>
    <m/>
    <m/>
    <m/>
  </r>
  <r>
    <x v="12"/>
    <m/>
    <m/>
    <m/>
    <m/>
    <m/>
    <m/>
    <m/>
  </r>
  <r>
    <x v="12"/>
    <m/>
    <m/>
    <m/>
    <m/>
    <m/>
    <m/>
    <m/>
  </r>
  <r>
    <x v="12"/>
    <m/>
    <m/>
    <m/>
    <m/>
    <m/>
    <m/>
    <m/>
  </r>
  <r>
    <x v="12"/>
    <m/>
    <m/>
    <m/>
    <m/>
    <m/>
    <m/>
    <m/>
  </r>
  <r>
    <x v="12"/>
    <m/>
    <m/>
    <m/>
    <m/>
    <m/>
    <m/>
    <m/>
  </r>
  <r>
    <x v="12"/>
    <m/>
    <m/>
    <m/>
    <m/>
    <m/>
    <m/>
    <m/>
  </r>
  <r>
    <x v="12"/>
    <m/>
    <m/>
    <m/>
    <m/>
    <m/>
    <m/>
    <m/>
  </r>
  <r>
    <x v="12"/>
    <m/>
    <m/>
    <m/>
    <m/>
    <m/>
    <m/>
    <m/>
  </r>
  <r>
    <x v="12"/>
    <m/>
    <m/>
    <m/>
    <m/>
    <m/>
    <m/>
    <m/>
  </r>
  <r>
    <x v="12"/>
    <m/>
    <m/>
    <m/>
    <m/>
    <m/>
    <m/>
    <m/>
  </r>
  <r>
    <x v="12"/>
    <m/>
    <m/>
    <m/>
    <m/>
    <m/>
    <m/>
    <m/>
  </r>
  <r>
    <x v="12"/>
    <m/>
    <m/>
    <m/>
    <m/>
    <m/>
    <m/>
    <m/>
  </r>
  <r>
    <x v="12"/>
    <m/>
    <m/>
    <m/>
    <m/>
    <m/>
    <m/>
    <m/>
  </r>
  <r>
    <x v="12"/>
    <m/>
    <m/>
    <m/>
    <m/>
    <m/>
    <m/>
    <m/>
  </r>
  <r>
    <x v="12"/>
    <m/>
    <m/>
    <m/>
    <m/>
    <m/>
    <m/>
    <m/>
  </r>
  <r>
    <x v="12"/>
    <m/>
    <m/>
    <m/>
    <m/>
    <m/>
    <m/>
    <m/>
  </r>
  <r>
    <x v="12"/>
    <m/>
    <m/>
    <m/>
    <m/>
    <m/>
    <m/>
    <m/>
  </r>
  <r>
    <x v="12"/>
    <m/>
    <m/>
    <m/>
    <m/>
    <m/>
    <m/>
    <m/>
  </r>
  <r>
    <x v="12"/>
    <m/>
    <m/>
    <m/>
    <m/>
    <m/>
    <m/>
    <m/>
  </r>
  <r>
    <x v="12"/>
    <m/>
    <m/>
    <m/>
    <m/>
    <m/>
    <m/>
    <m/>
  </r>
  <r>
    <x v="12"/>
    <m/>
    <m/>
    <m/>
    <m/>
    <m/>
    <m/>
    <m/>
  </r>
  <r>
    <x v="12"/>
    <m/>
    <m/>
    <m/>
    <m/>
    <m/>
    <m/>
    <m/>
  </r>
  <r>
    <x v="12"/>
    <m/>
    <m/>
    <m/>
    <m/>
    <m/>
    <m/>
    <m/>
  </r>
  <r>
    <x v="12"/>
    <m/>
    <m/>
    <m/>
    <m/>
    <m/>
    <m/>
    <m/>
  </r>
  <r>
    <x v="12"/>
    <m/>
    <m/>
    <m/>
    <m/>
    <m/>
    <m/>
    <m/>
  </r>
  <r>
    <x v="12"/>
    <m/>
    <m/>
    <m/>
    <m/>
    <m/>
    <m/>
    <m/>
  </r>
  <r>
    <x v="12"/>
    <m/>
    <m/>
    <m/>
    <m/>
    <m/>
    <m/>
    <m/>
  </r>
  <r>
    <x v="12"/>
    <m/>
    <m/>
    <m/>
    <m/>
    <m/>
    <m/>
    <m/>
  </r>
  <r>
    <x v="12"/>
    <m/>
    <m/>
    <m/>
    <m/>
    <m/>
    <m/>
    <m/>
  </r>
  <r>
    <x v="12"/>
    <m/>
    <m/>
    <m/>
    <m/>
    <m/>
    <m/>
    <m/>
  </r>
  <r>
    <x v="12"/>
    <m/>
    <m/>
    <m/>
    <m/>
    <m/>
    <m/>
    <m/>
  </r>
  <r>
    <x v="12"/>
    <m/>
    <m/>
    <m/>
    <m/>
    <m/>
    <m/>
    <m/>
  </r>
  <r>
    <x v="12"/>
    <m/>
    <m/>
    <m/>
    <m/>
    <m/>
    <m/>
    <m/>
  </r>
  <r>
    <x v="12"/>
    <m/>
    <m/>
    <m/>
    <m/>
    <m/>
    <m/>
    <m/>
  </r>
  <r>
    <x v="12"/>
    <m/>
    <m/>
    <m/>
    <m/>
    <m/>
    <m/>
    <m/>
  </r>
  <r>
    <x v="12"/>
    <m/>
    <m/>
    <m/>
    <m/>
    <m/>
    <m/>
    <m/>
  </r>
  <r>
    <x v="12"/>
    <m/>
    <m/>
    <m/>
    <m/>
    <m/>
    <m/>
    <m/>
  </r>
  <r>
    <x v="12"/>
    <m/>
    <m/>
    <m/>
    <m/>
    <m/>
    <m/>
    <m/>
  </r>
  <r>
    <x v="12"/>
    <m/>
    <m/>
    <m/>
    <m/>
    <m/>
    <m/>
    <m/>
  </r>
  <r>
    <x v="12"/>
    <m/>
    <m/>
    <m/>
    <m/>
    <m/>
    <m/>
    <m/>
  </r>
  <r>
    <x v="12"/>
    <m/>
    <m/>
    <m/>
    <m/>
    <m/>
    <m/>
    <m/>
  </r>
  <r>
    <x v="12"/>
    <m/>
    <m/>
    <m/>
    <m/>
    <m/>
    <m/>
    <m/>
  </r>
  <r>
    <x v="12"/>
    <m/>
    <m/>
    <m/>
    <m/>
    <m/>
    <m/>
    <m/>
  </r>
  <r>
    <x v="12"/>
    <m/>
    <m/>
    <m/>
    <m/>
    <m/>
    <m/>
    <m/>
  </r>
  <r>
    <x v="12"/>
    <m/>
    <m/>
    <m/>
    <m/>
    <m/>
    <m/>
    <m/>
  </r>
  <r>
    <x v="12"/>
    <m/>
    <m/>
    <m/>
    <m/>
    <m/>
    <m/>
    <m/>
  </r>
  <r>
    <x v="12"/>
    <m/>
    <m/>
    <m/>
    <m/>
    <m/>
    <m/>
    <m/>
  </r>
  <r>
    <x v="12"/>
    <m/>
    <m/>
    <m/>
    <m/>
    <m/>
    <m/>
    <m/>
  </r>
  <r>
    <x v="12"/>
    <m/>
    <m/>
    <m/>
    <m/>
    <m/>
    <m/>
    <m/>
  </r>
  <r>
    <x v="12"/>
    <m/>
    <m/>
    <m/>
    <m/>
    <m/>
    <m/>
    <m/>
  </r>
  <r>
    <x v="12"/>
    <m/>
    <m/>
    <m/>
    <m/>
    <m/>
    <m/>
    <m/>
  </r>
  <r>
    <x v="12"/>
    <m/>
    <m/>
    <m/>
    <m/>
    <m/>
    <m/>
    <m/>
  </r>
  <r>
    <x v="12"/>
    <m/>
    <m/>
    <m/>
    <m/>
    <m/>
    <m/>
    <m/>
  </r>
  <r>
    <x v="12"/>
    <m/>
    <m/>
    <m/>
    <m/>
    <m/>
    <m/>
    <m/>
  </r>
  <r>
    <x v="12"/>
    <m/>
    <m/>
    <m/>
    <m/>
    <m/>
    <m/>
    <m/>
  </r>
  <r>
    <x v="12"/>
    <m/>
    <m/>
    <m/>
    <m/>
    <m/>
    <m/>
    <m/>
  </r>
  <r>
    <x v="12"/>
    <m/>
    <m/>
    <m/>
    <m/>
    <m/>
    <m/>
    <m/>
  </r>
  <r>
    <x v="12"/>
    <m/>
    <m/>
    <m/>
    <m/>
    <m/>
    <m/>
    <m/>
  </r>
  <r>
    <x v="12"/>
    <m/>
    <m/>
    <m/>
    <m/>
    <m/>
    <m/>
    <m/>
  </r>
  <r>
    <x v="12"/>
    <m/>
    <m/>
    <m/>
    <m/>
    <m/>
    <m/>
    <m/>
  </r>
  <r>
    <x v="12"/>
    <m/>
    <m/>
    <m/>
    <m/>
    <m/>
    <m/>
    <m/>
  </r>
  <r>
    <x v="12"/>
    <m/>
    <m/>
    <m/>
    <m/>
    <m/>
    <m/>
    <m/>
  </r>
  <r>
    <x v="12"/>
    <m/>
    <m/>
    <m/>
    <m/>
    <m/>
    <m/>
    <m/>
  </r>
  <r>
    <x v="12"/>
    <m/>
    <m/>
    <m/>
    <m/>
    <m/>
    <m/>
    <m/>
  </r>
  <r>
    <x v="12"/>
    <m/>
    <m/>
    <m/>
    <m/>
    <m/>
    <m/>
    <m/>
  </r>
  <r>
    <x v="12"/>
    <m/>
    <m/>
    <m/>
    <m/>
    <m/>
    <m/>
    <m/>
  </r>
  <r>
    <x v="12"/>
    <m/>
    <m/>
    <m/>
    <m/>
    <m/>
    <m/>
    <m/>
  </r>
  <r>
    <x v="12"/>
    <m/>
    <m/>
    <m/>
    <m/>
    <m/>
    <m/>
    <m/>
  </r>
  <r>
    <x v="12"/>
    <m/>
    <m/>
    <m/>
    <m/>
    <m/>
    <m/>
    <m/>
  </r>
  <r>
    <x v="12"/>
    <m/>
    <m/>
    <m/>
    <m/>
    <m/>
    <m/>
    <m/>
  </r>
  <r>
    <x v="12"/>
    <m/>
    <m/>
    <m/>
    <m/>
    <m/>
    <m/>
    <m/>
  </r>
  <r>
    <x v="12"/>
    <m/>
    <m/>
    <m/>
    <m/>
    <m/>
    <m/>
    <m/>
  </r>
  <r>
    <x v="12"/>
    <m/>
    <m/>
    <m/>
    <m/>
    <m/>
    <m/>
    <m/>
  </r>
  <r>
    <x v="12"/>
    <m/>
    <m/>
    <m/>
    <m/>
    <m/>
    <m/>
    <m/>
  </r>
  <r>
    <x v="12"/>
    <m/>
    <m/>
    <m/>
    <m/>
    <m/>
    <m/>
    <m/>
  </r>
  <r>
    <x v="12"/>
    <m/>
    <m/>
    <m/>
    <m/>
    <m/>
    <m/>
    <m/>
  </r>
  <r>
    <x v="12"/>
    <m/>
    <m/>
    <m/>
    <m/>
    <m/>
    <m/>
    <m/>
  </r>
  <r>
    <x v="12"/>
    <m/>
    <m/>
    <m/>
    <m/>
    <m/>
    <m/>
    <m/>
  </r>
  <r>
    <x v="12"/>
    <m/>
    <m/>
    <m/>
    <m/>
    <m/>
    <m/>
    <m/>
  </r>
  <r>
    <x v="12"/>
    <m/>
    <m/>
    <m/>
    <m/>
    <m/>
    <m/>
    <m/>
  </r>
  <r>
    <x v="12"/>
    <m/>
    <m/>
    <m/>
    <m/>
    <m/>
    <m/>
    <m/>
  </r>
  <r>
    <x v="12"/>
    <m/>
    <m/>
    <m/>
    <m/>
    <m/>
    <m/>
    <m/>
  </r>
  <r>
    <x v="12"/>
    <m/>
    <m/>
    <m/>
    <m/>
    <m/>
    <m/>
    <m/>
  </r>
  <r>
    <x v="12"/>
    <m/>
    <m/>
    <m/>
    <m/>
    <m/>
    <m/>
    <m/>
  </r>
  <r>
    <x v="12"/>
    <m/>
    <m/>
    <m/>
    <m/>
    <m/>
    <m/>
    <m/>
  </r>
  <r>
    <x v="12"/>
    <m/>
    <m/>
    <m/>
    <m/>
    <m/>
    <m/>
    <m/>
  </r>
  <r>
    <x v="12"/>
    <m/>
    <m/>
    <m/>
    <m/>
    <m/>
    <m/>
    <m/>
  </r>
  <r>
    <x v="12"/>
    <m/>
    <m/>
    <m/>
    <m/>
    <m/>
    <m/>
    <m/>
  </r>
  <r>
    <x v="12"/>
    <m/>
    <m/>
    <m/>
    <m/>
    <m/>
    <m/>
    <m/>
  </r>
  <r>
    <x v="12"/>
    <m/>
    <m/>
    <m/>
    <m/>
    <m/>
    <m/>
    <m/>
  </r>
  <r>
    <x v="12"/>
    <m/>
    <m/>
    <m/>
    <m/>
    <m/>
    <m/>
    <m/>
  </r>
  <r>
    <x v="12"/>
    <m/>
    <m/>
    <m/>
    <m/>
    <m/>
    <m/>
    <m/>
  </r>
  <r>
    <x v="12"/>
    <m/>
    <m/>
    <m/>
    <m/>
    <m/>
    <m/>
    <m/>
  </r>
  <r>
    <x v="12"/>
    <m/>
    <m/>
    <m/>
    <m/>
    <m/>
    <m/>
    <m/>
  </r>
  <r>
    <x v="12"/>
    <m/>
    <m/>
    <m/>
    <m/>
    <m/>
    <m/>
    <m/>
  </r>
  <r>
    <x v="12"/>
    <m/>
    <m/>
    <m/>
    <m/>
    <m/>
    <m/>
    <m/>
  </r>
  <r>
    <x v="12"/>
    <m/>
    <m/>
    <m/>
    <m/>
    <m/>
    <m/>
    <m/>
  </r>
  <r>
    <x v="12"/>
    <m/>
    <m/>
    <m/>
    <m/>
    <m/>
    <m/>
    <m/>
  </r>
  <r>
    <x v="12"/>
    <m/>
    <m/>
    <m/>
    <m/>
    <m/>
    <m/>
    <m/>
  </r>
  <r>
    <x v="12"/>
    <m/>
    <m/>
    <m/>
    <m/>
    <m/>
    <m/>
    <m/>
  </r>
  <r>
    <x v="12"/>
    <m/>
    <m/>
    <m/>
    <m/>
    <m/>
    <m/>
    <m/>
  </r>
  <r>
    <x v="12"/>
    <m/>
    <m/>
    <m/>
    <m/>
    <m/>
    <m/>
    <m/>
  </r>
  <r>
    <x v="12"/>
    <m/>
    <m/>
    <m/>
    <m/>
    <m/>
    <m/>
    <m/>
  </r>
  <r>
    <x v="12"/>
    <m/>
    <m/>
    <m/>
    <m/>
    <m/>
    <m/>
    <m/>
  </r>
  <r>
    <x v="12"/>
    <m/>
    <m/>
    <m/>
    <m/>
    <m/>
    <m/>
    <m/>
  </r>
  <r>
    <x v="12"/>
    <m/>
    <m/>
    <m/>
    <m/>
    <m/>
    <m/>
    <m/>
  </r>
  <r>
    <x v="12"/>
    <m/>
    <m/>
    <m/>
    <m/>
    <m/>
    <m/>
    <m/>
  </r>
  <r>
    <x v="12"/>
    <m/>
    <m/>
    <m/>
    <m/>
    <m/>
    <m/>
    <m/>
  </r>
  <r>
    <x v="12"/>
    <m/>
    <m/>
    <m/>
    <m/>
    <m/>
    <m/>
    <m/>
  </r>
  <r>
    <x v="12"/>
    <m/>
    <m/>
    <m/>
    <m/>
    <m/>
    <m/>
    <m/>
  </r>
  <r>
    <x v="12"/>
    <m/>
    <m/>
    <m/>
    <m/>
    <m/>
    <m/>
    <m/>
  </r>
  <r>
    <x v="12"/>
    <m/>
    <m/>
    <m/>
    <m/>
    <m/>
    <m/>
    <m/>
  </r>
  <r>
    <x v="12"/>
    <m/>
    <m/>
    <m/>
    <m/>
    <m/>
    <m/>
    <m/>
  </r>
  <r>
    <x v="12"/>
    <m/>
    <m/>
    <m/>
    <m/>
    <m/>
    <m/>
    <m/>
  </r>
  <r>
    <x v="12"/>
    <m/>
    <m/>
    <m/>
    <m/>
    <m/>
    <m/>
    <m/>
  </r>
  <r>
    <x v="12"/>
    <m/>
    <m/>
    <m/>
    <m/>
    <m/>
    <m/>
    <m/>
  </r>
  <r>
    <x v="12"/>
    <m/>
    <m/>
    <m/>
    <m/>
    <m/>
    <m/>
    <m/>
  </r>
  <r>
    <x v="12"/>
    <m/>
    <m/>
    <m/>
    <m/>
    <m/>
    <m/>
    <m/>
  </r>
  <r>
    <x v="12"/>
    <m/>
    <m/>
    <m/>
    <m/>
    <m/>
    <m/>
    <m/>
  </r>
  <r>
    <x v="12"/>
    <m/>
    <m/>
    <m/>
    <m/>
    <m/>
    <m/>
    <m/>
  </r>
  <r>
    <x v="12"/>
    <m/>
    <m/>
    <m/>
    <m/>
    <m/>
    <m/>
    <m/>
  </r>
  <r>
    <x v="12"/>
    <m/>
    <m/>
    <m/>
    <m/>
    <m/>
    <m/>
    <m/>
  </r>
  <r>
    <x v="12"/>
    <m/>
    <m/>
    <m/>
    <m/>
    <m/>
    <m/>
    <m/>
  </r>
  <r>
    <x v="12"/>
    <m/>
    <m/>
    <m/>
    <m/>
    <m/>
    <m/>
    <m/>
  </r>
  <r>
    <x v="12"/>
    <m/>
    <m/>
    <m/>
    <m/>
    <m/>
    <m/>
    <m/>
  </r>
  <r>
    <x v="12"/>
    <m/>
    <m/>
    <m/>
    <m/>
    <m/>
    <m/>
    <m/>
  </r>
  <r>
    <x v="12"/>
    <m/>
    <m/>
    <m/>
    <m/>
    <m/>
    <m/>
    <m/>
  </r>
  <r>
    <x v="12"/>
    <m/>
    <m/>
    <m/>
    <m/>
    <m/>
    <m/>
    <m/>
  </r>
  <r>
    <x v="12"/>
    <m/>
    <m/>
    <m/>
    <m/>
    <m/>
    <m/>
    <m/>
  </r>
  <r>
    <x v="12"/>
    <m/>
    <m/>
    <m/>
    <m/>
    <m/>
    <m/>
    <m/>
  </r>
  <r>
    <x v="12"/>
    <m/>
    <m/>
    <m/>
    <m/>
    <m/>
    <m/>
    <m/>
  </r>
  <r>
    <x v="12"/>
    <m/>
    <m/>
    <m/>
    <m/>
    <m/>
    <m/>
    <m/>
  </r>
  <r>
    <x v="12"/>
    <m/>
    <m/>
    <m/>
    <m/>
    <m/>
    <m/>
    <m/>
  </r>
  <r>
    <x v="12"/>
    <m/>
    <m/>
    <m/>
    <m/>
    <m/>
    <m/>
    <m/>
  </r>
  <r>
    <x v="12"/>
    <m/>
    <m/>
    <m/>
    <m/>
    <m/>
    <m/>
    <m/>
  </r>
  <r>
    <x v="12"/>
    <m/>
    <m/>
    <m/>
    <m/>
    <m/>
    <m/>
    <m/>
  </r>
  <r>
    <x v="12"/>
    <m/>
    <m/>
    <m/>
    <m/>
    <m/>
    <m/>
    <m/>
  </r>
  <r>
    <x v="12"/>
    <m/>
    <m/>
    <m/>
    <m/>
    <m/>
    <m/>
    <m/>
  </r>
  <r>
    <x v="12"/>
    <m/>
    <m/>
    <m/>
    <m/>
    <m/>
    <m/>
    <m/>
  </r>
  <r>
    <x v="12"/>
    <m/>
    <m/>
    <m/>
    <m/>
    <m/>
    <m/>
    <m/>
  </r>
  <r>
    <x v="12"/>
    <m/>
    <m/>
    <m/>
    <m/>
    <m/>
    <m/>
    <m/>
  </r>
  <r>
    <x v="12"/>
    <m/>
    <m/>
    <m/>
    <m/>
    <m/>
    <m/>
    <m/>
  </r>
  <r>
    <x v="12"/>
    <m/>
    <m/>
    <m/>
    <m/>
    <m/>
    <m/>
    <m/>
  </r>
  <r>
    <x v="12"/>
    <m/>
    <m/>
    <m/>
    <m/>
    <m/>
    <m/>
    <m/>
  </r>
  <r>
    <x v="12"/>
    <m/>
    <m/>
    <m/>
    <m/>
    <m/>
    <m/>
    <m/>
  </r>
  <r>
    <x v="12"/>
    <m/>
    <m/>
    <m/>
    <m/>
    <m/>
    <m/>
    <m/>
  </r>
  <r>
    <x v="12"/>
    <m/>
    <m/>
    <m/>
    <m/>
    <m/>
    <m/>
    <m/>
  </r>
  <r>
    <x v="12"/>
    <m/>
    <m/>
    <m/>
    <m/>
    <m/>
    <m/>
    <m/>
  </r>
  <r>
    <x v="12"/>
    <m/>
    <m/>
    <m/>
    <m/>
    <m/>
    <m/>
    <m/>
  </r>
  <r>
    <x v="12"/>
    <m/>
    <m/>
    <m/>
    <m/>
    <m/>
    <m/>
    <m/>
  </r>
  <r>
    <x v="12"/>
    <m/>
    <m/>
    <m/>
    <m/>
    <m/>
    <m/>
    <m/>
  </r>
  <r>
    <x v="12"/>
    <m/>
    <m/>
    <m/>
    <m/>
    <m/>
    <m/>
    <m/>
  </r>
  <r>
    <x v="12"/>
    <m/>
    <m/>
    <m/>
    <m/>
    <m/>
    <m/>
    <m/>
  </r>
  <r>
    <x v="12"/>
    <m/>
    <m/>
    <m/>
    <m/>
    <m/>
    <m/>
    <m/>
  </r>
  <r>
    <x v="12"/>
    <m/>
    <m/>
    <m/>
    <m/>
    <m/>
    <m/>
    <m/>
  </r>
  <r>
    <x v="12"/>
    <m/>
    <m/>
    <m/>
    <m/>
    <m/>
    <m/>
    <m/>
  </r>
  <r>
    <x v="12"/>
    <m/>
    <m/>
    <m/>
    <m/>
    <m/>
    <m/>
    <m/>
  </r>
  <r>
    <x v="12"/>
    <m/>
    <m/>
    <m/>
    <m/>
    <m/>
    <m/>
    <m/>
  </r>
  <r>
    <x v="12"/>
    <m/>
    <m/>
    <m/>
    <m/>
    <m/>
    <m/>
    <m/>
  </r>
  <r>
    <x v="12"/>
    <m/>
    <m/>
    <m/>
    <m/>
    <m/>
    <m/>
    <m/>
  </r>
  <r>
    <x v="12"/>
    <m/>
    <m/>
    <m/>
    <m/>
    <m/>
    <m/>
    <m/>
  </r>
  <r>
    <x v="12"/>
    <m/>
    <m/>
    <m/>
    <m/>
    <m/>
    <m/>
    <m/>
  </r>
  <r>
    <x v="12"/>
    <m/>
    <m/>
    <m/>
    <m/>
    <m/>
    <m/>
    <m/>
  </r>
  <r>
    <x v="12"/>
    <m/>
    <m/>
    <m/>
    <m/>
    <m/>
    <m/>
    <m/>
  </r>
  <r>
    <x v="12"/>
    <m/>
    <m/>
    <m/>
    <m/>
    <m/>
    <m/>
    <m/>
  </r>
  <r>
    <x v="12"/>
    <m/>
    <m/>
    <m/>
    <m/>
    <m/>
    <m/>
    <m/>
  </r>
  <r>
    <x v="12"/>
    <m/>
    <m/>
    <m/>
    <m/>
    <m/>
    <m/>
    <m/>
  </r>
  <r>
    <x v="12"/>
    <m/>
    <m/>
    <m/>
    <m/>
    <m/>
    <m/>
    <m/>
  </r>
  <r>
    <x v="12"/>
    <m/>
    <m/>
    <m/>
    <m/>
    <m/>
    <m/>
    <m/>
  </r>
  <r>
    <x v="12"/>
    <m/>
    <m/>
    <m/>
    <m/>
    <m/>
    <m/>
    <m/>
  </r>
  <r>
    <x v="12"/>
    <m/>
    <m/>
    <m/>
    <m/>
    <m/>
    <m/>
    <m/>
  </r>
  <r>
    <x v="12"/>
    <m/>
    <m/>
    <m/>
    <m/>
    <m/>
    <m/>
    <m/>
  </r>
  <r>
    <x v="12"/>
    <m/>
    <m/>
    <m/>
    <m/>
    <m/>
    <m/>
    <m/>
  </r>
  <r>
    <x v="12"/>
    <m/>
    <m/>
    <m/>
    <m/>
    <m/>
    <m/>
    <m/>
  </r>
  <r>
    <x v="12"/>
    <m/>
    <m/>
    <m/>
    <m/>
    <m/>
    <m/>
    <m/>
  </r>
  <r>
    <x v="12"/>
    <m/>
    <m/>
    <m/>
    <m/>
    <m/>
    <m/>
    <m/>
  </r>
  <r>
    <x v="12"/>
    <m/>
    <m/>
    <m/>
    <m/>
    <m/>
    <m/>
    <m/>
  </r>
  <r>
    <x v="12"/>
    <m/>
    <m/>
    <m/>
    <m/>
    <m/>
    <m/>
    <m/>
  </r>
  <r>
    <x v="12"/>
    <m/>
    <m/>
    <m/>
    <m/>
    <m/>
    <m/>
    <m/>
  </r>
  <r>
    <x v="12"/>
    <m/>
    <m/>
    <m/>
    <m/>
    <m/>
    <m/>
    <m/>
  </r>
  <r>
    <x v="12"/>
    <m/>
    <m/>
    <m/>
    <m/>
    <m/>
    <m/>
    <m/>
  </r>
  <r>
    <x v="12"/>
    <m/>
    <m/>
    <m/>
    <m/>
    <m/>
    <m/>
    <m/>
  </r>
  <r>
    <x v="12"/>
    <m/>
    <m/>
    <m/>
    <m/>
    <m/>
    <m/>
    <m/>
  </r>
  <r>
    <x v="12"/>
    <m/>
    <m/>
    <m/>
    <m/>
    <m/>
    <m/>
    <m/>
  </r>
  <r>
    <x v="12"/>
    <m/>
    <m/>
    <m/>
    <m/>
    <m/>
    <m/>
    <m/>
  </r>
  <r>
    <x v="12"/>
    <m/>
    <m/>
    <m/>
    <m/>
    <m/>
    <m/>
    <m/>
  </r>
  <r>
    <x v="12"/>
    <m/>
    <m/>
    <m/>
    <m/>
    <m/>
    <m/>
    <m/>
  </r>
  <r>
    <x v="12"/>
    <m/>
    <m/>
    <m/>
    <m/>
    <m/>
    <m/>
    <m/>
  </r>
  <r>
    <x v="12"/>
    <m/>
    <m/>
    <m/>
    <m/>
    <m/>
    <m/>
    <m/>
  </r>
  <r>
    <x v="12"/>
    <m/>
    <m/>
    <m/>
    <m/>
    <m/>
    <m/>
    <m/>
  </r>
  <r>
    <x v="12"/>
    <m/>
    <m/>
    <m/>
    <m/>
    <m/>
    <m/>
    <m/>
  </r>
  <r>
    <x v="12"/>
    <m/>
    <m/>
    <m/>
    <m/>
    <m/>
    <m/>
    <m/>
  </r>
  <r>
    <x v="12"/>
    <m/>
    <m/>
    <m/>
    <m/>
    <m/>
    <m/>
    <m/>
  </r>
  <r>
    <x v="12"/>
    <m/>
    <m/>
    <m/>
    <m/>
    <m/>
    <m/>
    <m/>
  </r>
  <r>
    <x v="12"/>
    <m/>
    <m/>
    <m/>
    <m/>
    <m/>
    <m/>
    <m/>
  </r>
  <r>
    <x v="12"/>
    <m/>
    <m/>
    <m/>
    <m/>
    <m/>
    <m/>
    <m/>
  </r>
  <r>
    <x v="12"/>
    <m/>
    <m/>
    <m/>
    <m/>
    <m/>
    <m/>
    <m/>
  </r>
  <r>
    <x v="12"/>
    <m/>
    <m/>
    <m/>
    <m/>
    <m/>
    <m/>
    <m/>
  </r>
  <r>
    <x v="12"/>
    <m/>
    <m/>
    <m/>
    <m/>
    <m/>
    <m/>
    <m/>
  </r>
  <r>
    <x v="12"/>
    <m/>
    <m/>
    <m/>
    <m/>
    <m/>
    <m/>
    <m/>
  </r>
  <r>
    <x v="12"/>
    <m/>
    <m/>
    <m/>
    <m/>
    <m/>
    <m/>
    <m/>
  </r>
  <r>
    <x v="12"/>
    <m/>
    <m/>
    <m/>
    <m/>
    <m/>
    <m/>
    <m/>
  </r>
  <r>
    <x v="12"/>
    <m/>
    <m/>
    <m/>
    <m/>
    <m/>
    <m/>
    <m/>
  </r>
  <r>
    <x v="12"/>
    <m/>
    <m/>
    <m/>
    <m/>
    <m/>
    <m/>
    <m/>
  </r>
  <r>
    <x v="12"/>
    <m/>
    <m/>
    <m/>
    <m/>
    <m/>
    <m/>
    <m/>
  </r>
  <r>
    <x v="12"/>
    <m/>
    <m/>
    <m/>
    <m/>
    <m/>
    <m/>
    <m/>
  </r>
  <r>
    <x v="12"/>
    <m/>
    <m/>
    <m/>
    <m/>
    <m/>
    <m/>
    <m/>
  </r>
  <r>
    <x v="12"/>
    <m/>
    <m/>
    <m/>
    <m/>
    <m/>
    <m/>
    <m/>
  </r>
  <r>
    <x v="12"/>
    <m/>
    <m/>
    <m/>
    <m/>
    <m/>
    <m/>
    <m/>
  </r>
  <r>
    <x v="12"/>
    <m/>
    <m/>
    <m/>
    <m/>
    <m/>
    <m/>
    <m/>
  </r>
  <r>
    <x v="12"/>
    <m/>
    <m/>
    <m/>
    <m/>
    <m/>
    <m/>
    <m/>
  </r>
  <r>
    <x v="12"/>
    <m/>
    <m/>
    <m/>
    <m/>
    <m/>
    <m/>
    <m/>
  </r>
  <r>
    <x v="12"/>
    <m/>
    <m/>
    <m/>
    <m/>
    <m/>
    <m/>
    <m/>
  </r>
  <r>
    <x v="12"/>
    <m/>
    <m/>
    <m/>
    <m/>
    <m/>
    <m/>
    <m/>
  </r>
  <r>
    <x v="12"/>
    <m/>
    <m/>
    <m/>
    <m/>
    <m/>
    <m/>
    <m/>
  </r>
  <r>
    <x v="12"/>
    <m/>
    <m/>
    <m/>
    <m/>
    <m/>
    <m/>
    <m/>
  </r>
  <r>
    <x v="12"/>
    <m/>
    <m/>
    <m/>
    <m/>
    <m/>
    <m/>
    <m/>
  </r>
  <r>
    <x v="12"/>
    <m/>
    <m/>
    <m/>
    <m/>
    <m/>
    <m/>
    <m/>
  </r>
  <r>
    <x v="12"/>
    <m/>
    <m/>
    <m/>
    <m/>
    <m/>
    <m/>
    <m/>
  </r>
  <r>
    <x v="12"/>
    <m/>
    <m/>
    <m/>
    <m/>
    <m/>
    <m/>
    <m/>
  </r>
  <r>
    <x v="12"/>
    <m/>
    <m/>
    <m/>
    <m/>
    <m/>
    <m/>
    <m/>
  </r>
  <r>
    <x v="12"/>
    <m/>
    <m/>
    <m/>
    <m/>
    <m/>
    <m/>
    <m/>
  </r>
  <r>
    <x v="12"/>
    <m/>
    <m/>
    <m/>
    <m/>
    <m/>
    <m/>
    <m/>
  </r>
  <r>
    <x v="12"/>
    <m/>
    <m/>
    <m/>
    <m/>
    <m/>
    <m/>
    <m/>
  </r>
  <r>
    <x v="12"/>
    <m/>
    <m/>
    <m/>
    <m/>
    <m/>
    <m/>
    <m/>
  </r>
  <r>
    <x v="12"/>
    <m/>
    <m/>
    <m/>
    <m/>
    <m/>
    <m/>
    <m/>
  </r>
  <r>
    <x v="12"/>
    <m/>
    <m/>
    <m/>
    <m/>
    <m/>
    <m/>
    <m/>
  </r>
  <r>
    <x v="12"/>
    <m/>
    <m/>
    <m/>
    <m/>
    <m/>
    <m/>
    <m/>
  </r>
  <r>
    <x v="12"/>
    <m/>
    <m/>
    <m/>
    <m/>
    <m/>
    <m/>
    <m/>
  </r>
  <r>
    <x v="12"/>
    <m/>
    <m/>
    <m/>
    <m/>
    <m/>
    <m/>
    <m/>
  </r>
  <r>
    <x v="12"/>
    <m/>
    <m/>
    <m/>
    <m/>
    <m/>
    <m/>
    <m/>
  </r>
  <r>
    <x v="12"/>
    <m/>
    <m/>
    <m/>
    <m/>
    <m/>
    <m/>
    <m/>
  </r>
  <r>
    <x v="12"/>
    <m/>
    <m/>
    <m/>
    <m/>
    <m/>
    <m/>
    <m/>
  </r>
  <r>
    <x v="12"/>
    <m/>
    <m/>
    <m/>
    <m/>
    <m/>
    <m/>
    <m/>
  </r>
  <r>
    <x v="12"/>
    <m/>
    <m/>
    <m/>
    <m/>
    <m/>
    <m/>
    <m/>
  </r>
  <r>
    <x v="12"/>
    <m/>
    <m/>
    <m/>
    <m/>
    <m/>
    <m/>
    <m/>
  </r>
  <r>
    <x v="12"/>
    <m/>
    <m/>
    <m/>
    <m/>
    <m/>
    <m/>
    <m/>
  </r>
  <r>
    <x v="12"/>
    <m/>
    <m/>
    <m/>
    <m/>
    <m/>
    <m/>
    <m/>
  </r>
  <r>
    <x v="12"/>
    <m/>
    <m/>
    <m/>
    <m/>
    <m/>
    <m/>
    <m/>
  </r>
  <r>
    <x v="12"/>
    <m/>
    <m/>
    <m/>
    <m/>
    <m/>
    <m/>
    <m/>
  </r>
  <r>
    <x v="12"/>
    <m/>
    <m/>
    <m/>
    <m/>
    <m/>
    <m/>
    <m/>
  </r>
  <r>
    <x v="12"/>
    <m/>
    <m/>
    <m/>
    <m/>
    <m/>
    <m/>
    <m/>
  </r>
  <r>
    <x v="12"/>
    <m/>
    <m/>
    <m/>
    <m/>
    <m/>
    <m/>
    <m/>
  </r>
  <r>
    <x v="12"/>
    <m/>
    <m/>
    <m/>
    <m/>
    <m/>
    <m/>
    <m/>
  </r>
  <r>
    <x v="12"/>
    <m/>
    <m/>
    <m/>
    <m/>
    <m/>
    <m/>
    <m/>
  </r>
  <r>
    <x v="12"/>
    <m/>
    <m/>
    <m/>
    <m/>
    <m/>
    <m/>
    <m/>
  </r>
  <r>
    <x v="12"/>
    <m/>
    <m/>
    <m/>
    <m/>
    <m/>
    <m/>
    <m/>
  </r>
  <r>
    <x v="12"/>
    <m/>
    <m/>
    <m/>
    <m/>
    <m/>
    <m/>
    <m/>
  </r>
  <r>
    <x v="12"/>
    <m/>
    <m/>
    <m/>
    <m/>
    <m/>
    <m/>
    <m/>
  </r>
  <r>
    <x v="12"/>
    <m/>
    <m/>
    <m/>
    <m/>
    <m/>
    <m/>
    <m/>
  </r>
  <r>
    <x v="12"/>
    <m/>
    <m/>
    <m/>
    <m/>
    <m/>
    <m/>
    <m/>
  </r>
  <r>
    <x v="12"/>
    <m/>
    <m/>
    <m/>
    <m/>
    <m/>
    <m/>
    <m/>
  </r>
  <r>
    <x v="12"/>
    <m/>
    <m/>
    <m/>
    <m/>
    <m/>
    <m/>
    <m/>
  </r>
  <r>
    <x v="12"/>
    <m/>
    <m/>
    <m/>
    <m/>
    <m/>
    <m/>
    <m/>
  </r>
  <r>
    <x v="12"/>
    <m/>
    <m/>
    <m/>
    <m/>
    <m/>
    <m/>
    <m/>
  </r>
  <r>
    <x v="12"/>
    <m/>
    <m/>
    <m/>
    <m/>
    <m/>
    <m/>
    <m/>
  </r>
  <r>
    <x v="12"/>
    <m/>
    <m/>
    <m/>
    <m/>
    <m/>
    <m/>
    <m/>
  </r>
  <r>
    <x v="12"/>
    <m/>
    <m/>
    <m/>
    <m/>
    <m/>
    <m/>
    <m/>
  </r>
  <r>
    <x v="12"/>
    <m/>
    <m/>
    <m/>
    <m/>
    <m/>
    <m/>
    <m/>
  </r>
  <r>
    <x v="12"/>
    <m/>
    <m/>
    <m/>
    <m/>
    <m/>
    <m/>
    <m/>
  </r>
  <r>
    <x v="12"/>
    <m/>
    <m/>
    <m/>
    <m/>
    <m/>
    <m/>
    <m/>
  </r>
  <r>
    <x v="12"/>
    <m/>
    <m/>
    <m/>
    <m/>
    <m/>
    <m/>
    <m/>
  </r>
  <r>
    <x v="12"/>
    <m/>
    <m/>
    <m/>
    <m/>
    <m/>
    <m/>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7EC6DB7B-6009-49B1-AA85-03DA433BDEC8}" name="PivotTable6"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8">
  <location ref="J53:K61" firstHeaderRow="1" firstDataRow="1" firstDataCol="1"/>
  <pivotFields count="13">
    <pivotField dataField="1" showAll="0">
      <items count="1001">
        <item x="0"/>
        <item x="1"/>
        <item x="2"/>
        <item x="3"/>
        <item x="4"/>
        <item x="5"/>
        <item x="6"/>
        <item x="7"/>
        <item x="8"/>
        <item x="9"/>
        <item x="99"/>
        <item x="999"/>
        <item x="100"/>
        <item x="101"/>
        <item x="102"/>
        <item x="103"/>
        <item x="104"/>
        <item x="105"/>
        <item x="106"/>
        <item x="107"/>
        <item x="108"/>
        <item x="10"/>
        <item x="109"/>
        <item x="110"/>
        <item x="111"/>
        <item x="112"/>
        <item x="113"/>
        <item x="114"/>
        <item x="115"/>
        <item x="116"/>
        <item x="117"/>
        <item x="118"/>
        <item x="11"/>
        <item x="119"/>
        <item x="120"/>
        <item x="121"/>
        <item x="122"/>
        <item x="123"/>
        <item x="124"/>
        <item x="125"/>
        <item x="126"/>
        <item x="127"/>
        <item x="128"/>
        <item x="12"/>
        <item x="129"/>
        <item x="130"/>
        <item x="131"/>
        <item x="132"/>
        <item x="133"/>
        <item x="134"/>
        <item x="135"/>
        <item x="136"/>
        <item x="137"/>
        <item x="138"/>
        <item x="13"/>
        <item x="139"/>
        <item x="140"/>
        <item x="141"/>
        <item x="142"/>
        <item x="143"/>
        <item x="144"/>
        <item x="145"/>
        <item x="146"/>
        <item x="147"/>
        <item x="148"/>
        <item x="14"/>
        <item x="149"/>
        <item x="150"/>
        <item x="151"/>
        <item x="152"/>
        <item x="153"/>
        <item x="154"/>
        <item x="155"/>
        <item x="156"/>
        <item x="157"/>
        <item x="158"/>
        <item x="15"/>
        <item x="159"/>
        <item x="160"/>
        <item x="161"/>
        <item x="162"/>
        <item x="163"/>
        <item x="164"/>
        <item x="165"/>
        <item x="166"/>
        <item x="167"/>
        <item x="168"/>
        <item x="16"/>
        <item x="169"/>
        <item x="170"/>
        <item x="171"/>
        <item x="172"/>
        <item x="173"/>
        <item x="174"/>
        <item x="175"/>
        <item x="176"/>
        <item x="177"/>
        <item x="178"/>
        <item x="17"/>
        <item x="179"/>
        <item x="180"/>
        <item x="181"/>
        <item x="182"/>
        <item x="183"/>
        <item x="184"/>
        <item x="185"/>
        <item x="186"/>
        <item x="187"/>
        <item x="188"/>
        <item x="18"/>
        <item x="189"/>
        <item x="190"/>
        <item x="191"/>
        <item x="192"/>
        <item x="193"/>
        <item x="194"/>
        <item x="195"/>
        <item x="196"/>
        <item x="197"/>
        <item x="198"/>
        <item x="19"/>
        <item x="199"/>
        <item x="200"/>
        <item x="201"/>
        <item x="202"/>
        <item x="203"/>
        <item x="204"/>
        <item x="205"/>
        <item x="206"/>
        <item x="207"/>
        <item x="208"/>
        <item x="20"/>
        <item x="209"/>
        <item x="210"/>
        <item x="211"/>
        <item x="212"/>
        <item x="213"/>
        <item x="214"/>
        <item x="215"/>
        <item x="216"/>
        <item x="217"/>
        <item x="218"/>
        <item x="21"/>
        <item x="219"/>
        <item x="220"/>
        <item x="221"/>
        <item x="222"/>
        <item x="223"/>
        <item x="224"/>
        <item x="225"/>
        <item x="226"/>
        <item x="227"/>
        <item x="228"/>
        <item x="22"/>
        <item x="229"/>
        <item x="230"/>
        <item x="231"/>
        <item x="232"/>
        <item x="233"/>
        <item x="234"/>
        <item x="235"/>
        <item x="236"/>
        <item x="237"/>
        <item x="238"/>
        <item x="23"/>
        <item x="239"/>
        <item x="240"/>
        <item x="241"/>
        <item x="242"/>
        <item x="243"/>
        <item x="244"/>
        <item x="245"/>
        <item x="246"/>
        <item x="247"/>
        <item x="248"/>
        <item x="24"/>
        <item x="249"/>
        <item x="250"/>
        <item x="251"/>
        <item x="252"/>
        <item x="253"/>
        <item x="254"/>
        <item x="255"/>
        <item x="256"/>
        <item x="257"/>
        <item x="258"/>
        <item x="25"/>
        <item x="259"/>
        <item x="260"/>
        <item x="261"/>
        <item x="262"/>
        <item x="263"/>
        <item x="264"/>
        <item x="265"/>
        <item x="266"/>
        <item x="267"/>
        <item x="268"/>
        <item x="26"/>
        <item x="269"/>
        <item x="270"/>
        <item x="271"/>
        <item x="272"/>
        <item x="273"/>
        <item x="274"/>
        <item x="275"/>
        <item x="276"/>
        <item x="277"/>
        <item x="278"/>
        <item x="27"/>
        <item x="279"/>
        <item x="280"/>
        <item x="281"/>
        <item x="282"/>
        <item x="283"/>
        <item x="284"/>
        <item x="285"/>
        <item x="286"/>
        <item x="287"/>
        <item x="288"/>
        <item x="28"/>
        <item x="289"/>
        <item x="290"/>
        <item x="291"/>
        <item x="292"/>
        <item x="293"/>
        <item x="294"/>
        <item x="295"/>
        <item x="296"/>
        <item x="297"/>
        <item x="298"/>
        <item x="29"/>
        <item x="299"/>
        <item x="300"/>
        <item x="301"/>
        <item x="302"/>
        <item x="303"/>
        <item x="304"/>
        <item x="305"/>
        <item x="306"/>
        <item x="307"/>
        <item x="308"/>
        <item x="30"/>
        <item x="309"/>
        <item x="310"/>
        <item x="311"/>
        <item x="312"/>
        <item x="313"/>
        <item x="314"/>
        <item x="315"/>
        <item x="316"/>
        <item x="317"/>
        <item x="318"/>
        <item x="31"/>
        <item x="319"/>
        <item x="320"/>
        <item x="321"/>
        <item x="322"/>
        <item x="323"/>
        <item x="324"/>
        <item x="325"/>
        <item x="326"/>
        <item x="327"/>
        <item x="328"/>
        <item x="32"/>
        <item x="329"/>
        <item x="330"/>
        <item x="331"/>
        <item x="332"/>
        <item x="333"/>
        <item x="334"/>
        <item x="335"/>
        <item x="336"/>
        <item x="337"/>
        <item x="338"/>
        <item x="33"/>
        <item x="339"/>
        <item x="340"/>
        <item x="341"/>
        <item x="342"/>
        <item x="343"/>
        <item x="344"/>
        <item x="345"/>
        <item x="346"/>
        <item x="347"/>
        <item x="348"/>
        <item x="34"/>
        <item x="349"/>
        <item x="350"/>
        <item x="351"/>
        <item x="352"/>
        <item x="353"/>
        <item x="354"/>
        <item x="355"/>
        <item x="356"/>
        <item x="357"/>
        <item x="358"/>
        <item x="35"/>
        <item x="359"/>
        <item x="360"/>
        <item x="361"/>
        <item x="362"/>
        <item x="363"/>
        <item x="364"/>
        <item x="365"/>
        <item x="366"/>
        <item x="367"/>
        <item x="368"/>
        <item x="36"/>
        <item x="369"/>
        <item x="370"/>
        <item x="371"/>
        <item x="372"/>
        <item x="373"/>
        <item x="374"/>
        <item x="375"/>
        <item x="376"/>
        <item x="377"/>
        <item x="378"/>
        <item x="37"/>
        <item x="379"/>
        <item x="380"/>
        <item x="381"/>
        <item x="382"/>
        <item x="383"/>
        <item x="384"/>
        <item x="385"/>
        <item x="386"/>
        <item x="387"/>
        <item x="388"/>
        <item x="38"/>
        <item x="389"/>
        <item x="390"/>
        <item x="391"/>
        <item x="392"/>
        <item x="393"/>
        <item x="394"/>
        <item x="395"/>
        <item x="396"/>
        <item x="397"/>
        <item x="398"/>
        <item x="39"/>
        <item x="399"/>
        <item x="400"/>
        <item x="401"/>
        <item x="402"/>
        <item x="403"/>
        <item x="404"/>
        <item x="405"/>
        <item x="406"/>
        <item x="407"/>
        <item x="408"/>
        <item x="40"/>
        <item x="409"/>
        <item x="410"/>
        <item x="411"/>
        <item x="412"/>
        <item x="413"/>
        <item x="414"/>
        <item x="415"/>
        <item x="416"/>
        <item x="417"/>
        <item x="418"/>
        <item x="41"/>
        <item x="419"/>
        <item x="420"/>
        <item x="421"/>
        <item x="422"/>
        <item x="423"/>
        <item x="424"/>
        <item x="425"/>
        <item x="426"/>
        <item x="427"/>
        <item x="428"/>
        <item x="42"/>
        <item x="429"/>
        <item x="430"/>
        <item x="431"/>
        <item x="432"/>
        <item x="433"/>
        <item x="434"/>
        <item x="435"/>
        <item x="436"/>
        <item x="437"/>
        <item x="438"/>
        <item x="43"/>
        <item x="439"/>
        <item x="440"/>
        <item x="441"/>
        <item x="442"/>
        <item x="443"/>
        <item x="444"/>
        <item x="445"/>
        <item x="446"/>
        <item x="447"/>
        <item x="448"/>
        <item x="44"/>
        <item x="449"/>
        <item x="450"/>
        <item x="451"/>
        <item x="452"/>
        <item x="453"/>
        <item x="454"/>
        <item x="455"/>
        <item x="456"/>
        <item x="457"/>
        <item x="458"/>
        <item x="45"/>
        <item x="459"/>
        <item x="460"/>
        <item x="461"/>
        <item x="462"/>
        <item x="463"/>
        <item x="464"/>
        <item x="465"/>
        <item x="466"/>
        <item x="467"/>
        <item x="468"/>
        <item x="46"/>
        <item x="469"/>
        <item x="470"/>
        <item x="471"/>
        <item x="472"/>
        <item x="473"/>
        <item x="474"/>
        <item x="475"/>
        <item x="476"/>
        <item x="477"/>
        <item x="478"/>
        <item x="47"/>
        <item x="479"/>
        <item x="480"/>
        <item x="481"/>
        <item x="482"/>
        <item x="483"/>
        <item x="484"/>
        <item x="485"/>
        <item x="486"/>
        <item x="487"/>
        <item x="488"/>
        <item x="48"/>
        <item x="489"/>
        <item x="490"/>
        <item x="491"/>
        <item x="492"/>
        <item x="493"/>
        <item x="494"/>
        <item x="495"/>
        <item x="496"/>
        <item x="497"/>
        <item x="498"/>
        <item x="49"/>
        <item x="499"/>
        <item x="500"/>
        <item x="501"/>
        <item x="502"/>
        <item x="503"/>
        <item x="504"/>
        <item x="505"/>
        <item x="506"/>
        <item x="507"/>
        <item x="508"/>
        <item x="50"/>
        <item x="509"/>
        <item x="510"/>
        <item x="511"/>
        <item x="512"/>
        <item x="513"/>
        <item x="514"/>
        <item x="515"/>
        <item x="516"/>
        <item x="517"/>
        <item x="518"/>
        <item x="51"/>
        <item x="519"/>
        <item x="520"/>
        <item x="521"/>
        <item x="522"/>
        <item x="523"/>
        <item x="524"/>
        <item x="525"/>
        <item x="526"/>
        <item x="527"/>
        <item x="528"/>
        <item x="52"/>
        <item x="529"/>
        <item x="530"/>
        <item x="531"/>
        <item x="532"/>
        <item x="533"/>
        <item x="534"/>
        <item x="535"/>
        <item x="536"/>
        <item x="537"/>
        <item x="538"/>
        <item x="53"/>
        <item x="539"/>
        <item x="540"/>
        <item x="541"/>
        <item x="542"/>
        <item x="543"/>
        <item x="544"/>
        <item x="545"/>
        <item x="546"/>
        <item x="547"/>
        <item x="548"/>
        <item x="54"/>
        <item x="549"/>
        <item x="550"/>
        <item x="551"/>
        <item x="552"/>
        <item x="553"/>
        <item x="554"/>
        <item x="555"/>
        <item x="556"/>
        <item x="557"/>
        <item x="558"/>
        <item x="55"/>
        <item x="559"/>
        <item x="560"/>
        <item x="561"/>
        <item x="562"/>
        <item x="563"/>
        <item x="564"/>
        <item x="565"/>
        <item x="566"/>
        <item x="567"/>
        <item x="568"/>
        <item x="56"/>
        <item x="569"/>
        <item x="570"/>
        <item x="571"/>
        <item x="572"/>
        <item x="573"/>
        <item x="574"/>
        <item x="575"/>
        <item x="576"/>
        <item x="577"/>
        <item x="578"/>
        <item x="57"/>
        <item x="579"/>
        <item x="580"/>
        <item x="581"/>
        <item x="582"/>
        <item x="583"/>
        <item x="584"/>
        <item x="585"/>
        <item x="586"/>
        <item x="587"/>
        <item x="588"/>
        <item x="58"/>
        <item x="589"/>
        <item x="590"/>
        <item x="591"/>
        <item x="592"/>
        <item x="593"/>
        <item x="594"/>
        <item x="595"/>
        <item x="596"/>
        <item x="597"/>
        <item x="598"/>
        <item x="59"/>
        <item x="599"/>
        <item x="600"/>
        <item x="601"/>
        <item x="602"/>
        <item x="603"/>
        <item x="604"/>
        <item x="605"/>
        <item x="606"/>
        <item x="607"/>
        <item x="608"/>
        <item x="60"/>
        <item x="609"/>
        <item x="610"/>
        <item x="611"/>
        <item x="612"/>
        <item x="613"/>
        <item x="614"/>
        <item x="615"/>
        <item x="616"/>
        <item x="617"/>
        <item x="618"/>
        <item x="61"/>
        <item x="619"/>
        <item x="620"/>
        <item x="621"/>
        <item x="622"/>
        <item x="623"/>
        <item x="624"/>
        <item x="625"/>
        <item x="626"/>
        <item x="627"/>
        <item x="628"/>
        <item x="62"/>
        <item x="629"/>
        <item x="630"/>
        <item x="631"/>
        <item x="632"/>
        <item x="633"/>
        <item x="634"/>
        <item x="635"/>
        <item x="636"/>
        <item x="637"/>
        <item x="638"/>
        <item x="63"/>
        <item x="639"/>
        <item x="640"/>
        <item x="641"/>
        <item x="642"/>
        <item x="643"/>
        <item x="644"/>
        <item x="645"/>
        <item x="646"/>
        <item x="647"/>
        <item x="648"/>
        <item x="64"/>
        <item x="649"/>
        <item x="650"/>
        <item x="651"/>
        <item x="652"/>
        <item x="653"/>
        <item x="654"/>
        <item x="655"/>
        <item x="656"/>
        <item x="657"/>
        <item x="658"/>
        <item x="65"/>
        <item x="659"/>
        <item x="660"/>
        <item x="661"/>
        <item x="662"/>
        <item x="663"/>
        <item x="664"/>
        <item x="665"/>
        <item x="666"/>
        <item x="667"/>
        <item x="668"/>
        <item x="66"/>
        <item x="669"/>
        <item x="670"/>
        <item x="671"/>
        <item x="672"/>
        <item x="673"/>
        <item x="674"/>
        <item x="675"/>
        <item x="676"/>
        <item x="677"/>
        <item x="678"/>
        <item x="67"/>
        <item x="679"/>
        <item x="680"/>
        <item x="681"/>
        <item x="682"/>
        <item x="683"/>
        <item x="684"/>
        <item x="685"/>
        <item x="686"/>
        <item x="687"/>
        <item x="688"/>
        <item x="68"/>
        <item x="689"/>
        <item x="690"/>
        <item x="691"/>
        <item x="692"/>
        <item x="693"/>
        <item x="694"/>
        <item x="695"/>
        <item x="696"/>
        <item x="697"/>
        <item x="698"/>
        <item x="69"/>
        <item x="699"/>
        <item x="700"/>
        <item x="701"/>
        <item x="702"/>
        <item x="703"/>
        <item x="704"/>
        <item x="705"/>
        <item x="706"/>
        <item x="707"/>
        <item x="708"/>
        <item x="70"/>
        <item x="709"/>
        <item x="710"/>
        <item x="711"/>
        <item x="712"/>
        <item x="713"/>
        <item x="714"/>
        <item x="715"/>
        <item x="716"/>
        <item x="717"/>
        <item x="718"/>
        <item x="71"/>
        <item x="719"/>
        <item x="720"/>
        <item x="721"/>
        <item x="722"/>
        <item x="723"/>
        <item x="724"/>
        <item x="725"/>
        <item x="726"/>
        <item x="727"/>
        <item x="728"/>
        <item x="72"/>
        <item x="729"/>
        <item x="730"/>
        <item x="731"/>
        <item x="732"/>
        <item x="733"/>
        <item x="734"/>
        <item x="735"/>
        <item x="736"/>
        <item x="737"/>
        <item x="738"/>
        <item x="73"/>
        <item x="739"/>
        <item x="740"/>
        <item x="741"/>
        <item x="742"/>
        <item x="743"/>
        <item x="744"/>
        <item x="745"/>
        <item x="746"/>
        <item x="747"/>
        <item x="748"/>
        <item x="74"/>
        <item x="749"/>
        <item x="750"/>
        <item x="751"/>
        <item x="752"/>
        <item x="753"/>
        <item x="754"/>
        <item x="755"/>
        <item x="756"/>
        <item x="757"/>
        <item x="758"/>
        <item x="75"/>
        <item x="759"/>
        <item x="760"/>
        <item x="761"/>
        <item x="762"/>
        <item x="763"/>
        <item x="764"/>
        <item x="765"/>
        <item x="766"/>
        <item x="767"/>
        <item x="768"/>
        <item x="76"/>
        <item x="769"/>
        <item x="770"/>
        <item x="771"/>
        <item x="772"/>
        <item x="773"/>
        <item x="774"/>
        <item x="775"/>
        <item x="776"/>
        <item x="777"/>
        <item x="778"/>
        <item x="77"/>
        <item x="779"/>
        <item x="780"/>
        <item x="781"/>
        <item x="782"/>
        <item x="783"/>
        <item x="784"/>
        <item x="785"/>
        <item x="786"/>
        <item x="787"/>
        <item x="788"/>
        <item x="78"/>
        <item x="789"/>
        <item x="790"/>
        <item x="791"/>
        <item x="792"/>
        <item x="793"/>
        <item x="794"/>
        <item x="795"/>
        <item x="796"/>
        <item x="797"/>
        <item x="798"/>
        <item x="79"/>
        <item x="799"/>
        <item x="800"/>
        <item x="801"/>
        <item x="802"/>
        <item x="803"/>
        <item x="804"/>
        <item x="805"/>
        <item x="806"/>
        <item x="807"/>
        <item x="808"/>
        <item x="80"/>
        <item x="809"/>
        <item x="810"/>
        <item x="811"/>
        <item x="812"/>
        <item x="813"/>
        <item x="814"/>
        <item x="815"/>
        <item x="816"/>
        <item x="817"/>
        <item x="818"/>
        <item x="81"/>
        <item x="819"/>
        <item x="820"/>
        <item x="821"/>
        <item x="822"/>
        <item x="823"/>
        <item x="824"/>
        <item x="825"/>
        <item x="826"/>
        <item x="827"/>
        <item x="828"/>
        <item x="82"/>
        <item x="829"/>
        <item x="830"/>
        <item x="831"/>
        <item x="832"/>
        <item x="833"/>
        <item x="834"/>
        <item x="835"/>
        <item x="836"/>
        <item x="837"/>
        <item x="838"/>
        <item x="83"/>
        <item x="839"/>
        <item x="840"/>
        <item x="841"/>
        <item x="842"/>
        <item x="843"/>
        <item x="844"/>
        <item x="845"/>
        <item x="846"/>
        <item x="847"/>
        <item x="848"/>
        <item x="84"/>
        <item x="849"/>
        <item x="850"/>
        <item x="851"/>
        <item x="852"/>
        <item x="853"/>
        <item x="854"/>
        <item x="855"/>
        <item x="856"/>
        <item x="857"/>
        <item x="858"/>
        <item x="85"/>
        <item x="859"/>
        <item x="860"/>
        <item x="861"/>
        <item x="862"/>
        <item x="863"/>
        <item x="864"/>
        <item x="865"/>
        <item x="866"/>
        <item x="867"/>
        <item x="868"/>
        <item x="86"/>
        <item x="869"/>
        <item x="870"/>
        <item x="871"/>
        <item x="872"/>
        <item x="873"/>
        <item x="874"/>
        <item x="875"/>
        <item x="876"/>
        <item x="877"/>
        <item x="878"/>
        <item x="87"/>
        <item x="879"/>
        <item x="880"/>
        <item x="881"/>
        <item x="882"/>
        <item x="883"/>
        <item x="884"/>
        <item x="885"/>
        <item x="886"/>
        <item x="887"/>
        <item x="888"/>
        <item x="88"/>
        <item x="889"/>
        <item x="890"/>
        <item x="891"/>
        <item x="892"/>
        <item x="893"/>
        <item x="894"/>
        <item x="895"/>
        <item x="896"/>
        <item x="897"/>
        <item x="898"/>
        <item x="89"/>
        <item x="899"/>
        <item x="900"/>
        <item x="901"/>
        <item x="902"/>
        <item x="903"/>
        <item x="904"/>
        <item x="905"/>
        <item x="906"/>
        <item x="907"/>
        <item x="908"/>
        <item x="90"/>
        <item x="909"/>
        <item x="910"/>
        <item x="911"/>
        <item x="912"/>
        <item x="913"/>
        <item x="914"/>
        <item x="915"/>
        <item x="916"/>
        <item x="917"/>
        <item x="918"/>
        <item x="91"/>
        <item x="919"/>
        <item x="920"/>
        <item x="921"/>
        <item x="922"/>
        <item x="923"/>
        <item x="924"/>
        <item x="925"/>
        <item x="926"/>
        <item x="927"/>
        <item x="928"/>
        <item x="92"/>
        <item x="929"/>
        <item x="930"/>
        <item x="931"/>
        <item x="932"/>
        <item x="933"/>
        <item x="934"/>
        <item x="935"/>
        <item x="936"/>
        <item x="937"/>
        <item x="938"/>
        <item x="93"/>
        <item x="939"/>
        <item x="940"/>
        <item x="941"/>
        <item x="942"/>
        <item x="943"/>
        <item x="944"/>
        <item x="945"/>
        <item x="946"/>
        <item x="947"/>
        <item x="948"/>
        <item x="94"/>
        <item x="949"/>
        <item x="950"/>
        <item x="951"/>
        <item x="952"/>
        <item x="953"/>
        <item x="954"/>
        <item x="955"/>
        <item x="956"/>
        <item x="957"/>
        <item x="958"/>
        <item x="95"/>
        <item x="959"/>
        <item x="960"/>
        <item x="961"/>
        <item x="962"/>
        <item x="963"/>
        <item x="964"/>
        <item x="965"/>
        <item x="966"/>
        <item x="967"/>
        <item x="968"/>
        <item x="96"/>
        <item x="969"/>
        <item x="970"/>
        <item x="971"/>
        <item x="972"/>
        <item x="973"/>
        <item x="974"/>
        <item x="975"/>
        <item x="976"/>
        <item x="977"/>
        <item x="978"/>
        <item x="97"/>
        <item x="979"/>
        <item x="980"/>
        <item x="981"/>
        <item x="982"/>
        <item x="983"/>
        <item x="984"/>
        <item x="985"/>
        <item x="986"/>
        <item x="987"/>
        <item x="988"/>
        <item x="98"/>
        <item x="989"/>
        <item x="990"/>
        <item x="991"/>
        <item x="992"/>
        <item x="993"/>
        <item x="994"/>
        <item x="995"/>
        <item x="996"/>
        <item x="997"/>
        <item x="998"/>
        <item t="default"/>
      </items>
    </pivotField>
    <pivotField showAll="0"/>
    <pivotField showAll="0"/>
    <pivotField axis="axisRow" showAll="0">
      <items count="8">
        <item x="4"/>
        <item x="5"/>
        <item x="0"/>
        <item x="3"/>
        <item x="1"/>
        <item x="2"/>
        <item x="6"/>
        <item t="default"/>
      </items>
    </pivotField>
    <pivotField showAll="0"/>
    <pivotField showAll="0"/>
    <pivotField showAll="0"/>
    <pivotField showAll="0"/>
    <pivotField numFmtId="8" showAll="0"/>
    <pivotField numFmtId="8" showAll="0"/>
    <pivotField showAll="0">
      <items count="39">
        <item x="1"/>
        <item h="1" x="27"/>
        <item h="1" x="32"/>
        <item h="1" x="8"/>
        <item h="1" x="18"/>
        <item h="1" x="2"/>
        <item h="1" x="26"/>
        <item h="1" x="7"/>
        <item h="1" x="19"/>
        <item h="1" x="20"/>
        <item h="1" x="11"/>
        <item h="1" x="21"/>
        <item h="1" x="0"/>
        <item h="1" x="4"/>
        <item h="1" x="36"/>
        <item h="1" x="28"/>
        <item h="1" x="22"/>
        <item h="1" x="24"/>
        <item h="1" x="16"/>
        <item h="1" x="33"/>
        <item h="1" x="5"/>
        <item h="1" x="34"/>
        <item h="1" x="10"/>
        <item h="1" x="9"/>
        <item h="1" x="29"/>
        <item h="1" x="25"/>
        <item h="1" x="6"/>
        <item h="1" x="35"/>
        <item h="1" x="3"/>
        <item h="1" x="30"/>
        <item h="1" x="14"/>
        <item h="1" x="23"/>
        <item h="1" x="17"/>
        <item h="1" x="12"/>
        <item h="1" x="37"/>
        <item h="1" x="31"/>
        <item h="1" x="15"/>
        <item h="1" x="13"/>
        <item t="default"/>
      </items>
    </pivotField>
    <pivotField showAll="0"/>
    <pivotField showAll="0">
      <items count="5">
        <item x="1"/>
        <item x="0"/>
        <item x="2"/>
        <item x="3"/>
        <item t="default"/>
      </items>
    </pivotField>
  </pivotFields>
  <rowFields count="1">
    <field x="3"/>
  </rowFields>
  <rowItems count="8">
    <i>
      <x/>
    </i>
    <i>
      <x v="1"/>
    </i>
    <i>
      <x v="2"/>
    </i>
    <i>
      <x v="3"/>
    </i>
    <i>
      <x v="4"/>
    </i>
    <i>
      <x v="5"/>
    </i>
    <i>
      <x v="6"/>
    </i>
    <i t="grand">
      <x/>
    </i>
  </rowItems>
  <colItems count="1">
    <i/>
  </colItems>
  <dataFields count="1">
    <dataField name="Count of Loan ID" fld="0" subtotal="count" baseField="0" baseItem="0"/>
  </dataFields>
  <chartFormats count="29">
    <chartFormat chart="0" format="0" series="1">
      <pivotArea type="data" outline="0" fieldPosition="0">
        <references count="1">
          <reference field="4294967294" count="1" selected="0">
            <x v="0"/>
          </reference>
        </references>
      </pivotArea>
    </chartFormat>
    <chartFormat chart="3" format="6" series="1">
      <pivotArea type="data" outline="0" fieldPosition="0">
        <references count="1">
          <reference field="4294967294" count="1" selected="0">
            <x v="0"/>
          </reference>
        </references>
      </pivotArea>
    </chartFormat>
    <chartFormat chart="3" format="7">
      <pivotArea type="data" outline="0" fieldPosition="0">
        <references count="2">
          <reference field="4294967294" count="1" selected="0">
            <x v="0"/>
          </reference>
          <reference field="3" count="1" selected="0">
            <x v="2"/>
          </reference>
        </references>
      </pivotArea>
    </chartFormat>
    <chartFormat chart="3" format="8">
      <pivotArea type="data" outline="0" fieldPosition="0">
        <references count="2">
          <reference field="4294967294" count="1" selected="0">
            <x v="0"/>
          </reference>
          <reference field="3" count="1" selected="0">
            <x v="3"/>
          </reference>
        </references>
      </pivotArea>
    </chartFormat>
    <chartFormat chart="3" format="9">
      <pivotArea type="data" outline="0" fieldPosition="0">
        <references count="2">
          <reference field="4294967294" count="1" selected="0">
            <x v="0"/>
          </reference>
          <reference field="3" count="1" selected="0">
            <x v="4"/>
          </reference>
        </references>
      </pivotArea>
    </chartFormat>
    <chartFormat chart="3" format="10">
      <pivotArea type="data" outline="0" fieldPosition="0">
        <references count="2">
          <reference field="4294967294" count="1" selected="0">
            <x v="0"/>
          </reference>
          <reference field="3" count="1" selected="0">
            <x v="5"/>
          </reference>
        </references>
      </pivotArea>
    </chartFormat>
    <chartFormat chart="6"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3" count="1" selected="0">
            <x v="0"/>
          </reference>
        </references>
      </pivotArea>
    </chartFormat>
    <chartFormat chart="0" format="2">
      <pivotArea type="data" outline="0" fieldPosition="0">
        <references count="2">
          <reference field="4294967294" count="1" selected="0">
            <x v="0"/>
          </reference>
          <reference field="3" count="1" selected="0">
            <x v="1"/>
          </reference>
        </references>
      </pivotArea>
    </chartFormat>
    <chartFormat chart="0" format="3">
      <pivotArea type="data" outline="0" fieldPosition="0">
        <references count="2">
          <reference field="4294967294" count="1" selected="0">
            <x v="0"/>
          </reference>
          <reference field="3" count="1" selected="0">
            <x v="3"/>
          </reference>
        </references>
      </pivotArea>
    </chartFormat>
    <chartFormat chart="0" format="4">
      <pivotArea type="data" outline="0" fieldPosition="0">
        <references count="2">
          <reference field="4294967294" count="1" selected="0">
            <x v="0"/>
          </reference>
          <reference field="3" count="1" selected="0">
            <x v="4"/>
          </reference>
        </references>
      </pivotArea>
    </chartFormat>
    <chartFormat chart="0" format="5">
      <pivotArea type="data" outline="0" fieldPosition="0">
        <references count="2">
          <reference field="4294967294" count="1" selected="0">
            <x v="0"/>
          </reference>
          <reference field="3" count="1" selected="0">
            <x v="5"/>
          </reference>
        </references>
      </pivotArea>
    </chartFormat>
    <chartFormat chart="0" format="6">
      <pivotArea type="data" outline="0" fieldPosition="0">
        <references count="2">
          <reference field="4294967294" count="1" selected="0">
            <x v="0"/>
          </reference>
          <reference field="3" count="1" selected="0">
            <x v="6"/>
          </reference>
        </references>
      </pivotArea>
    </chartFormat>
    <chartFormat chart="10" format="14" series="1">
      <pivotArea type="data" outline="0" fieldPosition="0">
        <references count="1">
          <reference field="4294967294" count="1" selected="0">
            <x v="0"/>
          </reference>
        </references>
      </pivotArea>
    </chartFormat>
    <chartFormat chart="10" format="15">
      <pivotArea type="data" outline="0" fieldPosition="0">
        <references count="2">
          <reference field="4294967294" count="1" selected="0">
            <x v="0"/>
          </reference>
          <reference field="3" count="1" selected="0">
            <x v="0"/>
          </reference>
        </references>
      </pivotArea>
    </chartFormat>
    <chartFormat chart="10" format="16">
      <pivotArea type="data" outline="0" fieldPosition="0">
        <references count="2">
          <reference field="4294967294" count="1" selected="0">
            <x v="0"/>
          </reference>
          <reference field="3" count="1" selected="0">
            <x v="1"/>
          </reference>
        </references>
      </pivotArea>
    </chartFormat>
    <chartFormat chart="10" format="17">
      <pivotArea type="data" outline="0" fieldPosition="0">
        <references count="2">
          <reference field="4294967294" count="1" selected="0">
            <x v="0"/>
          </reference>
          <reference field="3" count="1" selected="0">
            <x v="3"/>
          </reference>
        </references>
      </pivotArea>
    </chartFormat>
    <chartFormat chart="10" format="18">
      <pivotArea type="data" outline="0" fieldPosition="0">
        <references count="2">
          <reference field="4294967294" count="1" selected="0">
            <x v="0"/>
          </reference>
          <reference field="3" count="1" selected="0">
            <x v="4"/>
          </reference>
        </references>
      </pivotArea>
    </chartFormat>
    <chartFormat chart="10" format="19">
      <pivotArea type="data" outline="0" fieldPosition="0">
        <references count="2">
          <reference field="4294967294" count="1" selected="0">
            <x v="0"/>
          </reference>
          <reference field="3" count="1" selected="0">
            <x v="5"/>
          </reference>
        </references>
      </pivotArea>
    </chartFormat>
    <chartFormat chart="10" format="20">
      <pivotArea type="data" outline="0" fieldPosition="0">
        <references count="2">
          <reference field="4294967294" count="1" selected="0">
            <x v="0"/>
          </reference>
          <reference field="3" count="1" selected="0">
            <x v="6"/>
          </reference>
        </references>
      </pivotArea>
    </chartFormat>
    <chartFormat chart="11" format="2" series="1">
      <pivotArea type="data" outline="0" fieldPosition="0">
        <references count="1">
          <reference field="4294967294" count="1" selected="0">
            <x v="0"/>
          </reference>
        </references>
      </pivotArea>
    </chartFormat>
    <chartFormat chart="16" format="14" series="1">
      <pivotArea type="data" outline="0" fieldPosition="0">
        <references count="1">
          <reference field="4294967294" count="1" selected="0">
            <x v="0"/>
          </reference>
        </references>
      </pivotArea>
    </chartFormat>
    <chartFormat chart="16" format="15">
      <pivotArea type="data" outline="0" fieldPosition="0">
        <references count="2">
          <reference field="4294967294" count="1" selected="0">
            <x v="0"/>
          </reference>
          <reference field="3" count="1" selected="0">
            <x v="0"/>
          </reference>
        </references>
      </pivotArea>
    </chartFormat>
    <chartFormat chart="16" format="16">
      <pivotArea type="data" outline="0" fieldPosition="0">
        <references count="2">
          <reference field="4294967294" count="1" selected="0">
            <x v="0"/>
          </reference>
          <reference field="3" count="1" selected="0">
            <x v="1"/>
          </reference>
        </references>
      </pivotArea>
    </chartFormat>
    <chartFormat chart="16" format="17">
      <pivotArea type="data" outline="0" fieldPosition="0">
        <references count="2">
          <reference field="4294967294" count="1" selected="0">
            <x v="0"/>
          </reference>
          <reference field="3" count="1" selected="0">
            <x v="2"/>
          </reference>
        </references>
      </pivotArea>
    </chartFormat>
    <chartFormat chart="16" format="18">
      <pivotArea type="data" outline="0" fieldPosition="0">
        <references count="2">
          <reference field="4294967294" count="1" selected="0">
            <x v="0"/>
          </reference>
          <reference field="3" count="1" selected="0">
            <x v="4"/>
          </reference>
        </references>
      </pivotArea>
    </chartFormat>
    <chartFormat chart="16" format="19">
      <pivotArea type="data" outline="0" fieldPosition="0">
        <references count="2">
          <reference field="4294967294" count="1" selected="0">
            <x v="0"/>
          </reference>
          <reference field="3" count="1" selected="0">
            <x v="5"/>
          </reference>
        </references>
      </pivotArea>
    </chartFormat>
    <chartFormat chart="16" format="20">
      <pivotArea type="data" outline="0" fieldPosition="0">
        <references count="2">
          <reference field="4294967294" count="1" selected="0">
            <x v="0"/>
          </reference>
          <reference field="3" count="1" selected="0">
            <x v="6"/>
          </reference>
        </references>
      </pivotArea>
    </chartFormat>
    <chartFormat chart="17"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E7C21670-E2E4-4A84-AA46-2A636011E506}" name="PivotTable2"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9">
  <location ref="A3:E12" firstHeaderRow="1" firstDataRow="2" firstDataCol="1" rowPageCount="1" colPageCount="1"/>
  <pivotFields count="13">
    <pivotField showAll="0"/>
    <pivotField showAll="0"/>
    <pivotField showAll="0"/>
    <pivotField axis="axisRow" showAll="0">
      <items count="8">
        <item x="4"/>
        <item x="5"/>
        <item x="0"/>
        <item x="3"/>
        <item x="1"/>
        <item x="2"/>
        <item x="6"/>
        <item t="default"/>
      </items>
    </pivotField>
    <pivotField showAll="0"/>
    <pivotField showAll="0"/>
    <pivotField showAll="0"/>
    <pivotField showAll="0"/>
    <pivotField dataField="1" numFmtId="8" showAll="0"/>
    <pivotField numFmtId="8" showAll="0"/>
    <pivotField axis="axisPage" showAll="0">
      <items count="39">
        <item x="1"/>
        <item x="27"/>
        <item x="32"/>
        <item x="8"/>
        <item x="18"/>
        <item x="2"/>
        <item x="26"/>
        <item x="7"/>
        <item x="19"/>
        <item x="20"/>
        <item x="11"/>
        <item x="21"/>
        <item x="0"/>
        <item x="4"/>
        <item x="36"/>
        <item x="28"/>
        <item x="22"/>
        <item x="24"/>
        <item x="16"/>
        <item x="33"/>
        <item x="5"/>
        <item x="34"/>
        <item x="10"/>
        <item x="9"/>
        <item x="29"/>
        <item x="25"/>
        <item x="6"/>
        <item x="35"/>
        <item x="3"/>
        <item x="30"/>
        <item x="14"/>
        <item x="23"/>
        <item x="17"/>
        <item x="12"/>
        <item x="37"/>
        <item x="31"/>
        <item x="15"/>
        <item x="13"/>
        <item t="default"/>
      </items>
    </pivotField>
    <pivotField showAll="0"/>
    <pivotField axis="axisCol" showAll="0">
      <items count="5">
        <item x="1"/>
        <item x="0"/>
        <item x="2"/>
        <item x="3"/>
        <item t="default"/>
      </items>
    </pivotField>
  </pivotFields>
  <rowFields count="1">
    <field x="3"/>
  </rowFields>
  <rowItems count="8">
    <i>
      <x/>
    </i>
    <i>
      <x v="1"/>
    </i>
    <i>
      <x v="2"/>
    </i>
    <i>
      <x v="3"/>
    </i>
    <i>
      <x v="4"/>
    </i>
    <i>
      <x v="5"/>
    </i>
    <i>
      <x v="6"/>
    </i>
    <i t="grand">
      <x/>
    </i>
  </rowItems>
  <colFields count="1">
    <field x="12"/>
  </colFields>
  <colItems count="4">
    <i>
      <x/>
    </i>
    <i>
      <x v="1"/>
    </i>
    <i>
      <x v="2"/>
    </i>
    <i t="grand">
      <x/>
    </i>
  </colItems>
  <pageFields count="1">
    <pageField fld="10" item="1" hier="-1"/>
  </pageFields>
  <dataFields count="1">
    <dataField name="Sum of EMI" fld="8" baseField="0" baseItem="0"/>
  </dataFields>
  <chartFormats count="8">
    <chartFormat chart="0" format="0" series="1">
      <pivotArea type="data" outline="0" fieldPosition="0">
        <references count="2">
          <reference field="4294967294" count="1" selected="0">
            <x v="0"/>
          </reference>
          <reference field="12" count="1" selected="0">
            <x v="0"/>
          </reference>
        </references>
      </pivotArea>
    </chartFormat>
    <chartFormat chart="0" format="1" series="1">
      <pivotArea type="data" outline="0" fieldPosition="0">
        <references count="2">
          <reference field="4294967294" count="1" selected="0">
            <x v="0"/>
          </reference>
          <reference field="12" count="1" selected="0">
            <x v="1"/>
          </reference>
        </references>
      </pivotArea>
    </chartFormat>
    <chartFormat chart="0" format="2" series="1">
      <pivotArea type="data" outline="0" fieldPosition="0">
        <references count="2">
          <reference field="4294967294" count="1" selected="0">
            <x v="0"/>
          </reference>
          <reference field="12" count="1" selected="0">
            <x v="2"/>
          </reference>
        </references>
      </pivotArea>
    </chartFormat>
    <chartFormat chart="0" format="3" series="1">
      <pivotArea type="data" outline="0" fieldPosition="0">
        <references count="2">
          <reference field="4294967294" count="1" selected="0">
            <x v="0"/>
          </reference>
          <reference field="12" count="1" selected="0">
            <x v="3"/>
          </reference>
        </references>
      </pivotArea>
    </chartFormat>
    <chartFormat chart="8" format="7" series="1">
      <pivotArea type="data" outline="0" fieldPosition="0">
        <references count="2">
          <reference field="4294967294" count="1" selected="0">
            <x v="0"/>
          </reference>
          <reference field="12" count="1" selected="0">
            <x v="0"/>
          </reference>
        </references>
      </pivotArea>
    </chartFormat>
    <chartFormat chart="8" format="8" series="1">
      <pivotArea type="data" outline="0" fieldPosition="0">
        <references count="2">
          <reference field="4294967294" count="1" selected="0">
            <x v="0"/>
          </reference>
          <reference field="12" count="1" selected="0">
            <x v="1"/>
          </reference>
        </references>
      </pivotArea>
    </chartFormat>
    <chartFormat chart="8" format="9" series="1">
      <pivotArea type="data" outline="0" fieldPosition="0">
        <references count="2">
          <reference field="4294967294" count="1" selected="0">
            <x v="0"/>
          </reference>
          <reference field="12" count="1" selected="0">
            <x v="2"/>
          </reference>
        </references>
      </pivotArea>
    </chartFormat>
    <chartFormat chart="8" format="10" series="1">
      <pivotArea type="data" outline="0" fieldPosition="0">
        <references count="2">
          <reference field="4294967294" count="1" selected="0">
            <x v="0"/>
          </reference>
          <reference field="12" count="1" selected="0">
            <x v="3"/>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DE466E44-4E12-4712-B3D4-8704E3DE3640}" name="PivotTable1"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26">
  <location ref="A23:B31" firstHeaderRow="1" firstDataRow="1" firstDataCol="1"/>
  <pivotFields count="13">
    <pivotField dataField="1" showAll="0">
      <items count="1001">
        <item x="0"/>
        <item x="1"/>
        <item x="2"/>
        <item x="3"/>
        <item x="4"/>
        <item x="5"/>
        <item x="6"/>
        <item x="7"/>
        <item x="8"/>
        <item x="9"/>
        <item x="99"/>
        <item x="999"/>
        <item x="100"/>
        <item x="101"/>
        <item x="102"/>
        <item x="103"/>
        <item x="104"/>
        <item x="105"/>
        <item x="106"/>
        <item x="107"/>
        <item x="108"/>
        <item x="10"/>
        <item x="109"/>
        <item x="110"/>
        <item x="111"/>
        <item x="112"/>
        <item x="113"/>
        <item x="114"/>
        <item x="115"/>
        <item x="116"/>
        <item x="117"/>
        <item x="118"/>
        <item x="11"/>
        <item x="119"/>
        <item x="120"/>
        <item x="121"/>
        <item x="122"/>
        <item x="123"/>
        <item x="124"/>
        <item x="125"/>
        <item x="126"/>
        <item x="127"/>
        <item x="128"/>
        <item x="12"/>
        <item x="129"/>
        <item x="130"/>
        <item x="131"/>
        <item x="132"/>
        <item x="133"/>
        <item x="134"/>
        <item x="135"/>
        <item x="136"/>
        <item x="137"/>
        <item x="138"/>
        <item x="13"/>
        <item x="139"/>
        <item x="140"/>
        <item x="141"/>
        <item x="142"/>
        <item x="143"/>
        <item x="144"/>
        <item x="145"/>
        <item x="146"/>
        <item x="147"/>
        <item x="148"/>
        <item x="14"/>
        <item x="149"/>
        <item x="150"/>
        <item x="151"/>
        <item x="152"/>
        <item x="153"/>
        <item x="154"/>
        <item x="155"/>
        <item x="156"/>
        <item x="157"/>
        <item x="158"/>
        <item x="15"/>
        <item x="159"/>
        <item x="160"/>
        <item x="161"/>
        <item x="162"/>
        <item x="163"/>
        <item x="164"/>
        <item x="165"/>
        <item x="166"/>
        <item x="167"/>
        <item x="168"/>
        <item x="16"/>
        <item x="169"/>
        <item x="170"/>
        <item x="171"/>
        <item x="172"/>
        <item x="173"/>
        <item x="174"/>
        <item x="175"/>
        <item x="176"/>
        <item x="177"/>
        <item x="178"/>
        <item x="17"/>
        <item x="179"/>
        <item x="180"/>
        <item x="181"/>
        <item x="182"/>
        <item x="183"/>
        <item x="184"/>
        <item x="185"/>
        <item x="186"/>
        <item x="187"/>
        <item x="188"/>
        <item x="18"/>
        <item x="189"/>
        <item x="190"/>
        <item x="191"/>
        <item x="192"/>
        <item x="193"/>
        <item x="194"/>
        <item x="195"/>
        <item x="196"/>
        <item x="197"/>
        <item x="198"/>
        <item x="19"/>
        <item x="199"/>
        <item x="200"/>
        <item x="201"/>
        <item x="202"/>
        <item x="203"/>
        <item x="204"/>
        <item x="205"/>
        <item x="206"/>
        <item x="207"/>
        <item x="208"/>
        <item x="20"/>
        <item x="209"/>
        <item x="210"/>
        <item x="211"/>
        <item x="212"/>
        <item x="213"/>
        <item x="214"/>
        <item x="215"/>
        <item x="216"/>
        <item x="217"/>
        <item x="218"/>
        <item x="21"/>
        <item x="219"/>
        <item x="220"/>
        <item x="221"/>
        <item x="222"/>
        <item x="223"/>
        <item x="224"/>
        <item x="225"/>
        <item x="226"/>
        <item x="227"/>
        <item x="228"/>
        <item x="22"/>
        <item x="229"/>
        <item x="230"/>
        <item x="231"/>
        <item x="232"/>
        <item x="233"/>
        <item x="234"/>
        <item x="235"/>
        <item x="236"/>
        <item x="237"/>
        <item x="238"/>
        <item x="23"/>
        <item x="239"/>
        <item x="240"/>
        <item x="241"/>
        <item x="242"/>
        <item x="243"/>
        <item x="244"/>
        <item x="245"/>
        <item x="246"/>
        <item x="247"/>
        <item x="248"/>
        <item x="24"/>
        <item x="249"/>
        <item x="250"/>
        <item x="251"/>
        <item x="252"/>
        <item x="253"/>
        <item x="254"/>
        <item x="255"/>
        <item x="256"/>
        <item x="257"/>
        <item x="258"/>
        <item x="25"/>
        <item x="259"/>
        <item x="260"/>
        <item x="261"/>
        <item x="262"/>
        <item x="263"/>
        <item x="264"/>
        <item x="265"/>
        <item x="266"/>
        <item x="267"/>
        <item x="268"/>
        <item x="26"/>
        <item x="269"/>
        <item x="270"/>
        <item x="271"/>
        <item x="272"/>
        <item x="273"/>
        <item x="274"/>
        <item x="275"/>
        <item x="276"/>
        <item x="277"/>
        <item x="278"/>
        <item x="27"/>
        <item x="279"/>
        <item x="280"/>
        <item x="281"/>
        <item x="282"/>
        <item x="283"/>
        <item x="284"/>
        <item x="285"/>
        <item x="286"/>
        <item x="287"/>
        <item x="288"/>
        <item x="28"/>
        <item x="289"/>
        <item x="290"/>
        <item x="291"/>
        <item x="292"/>
        <item x="293"/>
        <item x="294"/>
        <item x="295"/>
        <item x="296"/>
        <item x="297"/>
        <item x="298"/>
        <item x="29"/>
        <item x="299"/>
        <item x="300"/>
        <item x="301"/>
        <item x="302"/>
        <item x="303"/>
        <item x="304"/>
        <item x="305"/>
        <item x="306"/>
        <item x="307"/>
        <item x="308"/>
        <item x="30"/>
        <item x="309"/>
        <item x="310"/>
        <item x="311"/>
        <item x="312"/>
        <item x="313"/>
        <item x="314"/>
        <item x="315"/>
        <item x="316"/>
        <item x="317"/>
        <item x="318"/>
        <item x="31"/>
        <item x="319"/>
        <item x="320"/>
        <item x="321"/>
        <item x="322"/>
        <item x="323"/>
        <item x="324"/>
        <item x="325"/>
        <item x="326"/>
        <item x="327"/>
        <item x="328"/>
        <item x="32"/>
        <item x="329"/>
        <item x="330"/>
        <item x="331"/>
        <item x="332"/>
        <item x="333"/>
        <item x="334"/>
        <item x="335"/>
        <item x="336"/>
        <item x="337"/>
        <item x="338"/>
        <item x="33"/>
        <item x="339"/>
        <item x="340"/>
        <item x="341"/>
        <item x="342"/>
        <item x="343"/>
        <item x="344"/>
        <item x="345"/>
        <item x="346"/>
        <item x="347"/>
        <item x="348"/>
        <item x="34"/>
        <item x="349"/>
        <item x="350"/>
        <item x="351"/>
        <item x="352"/>
        <item x="353"/>
        <item x="354"/>
        <item x="355"/>
        <item x="356"/>
        <item x="357"/>
        <item x="358"/>
        <item x="35"/>
        <item x="359"/>
        <item x="360"/>
        <item x="361"/>
        <item x="362"/>
        <item x="363"/>
        <item x="364"/>
        <item x="365"/>
        <item x="366"/>
        <item x="367"/>
        <item x="368"/>
        <item x="36"/>
        <item x="369"/>
        <item x="370"/>
        <item x="371"/>
        <item x="372"/>
        <item x="373"/>
        <item x="374"/>
        <item x="375"/>
        <item x="376"/>
        <item x="377"/>
        <item x="378"/>
        <item x="37"/>
        <item x="379"/>
        <item x="380"/>
        <item x="381"/>
        <item x="382"/>
        <item x="383"/>
        <item x="384"/>
        <item x="385"/>
        <item x="386"/>
        <item x="387"/>
        <item x="388"/>
        <item x="38"/>
        <item x="389"/>
        <item x="390"/>
        <item x="391"/>
        <item x="392"/>
        <item x="393"/>
        <item x="394"/>
        <item x="395"/>
        <item x="396"/>
        <item x="397"/>
        <item x="398"/>
        <item x="39"/>
        <item x="399"/>
        <item x="400"/>
        <item x="401"/>
        <item x="402"/>
        <item x="403"/>
        <item x="404"/>
        <item x="405"/>
        <item x="406"/>
        <item x="407"/>
        <item x="408"/>
        <item x="40"/>
        <item x="409"/>
        <item x="410"/>
        <item x="411"/>
        <item x="412"/>
        <item x="413"/>
        <item x="414"/>
        <item x="415"/>
        <item x="416"/>
        <item x="417"/>
        <item x="418"/>
        <item x="41"/>
        <item x="419"/>
        <item x="420"/>
        <item x="421"/>
        <item x="422"/>
        <item x="423"/>
        <item x="424"/>
        <item x="425"/>
        <item x="426"/>
        <item x="427"/>
        <item x="428"/>
        <item x="42"/>
        <item x="429"/>
        <item x="430"/>
        <item x="431"/>
        <item x="432"/>
        <item x="433"/>
        <item x="434"/>
        <item x="435"/>
        <item x="436"/>
        <item x="437"/>
        <item x="438"/>
        <item x="43"/>
        <item x="439"/>
        <item x="440"/>
        <item x="441"/>
        <item x="442"/>
        <item x="443"/>
        <item x="444"/>
        <item x="445"/>
        <item x="446"/>
        <item x="447"/>
        <item x="448"/>
        <item x="44"/>
        <item x="449"/>
        <item x="450"/>
        <item x="451"/>
        <item x="452"/>
        <item x="453"/>
        <item x="454"/>
        <item x="455"/>
        <item x="456"/>
        <item x="457"/>
        <item x="458"/>
        <item x="45"/>
        <item x="459"/>
        <item x="460"/>
        <item x="461"/>
        <item x="462"/>
        <item x="463"/>
        <item x="464"/>
        <item x="465"/>
        <item x="466"/>
        <item x="467"/>
        <item x="468"/>
        <item x="46"/>
        <item x="469"/>
        <item x="470"/>
        <item x="471"/>
        <item x="472"/>
        <item x="473"/>
        <item x="474"/>
        <item x="475"/>
        <item x="476"/>
        <item x="477"/>
        <item x="478"/>
        <item x="47"/>
        <item x="479"/>
        <item x="480"/>
        <item x="481"/>
        <item x="482"/>
        <item x="483"/>
        <item x="484"/>
        <item x="485"/>
        <item x="486"/>
        <item x="487"/>
        <item x="488"/>
        <item x="48"/>
        <item x="489"/>
        <item x="490"/>
        <item x="491"/>
        <item x="492"/>
        <item x="493"/>
        <item x="494"/>
        <item x="495"/>
        <item x="496"/>
        <item x="497"/>
        <item x="498"/>
        <item x="49"/>
        <item x="499"/>
        <item x="500"/>
        <item x="501"/>
        <item x="502"/>
        <item x="503"/>
        <item x="504"/>
        <item x="505"/>
        <item x="506"/>
        <item x="507"/>
        <item x="508"/>
        <item x="50"/>
        <item x="509"/>
        <item x="510"/>
        <item x="511"/>
        <item x="512"/>
        <item x="513"/>
        <item x="514"/>
        <item x="515"/>
        <item x="516"/>
        <item x="517"/>
        <item x="518"/>
        <item x="51"/>
        <item x="519"/>
        <item x="520"/>
        <item x="521"/>
        <item x="522"/>
        <item x="523"/>
        <item x="524"/>
        <item x="525"/>
        <item x="526"/>
        <item x="527"/>
        <item x="528"/>
        <item x="52"/>
        <item x="529"/>
        <item x="530"/>
        <item x="531"/>
        <item x="532"/>
        <item x="533"/>
        <item x="534"/>
        <item x="535"/>
        <item x="536"/>
        <item x="537"/>
        <item x="538"/>
        <item x="53"/>
        <item x="539"/>
        <item x="540"/>
        <item x="541"/>
        <item x="542"/>
        <item x="543"/>
        <item x="544"/>
        <item x="545"/>
        <item x="546"/>
        <item x="547"/>
        <item x="548"/>
        <item x="54"/>
        <item x="549"/>
        <item x="550"/>
        <item x="551"/>
        <item x="552"/>
        <item x="553"/>
        <item x="554"/>
        <item x="555"/>
        <item x="556"/>
        <item x="557"/>
        <item x="558"/>
        <item x="55"/>
        <item x="559"/>
        <item x="560"/>
        <item x="561"/>
        <item x="562"/>
        <item x="563"/>
        <item x="564"/>
        <item x="565"/>
        <item x="566"/>
        <item x="567"/>
        <item x="568"/>
        <item x="56"/>
        <item x="569"/>
        <item x="570"/>
        <item x="571"/>
        <item x="572"/>
        <item x="573"/>
        <item x="574"/>
        <item x="575"/>
        <item x="576"/>
        <item x="577"/>
        <item x="578"/>
        <item x="57"/>
        <item x="579"/>
        <item x="580"/>
        <item x="581"/>
        <item x="582"/>
        <item x="583"/>
        <item x="584"/>
        <item x="585"/>
        <item x="586"/>
        <item x="587"/>
        <item x="588"/>
        <item x="58"/>
        <item x="589"/>
        <item x="590"/>
        <item x="591"/>
        <item x="592"/>
        <item x="593"/>
        <item x="594"/>
        <item x="595"/>
        <item x="596"/>
        <item x="597"/>
        <item x="598"/>
        <item x="59"/>
        <item x="599"/>
        <item x="600"/>
        <item x="601"/>
        <item x="602"/>
        <item x="603"/>
        <item x="604"/>
        <item x="605"/>
        <item x="606"/>
        <item x="607"/>
        <item x="608"/>
        <item x="60"/>
        <item x="609"/>
        <item x="610"/>
        <item x="611"/>
        <item x="612"/>
        <item x="613"/>
        <item x="614"/>
        <item x="615"/>
        <item x="616"/>
        <item x="617"/>
        <item x="618"/>
        <item x="61"/>
        <item x="619"/>
        <item x="620"/>
        <item x="621"/>
        <item x="622"/>
        <item x="623"/>
        <item x="624"/>
        <item x="625"/>
        <item x="626"/>
        <item x="627"/>
        <item x="628"/>
        <item x="62"/>
        <item x="629"/>
        <item x="630"/>
        <item x="631"/>
        <item x="632"/>
        <item x="633"/>
        <item x="634"/>
        <item x="635"/>
        <item x="636"/>
        <item x="637"/>
        <item x="638"/>
        <item x="63"/>
        <item x="639"/>
        <item x="640"/>
        <item x="641"/>
        <item x="642"/>
        <item x="643"/>
        <item x="644"/>
        <item x="645"/>
        <item x="646"/>
        <item x="647"/>
        <item x="648"/>
        <item x="64"/>
        <item x="649"/>
        <item x="650"/>
        <item x="651"/>
        <item x="652"/>
        <item x="653"/>
        <item x="654"/>
        <item x="655"/>
        <item x="656"/>
        <item x="657"/>
        <item x="658"/>
        <item x="65"/>
        <item x="659"/>
        <item x="660"/>
        <item x="661"/>
        <item x="662"/>
        <item x="663"/>
        <item x="664"/>
        <item x="665"/>
        <item x="666"/>
        <item x="667"/>
        <item x="668"/>
        <item x="66"/>
        <item x="669"/>
        <item x="670"/>
        <item x="671"/>
        <item x="672"/>
        <item x="673"/>
        <item x="674"/>
        <item x="675"/>
        <item x="676"/>
        <item x="677"/>
        <item x="678"/>
        <item x="67"/>
        <item x="679"/>
        <item x="680"/>
        <item x="681"/>
        <item x="682"/>
        <item x="683"/>
        <item x="684"/>
        <item x="685"/>
        <item x="686"/>
        <item x="687"/>
        <item x="688"/>
        <item x="68"/>
        <item x="689"/>
        <item x="690"/>
        <item x="691"/>
        <item x="692"/>
        <item x="693"/>
        <item x="694"/>
        <item x="695"/>
        <item x="696"/>
        <item x="697"/>
        <item x="698"/>
        <item x="69"/>
        <item x="699"/>
        <item x="700"/>
        <item x="701"/>
        <item x="702"/>
        <item x="703"/>
        <item x="704"/>
        <item x="705"/>
        <item x="706"/>
        <item x="707"/>
        <item x="708"/>
        <item x="70"/>
        <item x="709"/>
        <item x="710"/>
        <item x="711"/>
        <item x="712"/>
        <item x="713"/>
        <item x="714"/>
        <item x="715"/>
        <item x="716"/>
        <item x="717"/>
        <item x="718"/>
        <item x="71"/>
        <item x="719"/>
        <item x="720"/>
        <item x="721"/>
        <item x="722"/>
        <item x="723"/>
        <item x="724"/>
        <item x="725"/>
        <item x="726"/>
        <item x="727"/>
        <item x="728"/>
        <item x="72"/>
        <item x="729"/>
        <item x="730"/>
        <item x="731"/>
        <item x="732"/>
        <item x="733"/>
        <item x="734"/>
        <item x="735"/>
        <item x="736"/>
        <item x="737"/>
        <item x="738"/>
        <item x="73"/>
        <item x="739"/>
        <item x="740"/>
        <item x="741"/>
        <item x="742"/>
        <item x="743"/>
        <item x="744"/>
        <item x="745"/>
        <item x="746"/>
        <item x="747"/>
        <item x="748"/>
        <item x="74"/>
        <item x="749"/>
        <item x="750"/>
        <item x="751"/>
        <item x="752"/>
        <item x="753"/>
        <item x="754"/>
        <item x="755"/>
        <item x="756"/>
        <item x="757"/>
        <item x="758"/>
        <item x="75"/>
        <item x="759"/>
        <item x="760"/>
        <item x="761"/>
        <item x="762"/>
        <item x="763"/>
        <item x="764"/>
        <item x="765"/>
        <item x="766"/>
        <item x="767"/>
        <item x="768"/>
        <item x="76"/>
        <item x="769"/>
        <item x="770"/>
        <item x="771"/>
        <item x="772"/>
        <item x="773"/>
        <item x="774"/>
        <item x="775"/>
        <item x="776"/>
        <item x="777"/>
        <item x="778"/>
        <item x="77"/>
        <item x="779"/>
        <item x="780"/>
        <item x="781"/>
        <item x="782"/>
        <item x="783"/>
        <item x="784"/>
        <item x="785"/>
        <item x="786"/>
        <item x="787"/>
        <item x="788"/>
        <item x="78"/>
        <item x="789"/>
        <item x="790"/>
        <item x="791"/>
        <item x="792"/>
        <item x="793"/>
        <item x="794"/>
        <item x="795"/>
        <item x="796"/>
        <item x="797"/>
        <item x="798"/>
        <item x="79"/>
        <item x="799"/>
        <item x="800"/>
        <item x="801"/>
        <item x="802"/>
        <item x="803"/>
        <item x="804"/>
        <item x="805"/>
        <item x="806"/>
        <item x="807"/>
        <item x="808"/>
        <item x="80"/>
        <item x="809"/>
        <item x="810"/>
        <item x="811"/>
        <item x="812"/>
        <item x="813"/>
        <item x="814"/>
        <item x="815"/>
        <item x="816"/>
        <item x="817"/>
        <item x="818"/>
        <item x="81"/>
        <item x="819"/>
        <item x="820"/>
        <item x="821"/>
        <item x="822"/>
        <item x="823"/>
        <item x="824"/>
        <item x="825"/>
        <item x="826"/>
        <item x="827"/>
        <item x="828"/>
        <item x="82"/>
        <item x="829"/>
        <item x="830"/>
        <item x="831"/>
        <item x="832"/>
        <item x="833"/>
        <item x="834"/>
        <item x="835"/>
        <item x="836"/>
        <item x="837"/>
        <item x="838"/>
        <item x="83"/>
        <item x="839"/>
        <item x="840"/>
        <item x="841"/>
        <item x="842"/>
        <item x="843"/>
        <item x="844"/>
        <item x="845"/>
        <item x="846"/>
        <item x="847"/>
        <item x="848"/>
        <item x="84"/>
        <item x="849"/>
        <item x="850"/>
        <item x="851"/>
        <item x="852"/>
        <item x="853"/>
        <item x="854"/>
        <item x="855"/>
        <item x="856"/>
        <item x="857"/>
        <item x="858"/>
        <item x="85"/>
        <item x="859"/>
        <item x="860"/>
        <item x="861"/>
        <item x="862"/>
        <item x="863"/>
        <item x="864"/>
        <item x="865"/>
        <item x="866"/>
        <item x="867"/>
        <item x="868"/>
        <item x="86"/>
        <item x="869"/>
        <item x="870"/>
        <item x="871"/>
        <item x="872"/>
        <item x="873"/>
        <item x="874"/>
        <item x="875"/>
        <item x="876"/>
        <item x="877"/>
        <item x="878"/>
        <item x="87"/>
        <item x="879"/>
        <item x="880"/>
        <item x="881"/>
        <item x="882"/>
        <item x="883"/>
        <item x="884"/>
        <item x="885"/>
        <item x="886"/>
        <item x="887"/>
        <item x="888"/>
        <item x="88"/>
        <item x="889"/>
        <item x="890"/>
        <item x="891"/>
        <item x="892"/>
        <item x="893"/>
        <item x="894"/>
        <item x="895"/>
        <item x="896"/>
        <item x="897"/>
        <item x="898"/>
        <item x="89"/>
        <item x="899"/>
        <item x="900"/>
        <item x="901"/>
        <item x="902"/>
        <item x="903"/>
        <item x="904"/>
        <item x="905"/>
        <item x="906"/>
        <item x="907"/>
        <item x="908"/>
        <item x="90"/>
        <item x="909"/>
        <item x="910"/>
        <item x="911"/>
        <item x="912"/>
        <item x="913"/>
        <item x="914"/>
        <item x="915"/>
        <item x="916"/>
        <item x="917"/>
        <item x="918"/>
        <item x="91"/>
        <item x="919"/>
        <item x="920"/>
        <item x="921"/>
        <item x="922"/>
        <item x="923"/>
        <item x="924"/>
        <item x="925"/>
        <item x="926"/>
        <item x="927"/>
        <item x="928"/>
        <item x="92"/>
        <item x="929"/>
        <item x="930"/>
        <item x="931"/>
        <item x="932"/>
        <item x="933"/>
        <item x="934"/>
        <item x="935"/>
        <item x="936"/>
        <item x="937"/>
        <item x="938"/>
        <item x="93"/>
        <item x="939"/>
        <item x="940"/>
        <item x="941"/>
        <item x="942"/>
        <item x="943"/>
        <item x="944"/>
        <item x="945"/>
        <item x="946"/>
        <item x="947"/>
        <item x="948"/>
        <item x="94"/>
        <item x="949"/>
        <item x="950"/>
        <item x="951"/>
        <item x="952"/>
        <item x="953"/>
        <item x="954"/>
        <item x="955"/>
        <item x="956"/>
        <item x="957"/>
        <item x="958"/>
        <item x="95"/>
        <item x="959"/>
        <item x="960"/>
        <item x="961"/>
        <item x="962"/>
        <item x="963"/>
        <item x="964"/>
        <item x="965"/>
        <item x="966"/>
        <item x="967"/>
        <item x="968"/>
        <item x="96"/>
        <item x="969"/>
        <item x="970"/>
        <item x="971"/>
        <item x="972"/>
        <item x="973"/>
        <item x="974"/>
        <item x="975"/>
        <item x="976"/>
        <item x="977"/>
        <item x="978"/>
        <item x="97"/>
        <item x="979"/>
        <item x="980"/>
        <item x="981"/>
        <item x="982"/>
        <item x="983"/>
        <item x="984"/>
        <item x="985"/>
        <item x="986"/>
        <item x="987"/>
        <item x="988"/>
        <item x="98"/>
        <item x="989"/>
        <item x="990"/>
        <item x="991"/>
        <item x="992"/>
        <item x="993"/>
        <item x="994"/>
        <item x="995"/>
        <item x="996"/>
        <item x="997"/>
        <item x="998"/>
        <item t="default"/>
      </items>
    </pivotField>
    <pivotField showAll="0"/>
    <pivotField showAll="0"/>
    <pivotField axis="axisRow" showAll="0">
      <items count="8">
        <item x="4"/>
        <item x="5"/>
        <item x="0"/>
        <item x="3"/>
        <item x="1"/>
        <item x="2"/>
        <item x="6"/>
        <item t="default"/>
      </items>
    </pivotField>
    <pivotField showAll="0"/>
    <pivotField showAll="0"/>
    <pivotField showAll="0"/>
    <pivotField showAll="0"/>
    <pivotField numFmtId="8" showAll="0"/>
    <pivotField numFmtId="8" showAll="0"/>
    <pivotField showAll="0">
      <items count="39">
        <item x="1"/>
        <item h="1" x="27"/>
        <item h="1" x="32"/>
        <item h="1" x="8"/>
        <item h="1" x="18"/>
        <item h="1" x="2"/>
        <item h="1" x="26"/>
        <item h="1" x="7"/>
        <item h="1" x="19"/>
        <item h="1" x="20"/>
        <item h="1" x="11"/>
        <item h="1" x="21"/>
        <item h="1" x="0"/>
        <item h="1" x="4"/>
        <item h="1" x="36"/>
        <item h="1" x="28"/>
        <item h="1" x="22"/>
        <item h="1" x="24"/>
        <item h="1" x="16"/>
        <item h="1" x="33"/>
        <item h="1" x="5"/>
        <item h="1" x="34"/>
        <item h="1" x="10"/>
        <item h="1" x="9"/>
        <item h="1" x="29"/>
        <item h="1" x="25"/>
        <item h="1" x="6"/>
        <item h="1" x="35"/>
        <item h="1" x="3"/>
        <item h="1" x="30"/>
        <item h="1" x="14"/>
        <item h="1" x="23"/>
        <item h="1" x="17"/>
        <item h="1" x="12"/>
        <item h="1" x="37"/>
        <item h="1" x="31"/>
        <item h="1" x="15"/>
        <item h="1" x="13"/>
        <item t="default"/>
      </items>
    </pivotField>
    <pivotField showAll="0"/>
    <pivotField showAll="0">
      <items count="5">
        <item x="1"/>
        <item x="0"/>
        <item x="2"/>
        <item x="3"/>
        <item t="default"/>
      </items>
    </pivotField>
  </pivotFields>
  <rowFields count="1">
    <field x="3"/>
  </rowFields>
  <rowItems count="8">
    <i>
      <x/>
    </i>
    <i>
      <x v="1"/>
    </i>
    <i>
      <x v="2"/>
    </i>
    <i>
      <x v="3"/>
    </i>
    <i>
      <x v="4"/>
    </i>
    <i>
      <x v="5"/>
    </i>
    <i>
      <x v="6"/>
    </i>
    <i t="grand">
      <x/>
    </i>
  </rowItems>
  <colItems count="1">
    <i/>
  </colItems>
  <dataFields count="1">
    <dataField name="Count of Loan ID" fld="0" subtotal="count" baseField="0" baseItem="0"/>
  </dataFields>
  <chartFormats count="32">
    <chartFormat chart="0" format="0" series="1">
      <pivotArea type="data" outline="0" fieldPosition="0">
        <references count="1">
          <reference field="4294967294" count="1" selected="0">
            <x v="0"/>
          </reference>
        </references>
      </pivotArea>
    </chartFormat>
    <chartFormat chart="3" format="6" series="1">
      <pivotArea type="data" outline="0" fieldPosition="0">
        <references count="1">
          <reference field="4294967294" count="1" selected="0">
            <x v="0"/>
          </reference>
        </references>
      </pivotArea>
    </chartFormat>
    <chartFormat chart="3" format="7">
      <pivotArea type="data" outline="0" fieldPosition="0">
        <references count="2">
          <reference field="4294967294" count="1" selected="0">
            <x v="0"/>
          </reference>
          <reference field="3" count="1" selected="0">
            <x v="2"/>
          </reference>
        </references>
      </pivotArea>
    </chartFormat>
    <chartFormat chart="3" format="8">
      <pivotArea type="data" outline="0" fieldPosition="0">
        <references count="2">
          <reference field="4294967294" count="1" selected="0">
            <x v="0"/>
          </reference>
          <reference field="3" count="1" selected="0">
            <x v="3"/>
          </reference>
        </references>
      </pivotArea>
    </chartFormat>
    <chartFormat chart="3" format="9">
      <pivotArea type="data" outline="0" fieldPosition="0">
        <references count="2">
          <reference field="4294967294" count="1" selected="0">
            <x v="0"/>
          </reference>
          <reference field="3" count="1" selected="0">
            <x v="4"/>
          </reference>
        </references>
      </pivotArea>
    </chartFormat>
    <chartFormat chart="3" format="10">
      <pivotArea type="data" outline="0" fieldPosition="0">
        <references count="2">
          <reference field="4294967294" count="1" selected="0">
            <x v="0"/>
          </reference>
          <reference field="3" count="1" selected="0">
            <x v="5"/>
          </reference>
        </references>
      </pivotArea>
    </chartFormat>
    <chartFormat chart="6"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3" count="1" selected="0">
            <x v="0"/>
          </reference>
        </references>
      </pivotArea>
    </chartFormat>
    <chartFormat chart="0" format="2">
      <pivotArea type="data" outline="0" fieldPosition="0">
        <references count="2">
          <reference field="4294967294" count="1" selected="0">
            <x v="0"/>
          </reference>
          <reference field="3" count="1" selected="0">
            <x v="1"/>
          </reference>
        </references>
      </pivotArea>
    </chartFormat>
    <chartFormat chart="0" format="3">
      <pivotArea type="data" outline="0" fieldPosition="0">
        <references count="2">
          <reference field="4294967294" count="1" selected="0">
            <x v="0"/>
          </reference>
          <reference field="3" count="1" selected="0">
            <x v="3"/>
          </reference>
        </references>
      </pivotArea>
    </chartFormat>
    <chartFormat chart="0" format="4">
      <pivotArea type="data" outline="0" fieldPosition="0">
        <references count="2">
          <reference field="4294967294" count="1" selected="0">
            <x v="0"/>
          </reference>
          <reference field="3" count="1" selected="0">
            <x v="4"/>
          </reference>
        </references>
      </pivotArea>
    </chartFormat>
    <chartFormat chart="0" format="5">
      <pivotArea type="data" outline="0" fieldPosition="0">
        <references count="2">
          <reference field="4294967294" count="1" selected="0">
            <x v="0"/>
          </reference>
          <reference field="3" count="1" selected="0">
            <x v="5"/>
          </reference>
        </references>
      </pivotArea>
    </chartFormat>
    <chartFormat chart="0" format="6">
      <pivotArea type="data" outline="0" fieldPosition="0">
        <references count="2">
          <reference field="4294967294" count="1" selected="0">
            <x v="0"/>
          </reference>
          <reference field="3" count="1" selected="0">
            <x v="6"/>
          </reference>
        </references>
      </pivotArea>
    </chartFormat>
    <chartFormat chart="11" format="2" series="1">
      <pivotArea type="data" outline="0" fieldPosition="0">
        <references count="1">
          <reference field="4294967294" count="1" selected="0">
            <x v="0"/>
          </reference>
        </references>
      </pivotArea>
    </chartFormat>
    <chartFormat chart="16" format="14" series="1">
      <pivotArea type="data" outline="0" fieldPosition="0">
        <references count="1">
          <reference field="4294967294" count="1" selected="0">
            <x v="0"/>
          </reference>
        </references>
      </pivotArea>
    </chartFormat>
    <chartFormat chart="16" format="15">
      <pivotArea type="data" outline="0" fieldPosition="0">
        <references count="2">
          <reference field="4294967294" count="1" selected="0">
            <x v="0"/>
          </reference>
          <reference field="3" count="1" selected="0">
            <x v="0"/>
          </reference>
        </references>
      </pivotArea>
    </chartFormat>
    <chartFormat chart="16" format="16">
      <pivotArea type="data" outline="0" fieldPosition="0">
        <references count="2">
          <reference field="4294967294" count="1" selected="0">
            <x v="0"/>
          </reference>
          <reference field="3" count="1" selected="0">
            <x v="1"/>
          </reference>
        </references>
      </pivotArea>
    </chartFormat>
    <chartFormat chart="16" format="17">
      <pivotArea type="data" outline="0" fieldPosition="0">
        <references count="2">
          <reference field="4294967294" count="1" selected="0">
            <x v="0"/>
          </reference>
          <reference field="3" count="1" selected="0">
            <x v="2"/>
          </reference>
        </references>
      </pivotArea>
    </chartFormat>
    <chartFormat chart="16" format="18">
      <pivotArea type="data" outline="0" fieldPosition="0">
        <references count="2">
          <reference field="4294967294" count="1" selected="0">
            <x v="0"/>
          </reference>
          <reference field="3" count="1" selected="0">
            <x v="4"/>
          </reference>
        </references>
      </pivotArea>
    </chartFormat>
    <chartFormat chart="16" format="19">
      <pivotArea type="data" outline="0" fieldPosition="0">
        <references count="2">
          <reference field="4294967294" count="1" selected="0">
            <x v="0"/>
          </reference>
          <reference field="3" count="1" selected="0">
            <x v="5"/>
          </reference>
        </references>
      </pivotArea>
    </chartFormat>
    <chartFormat chart="16" format="20">
      <pivotArea type="data" outline="0" fieldPosition="0">
        <references count="2">
          <reference field="4294967294" count="1" selected="0">
            <x v="0"/>
          </reference>
          <reference field="3" count="1" selected="0">
            <x v="6"/>
          </reference>
        </references>
      </pivotArea>
    </chartFormat>
    <chartFormat chart="16" format="21">
      <pivotArea type="data" outline="0" fieldPosition="0">
        <references count="2">
          <reference field="4294967294" count="1" selected="0">
            <x v="0"/>
          </reference>
          <reference field="3" count="1" selected="0">
            <x v="3"/>
          </reference>
        </references>
      </pivotArea>
    </chartFormat>
    <chartFormat chart="0" format="7">
      <pivotArea type="data" outline="0" fieldPosition="0">
        <references count="2">
          <reference field="4294967294" count="1" selected="0">
            <x v="0"/>
          </reference>
          <reference field="3" count="1" selected="0">
            <x v="2"/>
          </reference>
        </references>
      </pivotArea>
    </chartFormat>
    <chartFormat chart="24" format="16" series="1">
      <pivotArea type="data" outline="0" fieldPosition="0">
        <references count="1">
          <reference field="4294967294" count="1" selected="0">
            <x v="0"/>
          </reference>
        </references>
      </pivotArea>
    </chartFormat>
    <chartFormat chart="24" format="17">
      <pivotArea type="data" outline="0" fieldPosition="0">
        <references count="2">
          <reference field="4294967294" count="1" selected="0">
            <x v="0"/>
          </reference>
          <reference field="3" count="1" selected="0">
            <x v="0"/>
          </reference>
        </references>
      </pivotArea>
    </chartFormat>
    <chartFormat chart="24" format="18">
      <pivotArea type="data" outline="0" fieldPosition="0">
        <references count="2">
          <reference field="4294967294" count="1" selected="0">
            <x v="0"/>
          </reference>
          <reference field="3" count="1" selected="0">
            <x v="1"/>
          </reference>
        </references>
      </pivotArea>
    </chartFormat>
    <chartFormat chart="24" format="19">
      <pivotArea type="data" outline="0" fieldPosition="0">
        <references count="2">
          <reference field="4294967294" count="1" selected="0">
            <x v="0"/>
          </reference>
          <reference field="3" count="1" selected="0">
            <x v="2"/>
          </reference>
        </references>
      </pivotArea>
    </chartFormat>
    <chartFormat chart="24" format="20">
      <pivotArea type="data" outline="0" fieldPosition="0">
        <references count="2">
          <reference field="4294967294" count="1" selected="0">
            <x v="0"/>
          </reference>
          <reference field="3" count="1" selected="0">
            <x v="3"/>
          </reference>
        </references>
      </pivotArea>
    </chartFormat>
    <chartFormat chart="24" format="21">
      <pivotArea type="data" outline="0" fieldPosition="0">
        <references count="2">
          <reference field="4294967294" count="1" selected="0">
            <x v="0"/>
          </reference>
          <reference field="3" count="1" selected="0">
            <x v="4"/>
          </reference>
        </references>
      </pivotArea>
    </chartFormat>
    <chartFormat chart="24" format="22">
      <pivotArea type="data" outline="0" fieldPosition="0">
        <references count="2">
          <reference field="4294967294" count="1" selected="0">
            <x v="0"/>
          </reference>
          <reference field="3" count="1" selected="0">
            <x v="5"/>
          </reference>
        </references>
      </pivotArea>
    </chartFormat>
    <chartFormat chart="24" format="23">
      <pivotArea type="data" outline="0" fieldPosition="0">
        <references count="2">
          <reference field="4294967294" count="1" selected="0">
            <x v="0"/>
          </reference>
          <reference field="3" count="1" selected="0">
            <x v="6"/>
          </reference>
        </references>
      </pivotArea>
    </chartFormat>
    <chartFormat chart="25"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971E303F-A550-40F1-939B-34D0BA2F0770}" name="PivotTable11"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3">
  <location ref="A35:B74" firstHeaderRow="1" firstDataRow="1" firstDataCol="1" rowPageCount="1" colPageCount="1"/>
  <pivotFields count="13">
    <pivotField showAll="0"/>
    <pivotField showAll="0"/>
    <pivotField showAll="0"/>
    <pivotField showAll="0"/>
    <pivotField dataField="1" showAll="0"/>
    <pivotField showAll="0"/>
    <pivotField showAll="0"/>
    <pivotField showAll="0"/>
    <pivotField numFmtId="8" showAll="0"/>
    <pivotField numFmtId="8" showAll="0"/>
    <pivotField axis="axisRow" showAll="0">
      <items count="39">
        <item x="1"/>
        <item x="27"/>
        <item x="32"/>
        <item x="8"/>
        <item x="18"/>
        <item x="2"/>
        <item x="26"/>
        <item x="7"/>
        <item x="19"/>
        <item x="20"/>
        <item x="11"/>
        <item x="21"/>
        <item x="0"/>
        <item x="4"/>
        <item x="36"/>
        <item x="28"/>
        <item x="22"/>
        <item x="24"/>
        <item x="16"/>
        <item x="33"/>
        <item x="5"/>
        <item x="34"/>
        <item x="10"/>
        <item x="9"/>
        <item x="29"/>
        <item x="25"/>
        <item x="6"/>
        <item x="35"/>
        <item x="3"/>
        <item x="30"/>
        <item x="14"/>
        <item x="23"/>
        <item x="17"/>
        <item x="12"/>
        <item x="37"/>
        <item x="31"/>
        <item x="15"/>
        <item x="13"/>
        <item t="default"/>
      </items>
    </pivotField>
    <pivotField showAll="0"/>
    <pivotField axis="axisPage" showAll="0">
      <items count="5">
        <item x="1"/>
        <item x="0"/>
        <item x="2"/>
        <item x="3"/>
        <item t="default"/>
      </items>
    </pivotField>
  </pivotFields>
  <rowFields count="1">
    <field x="10"/>
  </rowFields>
  <rowItems count="39">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t="grand">
      <x/>
    </i>
  </rowItems>
  <colItems count="1">
    <i/>
  </colItems>
  <pageFields count="1">
    <pageField fld="12" hier="-1"/>
  </pageFields>
  <dataFields count="1">
    <dataField name="Sum of LOAN _x000a_AMOUNT" fld="4" baseField="0" baseItem="0"/>
  </dataFields>
  <chartFormats count="1">
    <chartFormat chart="0" format="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3D13F953-C736-4725-A493-FAD7A408D735}" name="PivotTable10"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4">
  <location ref="A19:B24" firstHeaderRow="1" firstDataRow="1" firstDataCol="1" rowPageCount="1" colPageCount="1"/>
  <pivotFields count="13">
    <pivotField dataField="1" showAll="0">
      <items count="1001">
        <item x="0"/>
        <item x="1"/>
        <item x="2"/>
        <item x="3"/>
        <item x="4"/>
        <item x="5"/>
        <item x="6"/>
        <item x="7"/>
        <item x="8"/>
        <item x="9"/>
        <item x="99"/>
        <item x="999"/>
        <item x="100"/>
        <item x="101"/>
        <item x="102"/>
        <item x="103"/>
        <item x="104"/>
        <item x="105"/>
        <item x="106"/>
        <item x="107"/>
        <item x="108"/>
        <item x="10"/>
        <item x="109"/>
        <item x="110"/>
        <item x="111"/>
        <item x="112"/>
        <item x="113"/>
        <item x="114"/>
        <item x="115"/>
        <item x="116"/>
        <item x="117"/>
        <item x="118"/>
        <item x="11"/>
        <item x="119"/>
        <item x="120"/>
        <item x="121"/>
        <item x="122"/>
        <item x="123"/>
        <item x="124"/>
        <item x="125"/>
        <item x="126"/>
        <item x="127"/>
        <item x="128"/>
        <item x="12"/>
        <item x="129"/>
        <item x="130"/>
        <item x="131"/>
        <item x="132"/>
        <item x="133"/>
        <item x="134"/>
        <item x="135"/>
        <item x="136"/>
        <item x="137"/>
        <item x="138"/>
        <item x="13"/>
        <item x="139"/>
        <item x="140"/>
        <item x="141"/>
        <item x="142"/>
        <item x="143"/>
        <item x="144"/>
        <item x="145"/>
        <item x="146"/>
        <item x="147"/>
        <item x="148"/>
        <item x="14"/>
        <item x="149"/>
        <item x="150"/>
        <item x="151"/>
        <item x="152"/>
        <item x="153"/>
        <item x="154"/>
        <item x="155"/>
        <item x="156"/>
        <item x="157"/>
        <item x="158"/>
        <item x="15"/>
        <item x="159"/>
        <item x="160"/>
        <item x="161"/>
        <item x="162"/>
        <item x="163"/>
        <item x="164"/>
        <item x="165"/>
        <item x="166"/>
        <item x="167"/>
        <item x="168"/>
        <item x="16"/>
        <item x="169"/>
        <item x="170"/>
        <item x="171"/>
        <item x="172"/>
        <item x="173"/>
        <item x="174"/>
        <item x="175"/>
        <item x="176"/>
        <item x="177"/>
        <item x="178"/>
        <item x="17"/>
        <item x="179"/>
        <item x="180"/>
        <item x="181"/>
        <item x="182"/>
        <item x="183"/>
        <item x="184"/>
        <item x="185"/>
        <item x="186"/>
        <item x="187"/>
        <item x="188"/>
        <item x="18"/>
        <item x="189"/>
        <item x="190"/>
        <item x="191"/>
        <item x="192"/>
        <item x="193"/>
        <item x="194"/>
        <item x="195"/>
        <item x="196"/>
        <item x="197"/>
        <item x="198"/>
        <item x="19"/>
        <item x="199"/>
        <item x="200"/>
        <item x="201"/>
        <item x="202"/>
        <item x="203"/>
        <item x="204"/>
        <item x="205"/>
        <item x="206"/>
        <item x="207"/>
        <item x="208"/>
        <item x="20"/>
        <item x="209"/>
        <item x="210"/>
        <item x="211"/>
        <item x="212"/>
        <item x="213"/>
        <item x="214"/>
        <item x="215"/>
        <item x="216"/>
        <item x="217"/>
        <item x="218"/>
        <item x="21"/>
        <item x="219"/>
        <item x="220"/>
        <item x="221"/>
        <item x="222"/>
        <item x="223"/>
        <item x="224"/>
        <item x="225"/>
        <item x="226"/>
        <item x="227"/>
        <item x="228"/>
        <item x="22"/>
        <item x="229"/>
        <item x="230"/>
        <item x="231"/>
        <item x="232"/>
        <item x="233"/>
        <item x="234"/>
        <item x="235"/>
        <item x="236"/>
        <item x="237"/>
        <item x="238"/>
        <item x="23"/>
        <item x="239"/>
        <item x="240"/>
        <item x="241"/>
        <item x="242"/>
        <item x="243"/>
        <item x="244"/>
        <item x="245"/>
        <item x="246"/>
        <item x="247"/>
        <item x="248"/>
        <item x="24"/>
        <item x="249"/>
        <item x="250"/>
        <item x="251"/>
        <item x="252"/>
        <item x="253"/>
        <item x="254"/>
        <item x="255"/>
        <item x="256"/>
        <item x="257"/>
        <item x="258"/>
        <item x="25"/>
        <item x="259"/>
        <item x="260"/>
        <item x="261"/>
        <item x="262"/>
        <item x="263"/>
        <item x="264"/>
        <item x="265"/>
        <item x="266"/>
        <item x="267"/>
        <item x="268"/>
        <item x="26"/>
        <item x="269"/>
        <item x="270"/>
        <item x="271"/>
        <item x="272"/>
        <item x="273"/>
        <item x="274"/>
        <item x="275"/>
        <item x="276"/>
        <item x="277"/>
        <item x="278"/>
        <item x="27"/>
        <item x="279"/>
        <item x="280"/>
        <item x="281"/>
        <item x="282"/>
        <item x="283"/>
        <item x="284"/>
        <item x="285"/>
        <item x="286"/>
        <item x="287"/>
        <item x="288"/>
        <item x="28"/>
        <item x="289"/>
        <item x="290"/>
        <item x="291"/>
        <item x="292"/>
        <item x="293"/>
        <item x="294"/>
        <item x="295"/>
        <item x="296"/>
        <item x="297"/>
        <item x="298"/>
        <item x="29"/>
        <item x="299"/>
        <item x="300"/>
        <item x="301"/>
        <item x="302"/>
        <item x="303"/>
        <item x="304"/>
        <item x="305"/>
        <item x="306"/>
        <item x="307"/>
        <item x="308"/>
        <item x="30"/>
        <item x="309"/>
        <item x="310"/>
        <item x="311"/>
        <item x="312"/>
        <item x="313"/>
        <item x="314"/>
        <item x="315"/>
        <item x="316"/>
        <item x="317"/>
        <item x="318"/>
        <item x="31"/>
        <item x="319"/>
        <item x="320"/>
        <item x="321"/>
        <item x="322"/>
        <item x="323"/>
        <item x="324"/>
        <item x="325"/>
        <item x="326"/>
        <item x="327"/>
        <item x="328"/>
        <item x="32"/>
        <item x="329"/>
        <item x="330"/>
        <item x="331"/>
        <item x="332"/>
        <item x="333"/>
        <item x="334"/>
        <item x="335"/>
        <item x="336"/>
        <item x="337"/>
        <item x="338"/>
        <item x="33"/>
        <item x="339"/>
        <item x="340"/>
        <item x="341"/>
        <item x="342"/>
        <item x="343"/>
        <item x="344"/>
        <item x="345"/>
        <item x="346"/>
        <item x="347"/>
        <item x="348"/>
        <item x="34"/>
        <item x="349"/>
        <item x="350"/>
        <item x="351"/>
        <item x="352"/>
        <item x="353"/>
        <item x="354"/>
        <item x="355"/>
        <item x="356"/>
        <item x="357"/>
        <item x="358"/>
        <item x="35"/>
        <item x="359"/>
        <item x="360"/>
        <item x="361"/>
        <item x="362"/>
        <item x="363"/>
        <item x="364"/>
        <item x="365"/>
        <item x="366"/>
        <item x="367"/>
        <item x="368"/>
        <item x="36"/>
        <item x="369"/>
        <item x="370"/>
        <item x="371"/>
        <item x="372"/>
        <item x="373"/>
        <item x="374"/>
        <item x="375"/>
        <item x="376"/>
        <item x="377"/>
        <item x="378"/>
        <item x="37"/>
        <item x="379"/>
        <item x="380"/>
        <item x="381"/>
        <item x="382"/>
        <item x="383"/>
        <item x="384"/>
        <item x="385"/>
        <item x="386"/>
        <item x="387"/>
        <item x="388"/>
        <item x="38"/>
        <item x="389"/>
        <item x="390"/>
        <item x="391"/>
        <item x="392"/>
        <item x="393"/>
        <item x="394"/>
        <item x="395"/>
        <item x="396"/>
        <item x="397"/>
        <item x="398"/>
        <item x="39"/>
        <item x="399"/>
        <item x="400"/>
        <item x="401"/>
        <item x="402"/>
        <item x="403"/>
        <item x="404"/>
        <item x="405"/>
        <item x="406"/>
        <item x="407"/>
        <item x="408"/>
        <item x="40"/>
        <item x="409"/>
        <item x="410"/>
        <item x="411"/>
        <item x="412"/>
        <item x="413"/>
        <item x="414"/>
        <item x="415"/>
        <item x="416"/>
        <item x="417"/>
        <item x="418"/>
        <item x="41"/>
        <item x="419"/>
        <item x="420"/>
        <item x="421"/>
        <item x="422"/>
        <item x="423"/>
        <item x="424"/>
        <item x="425"/>
        <item x="426"/>
        <item x="427"/>
        <item x="428"/>
        <item x="42"/>
        <item x="429"/>
        <item x="430"/>
        <item x="431"/>
        <item x="432"/>
        <item x="433"/>
        <item x="434"/>
        <item x="435"/>
        <item x="436"/>
        <item x="437"/>
        <item x="438"/>
        <item x="43"/>
        <item x="439"/>
        <item x="440"/>
        <item x="441"/>
        <item x="442"/>
        <item x="443"/>
        <item x="444"/>
        <item x="445"/>
        <item x="446"/>
        <item x="447"/>
        <item x="448"/>
        <item x="44"/>
        <item x="449"/>
        <item x="450"/>
        <item x="451"/>
        <item x="452"/>
        <item x="453"/>
        <item x="454"/>
        <item x="455"/>
        <item x="456"/>
        <item x="457"/>
        <item x="458"/>
        <item x="45"/>
        <item x="459"/>
        <item x="460"/>
        <item x="461"/>
        <item x="462"/>
        <item x="463"/>
        <item x="464"/>
        <item x="465"/>
        <item x="466"/>
        <item x="467"/>
        <item x="468"/>
        <item x="46"/>
        <item x="469"/>
        <item x="470"/>
        <item x="471"/>
        <item x="472"/>
        <item x="473"/>
        <item x="474"/>
        <item x="475"/>
        <item x="476"/>
        <item x="477"/>
        <item x="478"/>
        <item x="47"/>
        <item x="479"/>
        <item x="480"/>
        <item x="481"/>
        <item x="482"/>
        <item x="483"/>
        <item x="484"/>
        <item x="485"/>
        <item x="486"/>
        <item x="487"/>
        <item x="488"/>
        <item x="48"/>
        <item x="489"/>
        <item x="490"/>
        <item x="491"/>
        <item x="492"/>
        <item x="493"/>
        <item x="494"/>
        <item x="495"/>
        <item x="496"/>
        <item x="497"/>
        <item x="498"/>
        <item x="49"/>
        <item x="499"/>
        <item x="500"/>
        <item x="501"/>
        <item x="502"/>
        <item x="503"/>
        <item x="504"/>
        <item x="505"/>
        <item x="506"/>
        <item x="507"/>
        <item x="508"/>
        <item x="50"/>
        <item x="509"/>
        <item x="510"/>
        <item x="511"/>
        <item x="512"/>
        <item x="513"/>
        <item x="514"/>
        <item x="515"/>
        <item x="516"/>
        <item x="517"/>
        <item x="518"/>
        <item x="51"/>
        <item x="519"/>
        <item x="520"/>
        <item x="521"/>
        <item x="522"/>
        <item x="523"/>
        <item x="524"/>
        <item x="525"/>
        <item x="526"/>
        <item x="527"/>
        <item x="528"/>
        <item x="52"/>
        <item x="529"/>
        <item x="530"/>
        <item x="531"/>
        <item x="532"/>
        <item x="533"/>
        <item x="534"/>
        <item x="535"/>
        <item x="536"/>
        <item x="537"/>
        <item x="538"/>
        <item x="53"/>
        <item x="539"/>
        <item x="540"/>
        <item x="541"/>
        <item x="542"/>
        <item x="543"/>
        <item x="544"/>
        <item x="545"/>
        <item x="546"/>
        <item x="547"/>
        <item x="548"/>
        <item x="54"/>
        <item x="549"/>
        <item x="550"/>
        <item x="551"/>
        <item x="552"/>
        <item x="553"/>
        <item x="554"/>
        <item x="555"/>
        <item x="556"/>
        <item x="557"/>
        <item x="558"/>
        <item x="55"/>
        <item x="559"/>
        <item x="560"/>
        <item x="561"/>
        <item x="562"/>
        <item x="563"/>
        <item x="564"/>
        <item x="565"/>
        <item x="566"/>
        <item x="567"/>
        <item x="568"/>
        <item x="56"/>
        <item x="569"/>
        <item x="570"/>
        <item x="571"/>
        <item x="572"/>
        <item x="573"/>
        <item x="574"/>
        <item x="575"/>
        <item x="576"/>
        <item x="577"/>
        <item x="578"/>
        <item x="57"/>
        <item x="579"/>
        <item x="580"/>
        <item x="581"/>
        <item x="582"/>
        <item x="583"/>
        <item x="584"/>
        <item x="585"/>
        <item x="586"/>
        <item x="587"/>
        <item x="588"/>
        <item x="58"/>
        <item x="589"/>
        <item x="590"/>
        <item x="591"/>
        <item x="592"/>
        <item x="593"/>
        <item x="594"/>
        <item x="595"/>
        <item x="596"/>
        <item x="597"/>
        <item x="598"/>
        <item x="59"/>
        <item x="599"/>
        <item x="600"/>
        <item x="601"/>
        <item x="602"/>
        <item x="603"/>
        <item x="604"/>
        <item x="605"/>
        <item x="606"/>
        <item x="607"/>
        <item x="608"/>
        <item x="60"/>
        <item x="609"/>
        <item x="610"/>
        <item x="611"/>
        <item x="612"/>
        <item x="613"/>
        <item x="614"/>
        <item x="615"/>
        <item x="616"/>
        <item x="617"/>
        <item x="618"/>
        <item x="61"/>
        <item x="619"/>
        <item x="620"/>
        <item x="621"/>
        <item x="622"/>
        <item x="623"/>
        <item x="624"/>
        <item x="625"/>
        <item x="626"/>
        <item x="627"/>
        <item x="628"/>
        <item x="62"/>
        <item x="629"/>
        <item x="630"/>
        <item x="631"/>
        <item x="632"/>
        <item x="633"/>
        <item x="634"/>
        <item x="635"/>
        <item x="636"/>
        <item x="637"/>
        <item x="638"/>
        <item x="63"/>
        <item x="639"/>
        <item x="640"/>
        <item x="641"/>
        <item x="642"/>
        <item x="643"/>
        <item x="644"/>
        <item x="645"/>
        <item x="646"/>
        <item x="647"/>
        <item x="648"/>
        <item x="64"/>
        <item x="649"/>
        <item x="650"/>
        <item x="651"/>
        <item x="652"/>
        <item x="653"/>
        <item x="654"/>
        <item x="655"/>
        <item x="656"/>
        <item x="657"/>
        <item x="658"/>
        <item x="65"/>
        <item x="659"/>
        <item x="660"/>
        <item x="661"/>
        <item x="662"/>
        <item x="663"/>
        <item x="664"/>
        <item x="665"/>
        <item x="666"/>
        <item x="667"/>
        <item x="668"/>
        <item x="66"/>
        <item x="669"/>
        <item x="670"/>
        <item x="671"/>
        <item x="672"/>
        <item x="673"/>
        <item x="674"/>
        <item x="675"/>
        <item x="676"/>
        <item x="677"/>
        <item x="678"/>
        <item x="67"/>
        <item x="679"/>
        <item x="680"/>
        <item x="681"/>
        <item x="682"/>
        <item x="683"/>
        <item x="684"/>
        <item x="685"/>
        <item x="686"/>
        <item x="687"/>
        <item x="688"/>
        <item x="68"/>
        <item x="689"/>
        <item x="690"/>
        <item x="691"/>
        <item x="692"/>
        <item x="693"/>
        <item x="694"/>
        <item x="695"/>
        <item x="696"/>
        <item x="697"/>
        <item x="698"/>
        <item x="69"/>
        <item x="699"/>
        <item x="700"/>
        <item x="701"/>
        <item x="702"/>
        <item x="703"/>
        <item x="704"/>
        <item x="705"/>
        <item x="706"/>
        <item x="707"/>
        <item x="708"/>
        <item x="70"/>
        <item x="709"/>
        <item x="710"/>
        <item x="711"/>
        <item x="712"/>
        <item x="713"/>
        <item x="714"/>
        <item x="715"/>
        <item x="716"/>
        <item x="717"/>
        <item x="718"/>
        <item x="71"/>
        <item x="719"/>
        <item x="720"/>
        <item x="721"/>
        <item x="722"/>
        <item x="723"/>
        <item x="724"/>
        <item x="725"/>
        <item x="726"/>
        <item x="727"/>
        <item x="728"/>
        <item x="72"/>
        <item x="729"/>
        <item x="730"/>
        <item x="731"/>
        <item x="732"/>
        <item x="733"/>
        <item x="734"/>
        <item x="735"/>
        <item x="736"/>
        <item x="737"/>
        <item x="738"/>
        <item x="73"/>
        <item x="739"/>
        <item x="740"/>
        <item x="741"/>
        <item x="742"/>
        <item x="743"/>
        <item x="744"/>
        <item x="745"/>
        <item x="746"/>
        <item x="747"/>
        <item x="748"/>
        <item x="74"/>
        <item x="749"/>
        <item x="750"/>
        <item x="751"/>
        <item x="752"/>
        <item x="753"/>
        <item x="754"/>
        <item x="755"/>
        <item x="756"/>
        <item x="757"/>
        <item x="758"/>
        <item x="75"/>
        <item x="759"/>
        <item x="760"/>
        <item x="761"/>
        <item x="762"/>
        <item x="763"/>
        <item x="764"/>
        <item x="765"/>
        <item x="766"/>
        <item x="767"/>
        <item x="768"/>
        <item x="76"/>
        <item x="769"/>
        <item x="770"/>
        <item x="771"/>
        <item x="772"/>
        <item x="773"/>
        <item x="774"/>
        <item x="775"/>
        <item x="776"/>
        <item x="777"/>
        <item x="778"/>
        <item x="77"/>
        <item x="779"/>
        <item x="780"/>
        <item x="781"/>
        <item x="782"/>
        <item x="783"/>
        <item x="784"/>
        <item x="785"/>
        <item x="786"/>
        <item x="787"/>
        <item x="788"/>
        <item x="78"/>
        <item x="789"/>
        <item x="790"/>
        <item x="791"/>
        <item x="792"/>
        <item x="793"/>
        <item x="794"/>
        <item x="795"/>
        <item x="796"/>
        <item x="797"/>
        <item x="798"/>
        <item x="79"/>
        <item x="799"/>
        <item x="800"/>
        <item x="801"/>
        <item x="802"/>
        <item x="803"/>
        <item x="804"/>
        <item x="805"/>
        <item x="806"/>
        <item x="807"/>
        <item x="808"/>
        <item x="80"/>
        <item x="809"/>
        <item x="810"/>
        <item x="811"/>
        <item x="812"/>
        <item x="813"/>
        <item x="814"/>
        <item x="815"/>
        <item x="816"/>
        <item x="817"/>
        <item x="818"/>
        <item x="81"/>
        <item x="819"/>
        <item x="820"/>
        <item x="821"/>
        <item x="822"/>
        <item x="823"/>
        <item x="824"/>
        <item x="825"/>
        <item x="826"/>
        <item x="827"/>
        <item x="828"/>
        <item x="82"/>
        <item x="829"/>
        <item x="830"/>
        <item x="831"/>
        <item x="832"/>
        <item x="833"/>
        <item x="834"/>
        <item x="835"/>
        <item x="836"/>
        <item x="837"/>
        <item x="838"/>
        <item x="83"/>
        <item x="839"/>
        <item x="840"/>
        <item x="841"/>
        <item x="842"/>
        <item x="843"/>
        <item x="844"/>
        <item x="845"/>
        <item x="846"/>
        <item x="847"/>
        <item x="848"/>
        <item x="84"/>
        <item x="849"/>
        <item x="850"/>
        <item x="851"/>
        <item x="852"/>
        <item x="853"/>
        <item x="854"/>
        <item x="855"/>
        <item x="856"/>
        <item x="857"/>
        <item x="858"/>
        <item x="85"/>
        <item x="859"/>
        <item x="860"/>
        <item x="861"/>
        <item x="862"/>
        <item x="863"/>
        <item x="864"/>
        <item x="865"/>
        <item x="866"/>
        <item x="867"/>
        <item x="868"/>
        <item x="86"/>
        <item x="869"/>
        <item x="870"/>
        <item x="871"/>
        <item x="872"/>
        <item x="873"/>
        <item x="874"/>
        <item x="875"/>
        <item x="876"/>
        <item x="877"/>
        <item x="878"/>
        <item x="87"/>
        <item x="879"/>
        <item x="880"/>
        <item x="881"/>
        <item x="882"/>
        <item x="883"/>
        <item x="884"/>
        <item x="885"/>
        <item x="886"/>
        <item x="887"/>
        <item x="888"/>
        <item x="88"/>
        <item x="889"/>
        <item x="890"/>
        <item x="891"/>
        <item x="892"/>
        <item x="893"/>
        <item x="894"/>
        <item x="895"/>
        <item x="896"/>
        <item x="897"/>
        <item x="898"/>
        <item x="89"/>
        <item x="899"/>
        <item x="900"/>
        <item x="901"/>
        <item x="902"/>
        <item x="903"/>
        <item x="904"/>
        <item x="905"/>
        <item x="906"/>
        <item x="907"/>
        <item x="908"/>
        <item x="90"/>
        <item x="909"/>
        <item x="910"/>
        <item x="911"/>
        <item x="912"/>
        <item x="913"/>
        <item x="914"/>
        <item x="915"/>
        <item x="916"/>
        <item x="917"/>
        <item x="918"/>
        <item x="91"/>
        <item x="919"/>
        <item x="920"/>
        <item x="921"/>
        <item x="922"/>
        <item x="923"/>
        <item x="924"/>
        <item x="925"/>
        <item x="926"/>
        <item x="927"/>
        <item x="928"/>
        <item x="92"/>
        <item x="929"/>
        <item x="930"/>
        <item x="931"/>
        <item x="932"/>
        <item x="933"/>
        <item x="934"/>
        <item x="935"/>
        <item x="936"/>
        <item x="937"/>
        <item x="938"/>
        <item x="93"/>
        <item x="939"/>
        <item x="940"/>
        <item x="941"/>
        <item x="942"/>
        <item x="943"/>
        <item x="944"/>
        <item x="945"/>
        <item x="946"/>
        <item x="947"/>
        <item x="948"/>
        <item x="94"/>
        <item x="949"/>
        <item x="950"/>
        <item x="951"/>
        <item x="952"/>
        <item x="953"/>
        <item x="954"/>
        <item x="955"/>
        <item x="956"/>
        <item x="957"/>
        <item x="958"/>
        <item x="95"/>
        <item x="959"/>
        <item x="960"/>
        <item x="961"/>
        <item x="962"/>
        <item x="963"/>
        <item x="964"/>
        <item x="965"/>
        <item x="966"/>
        <item x="967"/>
        <item x="968"/>
        <item x="96"/>
        <item x="969"/>
        <item x="970"/>
        <item x="971"/>
        <item x="972"/>
        <item x="973"/>
        <item x="974"/>
        <item x="975"/>
        <item x="976"/>
        <item x="977"/>
        <item x="978"/>
        <item x="97"/>
        <item x="979"/>
        <item x="980"/>
        <item x="981"/>
        <item x="982"/>
        <item x="983"/>
        <item x="984"/>
        <item x="985"/>
        <item x="986"/>
        <item x="987"/>
        <item x="988"/>
        <item x="98"/>
        <item x="989"/>
        <item x="990"/>
        <item x="991"/>
        <item x="992"/>
        <item x="993"/>
        <item x="994"/>
        <item x="995"/>
        <item x="996"/>
        <item x="997"/>
        <item x="998"/>
        <item t="default"/>
      </items>
    </pivotField>
    <pivotField showAll="0"/>
    <pivotField showAll="0"/>
    <pivotField axis="axisPage" multipleItemSelectionAllowed="1" showAll="0">
      <items count="8">
        <item x="4"/>
        <item x="5"/>
        <item x="0"/>
        <item x="3"/>
        <item x="1"/>
        <item x="2"/>
        <item x="6"/>
        <item t="default"/>
      </items>
    </pivotField>
    <pivotField showAll="0"/>
    <pivotField showAll="0"/>
    <pivotField showAll="0"/>
    <pivotField showAll="0"/>
    <pivotField numFmtId="8" showAll="0"/>
    <pivotField numFmtId="8" showAll="0"/>
    <pivotField showAll="0">
      <items count="39">
        <item h="1" x="1"/>
        <item h="1" x="27"/>
        <item x="32"/>
        <item h="1" x="8"/>
        <item h="1" x="18"/>
        <item h="1" x="2"/>
        <item h="1" x="26"/>
        <item h="1" x="7"/>
        <item h="1" x="19"/>
        <item h="1" x="20"/>
        <item h="1" x="11"/>
        <item h="1" x="21"/>
        <item h="1" x="0"/>
        <item h="1" x="4"/>
        <item h="1" x="36"/>
        <item h="1" x="28"/>
        <item h="1" x="22"/>
        <item h="1" x="24"/>
        <item h="1" x="16"/>
        <item h="1" x="33"/>
        <item h="1" x="5"/>
        <item h="1" x="34"/>
        <item h="1" x="10"/>
        <item h="1" x="9"/>
        <item h="1" x="29"/>
        <item h="1" x="25"/>
        <item h="1" x="6"/>
        <item h="1" x="35"/>
        <item h="1" x="3"/>
        <item h="1" x="30"/>
        <item h="1" x="14"/>
        <item h="1" x="23"/>
        <item h="1" x="17"/>
        <item h="1" x="12"/>
        <item h="1" x="37"/>
        <item h="1" x="31"/>
        <item h="1" x="15"/>
        <item h="1" x="13"/>
        <item t="default"/>
      </items>
    </pivotField>
    <pivotField showAll="0">
      <items count="330">
        <item x="73"/>
        <item x="157"/>
        <item x="243"/>
        <item x="179"/>
        <item x="18"/>
        <item x="148"/>
        <item x="133"/>
        <item x="171"/>
        <item x="17"/>
        <item x="44"/>
        <item x="215"/>
        <item x="279"/>
        <item x="170"/>
        <item x="6"/>
        <item x="224"/>
        <item x="89"/>
        <item x="116"/>
        <item x="115"/>
        <item x="162"/>
        <item x="293"/>
        <item x="286"/>
        <item x="46"/>
        <item x="299"/>
        <item x="85"/>
        <item x="223"/>
        <item x="189"/>
        <item x="321"/>
        <item x="63"/>
        <item x="275"/>
        <item x="110"/>
        <item x="289"/>
        <item x="186"/>
        <item x="309"/>
        <item x="154"/>
        <item x="263"/>
        <item x="11"/>
        <item x="0"/>
        <item x="172"/>
        <item x="185"/>
        <item x="5"/>
        <item x="217"/>
        <item x="270"/>
        <item x="195"/>
        <item x="30"/>
        <item x="100"/>
        <item x="298"/>
        <item x="62"/>
        <item x="248"/>
        <item x="165"/>
        <item x="138"/>
        <item x="75"/>
        <item x="266"/>
        <item x="218"/>
        <item x="291"/>
        <item x="168"/>
        <item x="283"/>
        <item x="211"/>
        <item x="246"/>
        <item x="83"/>
        <item x="196"/>
        <item x="242"/>
        <item x="314"/>
        <item x="3"/>
        <item x="260"/>
        <item x="42"/>
        <item x="250"/>
        <item x="208"/>
        <item x="282"/>
        <item x="87"/>
        <item x="188"/>
        <item x="278"/>
        <item x="117"/>
        <item x="290"/>
        <item x="219"/>
        <item x="167"/>
        <item x="156"/>
        <item x="102"/>
        <item x="151"/>
        <item x="15"/>
        <item x="130"/>
        <item x="143"/>
        <item x="221"/>
        <item x="86"/>
        <item x="60"/>
        <item x="296"/>
        <item x="35"/>
        <item x="142"/>
        <item x="12"/>
        <item x="181"/>
        <item x="255"/>
        <item x="316"/>
        <item x="69"/>
        <item x="214"/>
        <item x="230"/>
        <item x="51"/>
        <item x="261"/>
        <item x="59"/>
        <item x="251"/>
        <item x="212"/>
        <item x="180"/>
        <item x="70"/>
        <item x="7"/>
        <item x="153"/>
        <item x="120"/>
        <item x="121"/>
        <item x="36"/>
        <item x="303"/>
        <item x="80"/>
        <item x="21"/>
        <item x="161"/>
        <item x="144"/>
        <item x="323"/>
        <item x="194"/>
        <item x="19"/>
        <item x="262"/>
        <item x="315"/>
        <item x="324"/>
        <item x="58"/>
        <item x="90"/>
        <item x="209"/>
        <item x="34"/>
        <item x="126"/>
        <item x="124"/>
        <item x="55"/>
        <item x="2"/>
        <item x="28"/>
        <item x="78"/>
        <item x="245"/>
        <item x="50"/>
        <item x="244"/>
        <item x="222"/>
        <item x="114"/>
        <item x="257"/>
        <item x="183"/>
        <item x="152"/>
        <item x="43"/>
        <item x="76"/>
        <item x="98"/>
        <item x="150"/>
        <item x="92"/>
        <item x="187"/>
        <item x="81"/>
        <item x="273"/>
        <item x="99"/>
        <item x="8"/>
        <item x="111"/>
        <item x="23"/>
        <item x="258"/>
        <item x="95"/>
        <item x="129"/>
        <item x="281"/>
        <item x="201"/>
        <item x="145"/>
        <item x="123"/>
        <item x="191"/>
        <item x="269"/>
        <item x="234"/>
        <item x="54"/>
        <item x="213"/>
        <item x="33"/>
        <item x="297"/>
        <item x="118"/>
        <item x="228"/>
        <item x="96"/>
        <item x="131"/>
        <item x="4"/>
        <item x="93"/>
        <item x="200"/>
        <item x="71"/>
        <item x="233"/>
        <item x="27"/>
        <item x="239"/>
        <item x="265"/>
        <item x="202"/>
        <item x="155"/>
        <item x="104"/>
        <item x="193"/>
        <item x="272"/>
        <item x="285"/>
        <item x="198"/>
        <item x="119"/>
        <item x="160"/>
        <item x="14"/>
        <item x="158"/>
        <item x="1"/>
        <item x="225"/>
        <item x="45"/>
        <item x="175"/>
        <item x="79"/>
        <item x="288"/>
        <item x="300"/>
        <item x="277"/>
        <item x="310"/>
        <item x="295"/>
        <item x="169"/>
        <item x="52"/>
        <item x="108"/>
        <item x="312"/>
        <item x="66"/>
        <item x="107"/>
        <item x="26"/>
        <item x="210"/>
        <item x="49"/>
        <item x="190"/>
        <item x="313"/>
        <item x="307"/>
        <item x="122"/>
        <item x="146"/>
        <item x="106"/>
        <item x="302"/>
        <item x="164"/>
        <item x="205"/>
        <item x="25"/>
        <item x="141"/>
        <item x="10"/>
        <item x="204"/>
        <item x="280"/>
        <item x="159"/>
        <item x="178"/>
        <item x="238"/>
        <item x="173"/>
        <item x="306"/>
        <item x="140"/>
        <item x="317"/>
        <item x="252"/>
        <item x="284"/>
        <item x="37"/>
        <item x="84"/>
        <item x="237"/>
        <item x="176"/>
        <item x="135"/>
        <item x="139"/>
        <item x="207"/>
        <item x="91"/>
        <item x="13"/>
        <item x="137"/>
        <item x="163"/>
        <item x="68"/>
        <item x="276"/>
        <item x="253"/>
        <item x="249"/>
        <item x="29"/>
        <item x="254"/>
        <item x="149"/>
        <item x="125"/>
        <item x="128"/>
        <item x="67"/>
        <item x="192"/>
        <item x="235"/>
        <item x="226"/>
        <item x="292"/>
        <item x="240"/>
        <item x="231"/>
        <item x="236"/>
        <item x="216"/>
        <item x="322"/>
        <item x="301"/>
        <item x="177"/>
        <item x="327"/>
        <item x="166"/>
        <item x="174"/>
        <item x="39"/>
        <item x="41"/>
        <item x="264"/>
        <item x="97"/>
        <item x="113"/>
        <item x="61"/>
        <item x="127"/>
        <item x="9"/>
        <item x="326"/>
        <item x="82"/>
        <item x="38"/>
        <item x="56"/>
        <item x="22"/>
        <item x="203"/>
        <item x="64"/>
        <item x="65"/>
        <item x="318"/>
        <item x="40"/>
        <item x="308"/>
        <item x="232"/>
        <item x="48"/>
        <item x="24"/>
        <item x="268"/>
        <item x="112"/>
        <item x="287"/>
        <item x="199"/>
        <item x="325"/>
        <item x="77"/>
        <item x="197"/>
        <item x="147"/>
        <item x="206"/>
        <item x="72"/>
        <item x="274"/>
        <item x="229"/>
        <item x="53"/>
        <item x="304"/>
        <item x="109"/>
        <item x="74"/>
        <item x="294"/>
        <item x="134"/>
        <item x="16"/>
        <item x="136"/>
        <item x="31"/>
        <item x="320"/>
        <item x="182"/>
        <item x="105"/>
        <item x="57"/>
        <item x="259"/>
        <item x="20"/>
        <item x="328"/>
        <item x="32"/>
        <item x="247"/>
        <item x="319"/>
        <item x="227"/>
        <item x="267"/>
        <item x="101"/>
        <item x="256"/>
        <item x="220"/>
        <item x="241"/>
        <item x="184"/>
        <item x="103"/>
        <item x="94"/>
        <item x="271"/>
        <item x="47"/>
        <item x="88"/>
        <item x="305"/>
        <item x="132"/>
        <item x="311"/>
        <item t="default"/>
      </items>
    </pivotField>
    <pivotField axis="axisRow" showAll="0">
      <items count="5">
        <item x="1"/>
        <item x="0"/>
        <item x="2"/>
        <item x="3"/>
        <item t="default"/>
      </items>
    </pivotField>
  </pivotFields>
  <rowFields count="1">
    <field x="12"/>
  </rowFields>
  <rowItems count="5">
    <i>
      <x/>
    </i>
    <i>
      <x v="1"/>
    </i>
    <i>
      <x v="2"/>
    </i>
    <i>
      <x v="3"/>
    </i>
    <i t="grand">
      <x/>
    </i>
  </rowItems>
  <colItems count="1">
    <i/>
  </colItems>
  <pageFields count="1">
    <pageField fld="3" hier="-1"/>
  </pageFields>
  <dataFields count="1">
    <dataField name="Count of Loan ID" fld="0" subtotal="count" baseField="0" baseItem="0"/>
  </dataFields>
  <chartFormats count="5">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12" count="1" selected="0">
            <x v="0"/>
          </reference>
        </references>
      </pivotArea>
    </chartFormat>
    <chartFormat chart="0" format="2">
      <pivotArea type="data" outline="0" fieldPosition="0">
        <references count="2">
          <reference field="4294967294" count="1" selected="0">
            <x v="0"/>
          </reference>
          <reference field="12" count="1" selected="0">
            <x v="1"/>
          </reference>
        </references>
      </pivotArea>
    </chartFormat>
    <chartFormat chart="0" format="3">
      <pivotArea type="data" outline="0" fieldPosition="0">
        <references count="2">
          <reference field="4294967294" count="1" selected="0">
            <x v="0"/>
          </reference>
          <reference field="12" count="1" selected="0">
            <x v="2"/>
          </reference>
        </references>
      </pivotArea>
    </chartFormat>
    <chartFormat chart="0" format="4">
      <pivotArea type="data" outline="0" fieldPosition="0">
        <references count="2">
          <reference field="4294967294" count="1" selected="0">
            <x v="0"/>
          </reference>
          <reference field="12" count="1" selected="0">
            <x v="3"/>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A06F2956-6652-455A-8597-73E0004720EE}" name="PivotTable9"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2">
  <location ref="A4:B12" firstHeaderRow="1" firstDataRow="1" firstDataCol="1" rowPageCount="2" colPageCount="1"/>
  <pivotFields count="13">
    <pivotField showAll="0"/>
    <pivotField showAll="0"/>
    <pivotField showAll="0"/>
    <pivotField axis="axisRow" showAll="0">
      <items count="8">
        <item x="4"/>
        <item x="5"/>
        <item x="0"/>
        <item x="3"/>
        <item x="1"/>
        <item x="2"/>
        <item x="6"/>
        <item t="default"/>
      </items>
    </pivotField>
    <pivotField dataField="1" showAll="0"/>
    <pivotField showAll="0"/>
    <pivotField showAll="0"/>
    <pivotField showAll="0"/>
    <pivotField numFmtId="8" showAll="0"/>
    <pivotField numFmtId="8" showAll="0"/>
    <pivotField axis="axisPage" showAll="0">
      <items count="39">
        <item x="1"/>
        <item x="27"/>
        <item x="32"/>
        <item x="8"/>
        <item x="18"/>
        <item x="2"/>
        <item x="26"/>
        <item x="7"/>
        <item x="19"/>
        <item x="20"/>
        <item x="11"/>
        <item x="21"/>
        <item x="0"/>
        <item x="4"/>
        <item x="36"/>
        <item x="28"/>
        <item x="22"/>
        <item x="24"/>
        <item x="16"/>
        <item x="33"/>
        <item x="5"/>
        <item x="34"/>
        <item x="10"/>
        <item x="9"/>
        <item x="29"/>
        <item x="25"/>
        <item x="6"/>
        <item x="35"/>
        <item x="3"/>
        <item x="30"/>
        <item x="14"/>
        <item x="23"/>
        <item x="17"/>
        <item x="12"/>
        <item x="37"/>
        <item x="31"/>
        <item x="15"/>
        <item x="13"/>
        <item t="default"/>
      </items>
    </pivotField>
    <pivotField showAll="0"/>
    <pivotField axis="axisPage" showAll="0">
      <items count="5">
        <item x="1"/>
        <item x="0"/>
        <item x="2"/>
        <item x="3"/>
        <item t="default"/>
      </items>
    </pivotField>
  </pivotFields>
  <rowFields count="1">
    <field x="3"/>
  </rowFields>
  <rowItems count="8">
    <i>
      <x/>
    </i>
    <i>
      <x v="1"/>
    </i>
    <i>
      <x v="2"/>
    </i>
    <i>
      <x v="3"/>
    </i>
    <i>
      <x v="4"/>
    </i>
    <i>
      <x v="5"/>
    </i>
    <i>
      <x v="6"/>
    </i>
    <i t="grand">
      <x/>
    </i>
  </rowItems>
  <colItems count="1">
    <i/>
  </colItems>
  <pageFields count="2">
    <pageField fld="12" hier="-1"/>
    <pageField fld="10" hier="-1"/>
  </pageFields>
  <dataFields count="1">
    <dataField name="Sum of LOAN _x000a_AMOUNT" fld="4" baseField="0" baseItem="0"/>
  </dataFields>
  <chartFormats count="1">
    <chartFormat chart="0" format="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A85B51D3-8566-4855-A7BE-A93C32A8FA40}" name="PivotTable13"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6">
  <location ref="S21:T34" firstHeaderRow="1" firstDataRow="1" firstDataCol="1" rowPageCount="1" colPageCount="1"/>
  <pivotFields count="13">
    <pivotField showAll="0"/>
    <pivotField showAll="0"/>
    <pivotField showAll="0"/>
    <pivotField axis="axisPage" showAll="0">
      <items count="8">
        <item x="4"/>
        <item x="5"/>
        <item x="0"/>
        <item x="3"/>
        <item x="1"/>
        <item x="2"/>
        <item x="6"/>
        <item t="default"/>
      </items>
    </pivotField>
    <pivotField dataField="1" showAll="0"/>
    <pivotField axis="axisRow" showAll="0">
      <items count="13">
        <item x="10"/>
        <item x="5"/>
        <item x="3"/>
        <item x="6"/>
        <item x="4"/>
        <item x="7"/>
        <item x="8"/>
        <item x="11"/>
        <item x="1"/>
        <item x="2"/>
        <item x="0"/>
        <item x="9"/>
        <item t="default"/>
      </items>
    </pivotField>
    <pivotField showAll="0"/>
    <pivotField showAll="0"/>
    <pivotField numFmtId="8" showAll="0"/>
    <pivotField numFmtId="8" showAll="0"/>
    <pivotField showAll="0"/>
    <pivotField showAll="0"/>
    <pivotField showAll="0"/>
  </pivotFields>
  <rowFields count="1">
    <field x="5"/>
  </rowFields>
  <rowItems count="13">
    <i>
      <x/>
    </i>
    <i>
      <x v="1"/>
    </i>
    <i>
      <x v="2"/>
    </i>
    <i>
      <x v="3"/>
    </i>
    <i>
      <x v="4"/>
    </i>
    <i>
      <x v="5"/>
    </i>
    <i>
      <x v="6"/>
    </i>
    <i>
      <x v="7"/>
    </i>
    <i>
      <x v="8"/>
    </i>
    <i>
      <x v="9"/>
    </i>
    <i>
      <x v="10"/>
    </i>
    <i>
      <x v="11"/>
    </i>
    <i t="grand">
      <x/>
    </i>
  </rowItems>
  <colItems count="1">
    <i/>
  </colItems>
  <pageFields count="1">
    <pageField fld="3" item="4" hier="-1"/>
  </pageFields>
  <dataFields count="1">
    <dataField name="Sum of LOAN _x000a_AMOUNT" fld="4" baseField="0" baseItem="0"/>
  </dataFields>
  <chartFormats count="2">
    <chartFormat chart="0" format="0" series="1">
      <pivotArea type="data" outline="0" fieldPosition="0">
        <references count="1">
          <reference field="4294967294" count="1" selected="0">
            <x v="0"/>
          </reference>
        </references>
      </pivotArea>
    </chartFormat>
    <chartFormat chart="5"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F47312D3-B1CC-4600-AA5F-2646509750DA}" name="PivotTable12"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1">
  <location ref="S3:T11" firstHeaderRow="1" firstDataRow="1" firstDataCol="1" rowPageCount="1" colPageCount="1"/>
  <pivotFields count="13">
    <pivotField showAll="0"/>
    <pivotField showAll="0"/>
    <pivotField showAll="0"/>
    <pivotField axis="axisRow" showAll="0">
      <items count="8">
        <item x="4"/>
        <item x="5"/>
        <item x="0"/>
        <item x="3"/>
        <item x="1"/>
        <item x="2"/>
        <item x="6"/>
        <item t="default"/>
      </items>
    </pivotField>
    <pivotField showAll="0"/>
    <pivotField showAll="0"/>
    <pivotField showAll="0"/>
    <pivotField showAll="0"/>
    <pivotField numFmtId="8" showAll="0"/>
    <pivotField numFmtId="8" showAll="0"/>
    <pivotField showAll="0"/>
    <pivotField dataField="1" showAll="0"/>
    <pivotField axis="axisPage" showAll="0">
      <items count="5">
        <item x="1"/>
        <item x="0"/>
        <item x="2"/>
        <item x="3"/>
        <item t="default"/>
      </items>
    </pivotField>
  </pivotFields>
  <rowFields count="1">
    <field x="3"/>
  </rowFields>
  <rowItems count="8">
    <i>
      <x/>
    </i>
    <i>
      <x v="1"/>
    </i>
    <i>
      <x v="2"/>
    </i>
    <i>
      <x v="3"/>
    </i>
    <i>
      <x v="4"/>
    </i>
    <i>
      <x v="5"/>
    </i>
    <i>
      <x v="6"/>
    </i>
    <i t="grand">
      <x/>
    </i>
  </rowItems>
  <colItems count="1">
    <i/>
  </colItems>
  <pageFields count="1">
    <pageField fld="12" hier="-1"/>
  </pageFields>
  <dataFields count="1">
    <dataField name="Sum of CIBIL _x000a_SCORE" fld="11" baseField="0" baseItem="0"/>
  </dataFields>
  <chartFormats count="2">
    <chartFormat chart="0" format="0" series="1">
      <pivotArea type="data" outline="0" fieldPosition="0">
        <references count="1">
          <reference field="4294967294" count="1" selected="0">
            <x v="0"/>
          </reference>
        </references>
      </pivotArea>
    </chartFormat>
    <chartFormat chart="3"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962F104B-CAFE-449D-B7DA-F9D347A28F47}" name="PivotTable16" cacheId="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8">
  <location ref="M2:N16" firstHeaderRow="1" firstDataRow="1" firstDataCol="1"/>
  <pivotFields count="8">
    <pivotField axis="axisRow" showAll="0">
      <items count="14">
        <item x="0"/>
        <item x="1"/>
        <item x="2"/>
        <item x="3"/>
        <item x="4"/>
        <item x="5"/>
        <item x="6"/>
        <item x="7"/>
        <item x="8"/>
        <item x="9"/>
        <item x="10"/>
        <item x="11"/>
        <item x="12"/>
        <item t="default"/>
      </items>
    </pivotField>
    <pivotField showAll="0"/>
    <pivotField showAll="0"/>
    <pivotField showAll="0"/>
    <pivotField showAll="0"/>
    <pivotField showAll="0"/>
    <pivotField showAll="0"/>
    <pivotField dataField="1" showAll="0"/>
  </pivotFields>
  <rowFields count="1">
    <field x="0"/>
  </rowFields>
  <rowItems count="14">
    <i>
      <x/>
    </i>
    <i>
      <x v="1"/>
    </i>
    <i>
      <x v="2"/>
    </i>
    <i>
      <x v="3"/>
    </i>
    <i>
      <x v="4"/>
    </i>
    <i>
      <x v="5"/>
    </i>
    <i>
      <x v="6"/>
    </i>
    <i>
      <x v="7"/>
    </i>
    <i>
      <x v="8"/>
    </i>
    <i>
      <x v="9"/>
    </i>
    <i>
      <x v="10"/>
    </i>
    <i>
      <x v="11"/>
    </i>
    <i>
      <x v="12"/>
    </i>
    <i t="grand">
      <x/>
    </i>
  </rowItems>
  <colItems count="1">
    <i/>
  </colItems>
  <dataFields count="1">
    <dataField name="Sum of Cumulative _x000a_Interest" fld="7" baseField="0" baseItem="0"/>
  </dataFields>
  <chartFormats count="2">
    <chartFormat chart="0" format="0" series="1">
      <pivotArea type="data" outline="0" fieldPosition="0">
        <references count="1">
          <reference field="4294967294" count="1" selected="0">
            <x v="0"/>
          </reference>
        </references>
      </pivotArea>
    </chartFormat>
    <chartFormat chart="3"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1ECC84FE-511A-4505-9540-A2FDD384FBE2}" name="PivotTable15" cacheId="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5">
  <location ref="A20:C34" firstHeaderRow="0" firstDataRow="1" firstDataCol="1"/>
  <pivotFields count="8">
    <pivotField axis="axisRow" showAll="0">
      <items count="14">
        <item x="0"/>
        <item x="1"/>
        <item x="2"/>
        <item x="3"/>
        <item x="4"/>
        <item x="5"/>
        <item x="6"/>
        <item x="7"/>
        <item x="8"/>
        <item x="9"/>
        <item x="10"/>
        <item x="11"/>
        <item x="12"/>
        <item t="default"/>
      </items>
    </pivotField>
    <pivotField showAll="0"/>
    <pivotField dataField="1" showAll="0"/>
    <pivotField showAll="0"/>
    <pivotField showAll="0"/>
    <pivotField showAll="0"/>
    <pivotField dataField="1" showAll="0"/>
    <pivotField showAll="0"/>
  </pivotFields>
  <rowFields count="1">
    <field x="0"/>
  </rowFields>
  <rowItems count="14">
    <i>
      <x/>
    </i>
    <i>
      <x v="1"/>
    </i>
    <i>
      <x v="2"/>
    </i>
    <i>
      <x v="3"/>
    </i>
    <i>
      <x v="4"/>
    </i>
    <i>
      <x v="5"/>
    </i>
    <i>
      <x v="6"/>
    </i>
    <i>
      <x v="7"/>
    </i>
    <i>
      <x v="8"/>
    </i>
    <i>
      <x v="9"/>
    </i>
    <i>
      <x v="10"/>
    </i>
    <i>
      <x v="11"/>
    </i>
    <i>
      <x v="12"/>
    </i>
    <i t="grand">
      <x/>
    </i>
  </rowItems>
  <colFields count="1">
    <field x="-2"/>
  </colFields>
  <colItems count="2">
    <i>
      <x/>
    </i>
    <i i="1">
      <x v="1"/>
    </i>
  </colItems>
  <dataFields count="2">
    <dataField name="Sum of Opening _x000a_Balance" fld="2" baseField="0" baseItem="0"/>
    <dataField name="Sum of Closing _x000a_Balance" fld="6" baseField="0" baseItem="0"/>
  </dataFields>
  <chartFormats count="4">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3" format="4" series="1">
      <pivotArea type="data" outline="0" fieldPosition="0">
        <references count="1">
          <reference field="4294967294" count="1" selected="0">
            <x v="0"/>
          </reference>
        </references>
      </pivotArea>
    </chartFormat>
    <chartFormat chart="3" format="5" series="1">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1.xml><?xml version="1.0" encoding="utf-8"?>
<pivotTableDefinition xmlns="http://schemas.openxmlformats.org/spreadsheetml/2006/main" xmlns:mc="http://schemas.openxmlformats.org/markup-compatibility/2006" xmlns:xr="http://schemas.microsoft.com/office/spreadsheetml/2014/revision" mc:Ignorable="xr" xr:uid="{5D490CB5-52BF-415C-8BCD-2700C55C4D75}" name="PivotTable14" cacheId="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4">
  <location ref="A3:B17" firstHeaderRow="1" firstDataRow="1" firstDataCol="1"/>
  <pivotFields count="8">
    <pivotField axis="axisRow" showAll="0">
      <items count="14">
        <item x="0"/>
        <item x="1"/>
        <item x="2"/>
        <item x="3"/>
        <item x="4"/>
        <item x="5"/>
        <item x="6"/>
        <item x="7"/>
        <item x="8"/>
        <item x="9"/>
        <item x="10"/>
        <item x="11"/>
        <item x="12"/>
        <item t="default"/>
      </items>
    </pivotField>
    <pivotField showAll="0"/>
    <pivotField showAll="0"/>
    <pivotField showAll="0"/>
    <pivotField showAll="0"/>
    <pivotField showAll="0"/>
    <pivotField dataField="1" showAll="0"/>
    <pivotField showAll="0"/>
  </pivotFields>
  <rowFields count="1">
    <field x="0"/>
  </rowFields>
  <rowItems count="14">
    <i>
      <x/>
    </i>
    <i>
      <x v="1"/>
    </i>
    <i>
      <x v="2"/>
    </i>
    <i>
      <x v="3"/>
    </i>
    <i>
      <x v="4"/>
    </i>
    <i>
      <x v="5"/>
    </i>
    <i>
      <x v="6"/>
    </i>
    <i>
      <x v="7"/>
    </i>
    <i>
      <x v="8"/>
    </i>
    <i>
      <x v="9"/>
    </i>
    <i>
      <x v="10"/>
    </i>
    <i>
      <x v="11"/>
    </i>
    <i>
      <x v="12"/>
    </i>
    <i t="grand">
      <x/>
    </i>
  </rowItems>
  <colItems count="1">
    <i/>
  </colItems>
  <dataFields count="1">
    <dataField name="Sum of Closing _x000a_Balance" fld="6" baseField="0" baseItem="0"/>
  </dataFields>
  <chartFormats count="2">
    <chartFormat chart="0" format="0" series="1">
      <pivotArea type="data" outline="0" fieldPosition="0">
        <references count="1">
          <reference field="4294967294" count="1" selected="0">
            <x v="0"/>
          </reference>
        </references>
      </pivotArea>
    </chartFormat>
    <chartFormat chart="3"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2.xml><?xml version="1.0" encoding="utf-8"?>
<pivotTableDefinition xmlns="http://schemas.openxmlformats.org/spreadsheetml/2006/main" xmlns:mc="http://schemas.openxmlformats.org/markup-compatibility/2006" xmlns:xr="http://schemas.microsoft.com/office/spreadsheetml/2014/revision" mc:Ignorable="xr" xr:uid="{F925C288-BC2D-4743-8B34-BF232A8950E1}" name="PivotTable17" cacheId="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2">
  <location ref="M20:P34" firstHeaderRow="0" firstDataRow="1" firstDataCol="1"/>
  <pivotFields count="8">
    <pivotField axis="axisRow" showAll="0">
      <items count="14">
        <item x="0"/>
        <item x="1"/>
        <item x="2"/>
        <item x="3"/>
        <item x="4"/>
        <item x="5"/>
        <item x="6"/>
        <item x="7"/>
        <item x="8"/>
        <item x="9"/>
        <item x="10"/>
        <item x="11"/>
        <item x="12"/>
        <item t="default"/>
      </items>
    </pivotField>
    <pivotField showAll="0"/>
    <pivotField showAll="0"/>
    <pivotField showAll="0"/>
    <pivotField dataField="1" showAll="0"/>
    <pivotField dataField="1" showAll="0"/>
    <pivotField dataField="1" showAll="0"/>
    <pivotField showAll="0"/>
  </pivotFields>
  <rowFields count="1">
    <field x="0"/>
  </rowFields>
  <rowItems count="14">
    <i>
      <x/>
    </i>
    <i>
      <x v="1"/>
    </i>
    <i>
      <x v="2"/>
    </i>
    <i>
      <x v="3"/>
    </i>
    <i>
      <x v="4"/>
    </i>
    <i>
      <x v="5"/>
    </i>
    <i>
      <x v="6"/>
    </i>
    <i>
      <x v="7"/>
    </i>
    <i>
      <x v="8"/>
    </i>
    <i>
      <x v="9"/>
    </i>
    <i>
      <x v="10"/>
    </i>
    <i>
      <x v="11"/>
    </i>
    <i>
      <x v="12"/>
    </i>
    <i t="grand">
      <x/>
    </i>
  </rowItems>
  <colFields count="1">
    <field x="-2"/>
  </colFields>
  <colItems count="3">
    <i>
      <x/>
    </i>
    <i i="1">
      <x v="1"/>
    </i>
    <i i="2">
      <x v="2"/>
    </i>
  </colItems>
  <dataFields count="3">
    <dataField name="Sum of Principal (Monthly)" fld="5" baseField="0" baseItem="0"/>
    <dataField name="Sum of Interest (Monthly)" fld="4" baseField="0" baseItem="0"/>
    <dataField name="Sum of Closing _x000a_Balance" fld="6" baseField="0" baseItem="0"/>
  </dataFields>
  <chartFormats count="3">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LOAN__TYPE" xr10:uid="{B83476D2-5BF7-49AE-BE81-FB3F0401A273}" sourceName="LOAN_x000a_ TYPE">
  <pivotTables>
    <pivotTable tabId="19" name="PivotTable10"/>
  </pivotTables>
  <data>
    <tabular pivotCacheId="2070194414">
      <items count="7">
        <i x="4" s="1"/>
        <i x="5" s="1"/>
        <i x="0" s="1"/>
        <i x="3" s="1"/>
        <i x="1" s="1"/>
        <i x="2" s="1"/>
        <i x="6"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ITY" xr10:uid="{B8DB28F0-7F53-42E6-A24D-1EBAADD15143}" sourceName="CITY">
  <pivotTables>
    <pivotTable tabId="19" name="PivotTable10"/>
  </pivotTables>
  <data>
    <tabular pivotCacheId="2070194414">
      <items count="38">
        <i x="1"/>
        <i x="27"/>
        <i x="32" s="1"/>
        <i x="8"/>
        <i x="18"/>
        <i x="2"/>
        <i x="26"/>
        <i x="7"/>
        <i x="19"/>
        <i x="20"/>
        <i x="11"/>
        <i x="21"/>
        <i x="0"/>
        <i x="4"/>
        <i x="36"/>
        <i x="28"/>
        <i x="22"/>
        <i x="24"/>
        <i x="16"/>
        <i x="33"/>
        <i x="5"/>
        <i x="34"/>
        <i x="10"/>
        <i x="9"/>
        <i x="29"/>
        <i x="25"/>
        <i x="6"/>
        <i x="35"/>
        <i x="3"/>
        <i x="30"/>
        <i x="14"/>
        <i x="23"/>
        <i x="17"/>
        <i x="12"/>
        <i x="37"/>
        <i x="31"/>
        <i x="15"/>
        <i x="13"/>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TATUS" xr10:uid="{8D6EDFB6-CDD4-4378-BD52-7467C9A1F2AC}" sourceName="STATUS">
  <pivotTables>
    <pivotTable tabId="15" name="PivotTable1"/>
    <pivotTable tabId="9" name="PivotTable6"/>
  </pivotTables>
  <data>
    <tabular pivotCacheId="2070194414">
      <items count="4">
        <i x="1" s="1"/>
        <i x="0" s="1"/>
        <i x="2" s="1"/>
        <i x="3" s="1"/>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ITY1" xr10:uid="{5CDD15FF-147E-47A6-A6E9-57F2A87DBF2D}" sourceName="CITY">
  <pivotTables>
    <pivotTable tabId="15" name="PivotTable1"/>
    <pivotTable tabId="9" name="PivotTable6"/>
  </pivotTables>
  <data>
    <tabular pivotCacheId="2070194414">
      <items count="38">
        <i x="1" s="1"/>
        <i x="27"/>
        <i x="32"/>
        <i x="8"/>
        <i x="18"/>
        <i x="2"/>
        <i x="26"/>
        <i x="7"/>
        <i x="19"/>
        <i x="20"/>
        <i x="11"/>
        <i x="21"/>
        <i x="0"/>
        <i x="4"/>
        <i x="36"/>
        <i x="28"/>
        <i x="22"/>
        <i x="24"/>
        <i x="16"/>
        <i x="33"/>
        <i x="5"/>
        <i x="34"/>
        <i x="10"/>
        <i x="9"/>
        <i x="29"/>
        <i x="25"/>
        <i x="6"/>
        <i x="35"/>
        <i x="3"/>
        <i x="30"/>
        <i x="14"/>
        <i x="23"/>
        <i x="17"/>
        <i x="12"/>
        <i x="37"/>
        <i x="31"/>
        <i x="15"/>
        <i x="13"/>
      </items>
    </tabular>
  </data>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ITY2" xr10:uid="{B037CA81-69BD-49C0-893D-49192C29D3F5}" sourceName="CITY">
  <pivotTables>
    <pivotTable tabId="15" name="PivotTable2"/>
  </pivotTables>
  <data>
    <tabular pivotCacheId="2070194414">
      <items count="38">
        <i x="1"/>
        <i x="27" s="1"/>
        <i x="32"/>
        <i x="8"/>
        <i x="18"/>
        <i x="2"/>
        <i x="26"/>
        <i x="7"/>
        <i x="19"/>
        <i x="20"/>
        <i x="11"/>
        <i x="21"/>
        <i x="0"/>
        <i x="4"/>
        <i x="36"/>
        <i x="28"/>
        <i x="22"/>
        <i x="24"/>
        <i x="16"/>
        <i x="33"/>
        <i x="5"/>
        <i x="34"/>
        <i x="10"/>
        <i x="9"/>
        <i x="29"/>
        <i x="25"/>
        <i x="6"/>
        <i x="35"/>
        <i x="3"/>
        <i x="30"/>
        <i x="14"/>
        <i x="23"/>
        <i x="17"/>
        <i x="12"/>
        <i x="37"/>
        <i x="31"/>
        <i x="15"/>
        <i x="13"/>
      </items>
    </tabular>
  </data>
</slicerCacheDefinition>
</file>

<file path=xl/slicerCaches/slicerCache6.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LOAN__TYPE1" xr10:uid="{AE686460-BDEA-49C2-B525-6F3F47E623B3}" sourceName="LOAN_x000a_ TYPE">
  <pivotTables>
    <pivotTable tabId="19" name="PivotTable13"/>
  </pivotTables>
  <data>
    <tabular pivotCacheId="2070194414">
      <items count="7">
        <i x="4"/>
        <i x="5"/>
        <i x="0"/>
        <i x="3"/>
        <i x="1" s="1"/>
        <i x="2"/>
        <i x="6"/>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STATUS 3" xr10:uid="{D50857E4-83B2-4C52-B255-9AA7B32187B5}" cache="Slicer_STATUS" caption="STATUS" rowHeight="230716"/>
  <slicer name="CITY 6" xr10:uid="{C2499AB8-D5C3-4669-8BEB-C058EEE5A6C5}" cache="Slicer_CITY1" caption="CITY" rowHeight="230716"/>
  <slicer name="CITY 5" xr10:uid="{5202FC65-B639-4BA4-9522-AF56BD9CE278}" cache="Slicer_CITY2" caption="CITY" rowHeight="230716"/>
  <slicer name="LOAN_x000a_ TYPE 2" xr10:uid="{D7CC9311-1D8B-4CD9-BCA4-B16D4178981A}" cache="Slicer_LOAN__TYPE1" caption="LOAN_x000a_ TYPE" rowHeight="230716"/>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STATUS 1" xr10:uid="{B1619AB6-E6C9-44F4-9560-F4699E762B72}" cache="Slicer_STATUS" caption="STATUS" rowHeight="230716"/>
  <slicer name="CITY 3" xr10:uid="{537DA539-7AC1-411E-856A-8F58383960E4}" cache="Slicer_CITY1" caption="CITY" rowHeight="230716"/>
</slicers>
</file>

<file path=xl/slicers/slicer3.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STATUS" xr10:uid="{2F0904A6-AE35-4B79-B261-5F4219CEF45B}" cache="Slicer_STATUS" caption="STATUS" rowHeight="230716"/>
  <slicer name="CITY 1" xr10:uid="{325AA877-E34F-4109-BA61-A3B2AA127482}" cache="Slicer_CITY1" caption="CITY" rowHeight="230716"/>
  <slicer name="CITY 2" xr10:uid="{7E2F57EA-D0E3-486F-A45D-4714E0C77201}" cache="Slicer_CITY2" caption="CITY" rowHeight="230716"/>
</slicers>
</file>

<file path=xl/slicers/slicer4.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LOAN_x000a_ TYPE" xr10:uid="{893ED54A-03CE-43DC-AB77-C00B9055671A}" cache="Slicer_LOAN__TYPE" caption="LOAN_x000a_ TYPE" rowHeight="230716"/>
  <slicer name="CITY" xr10:uid="{AF99EF71-D9AB-4F3C-8C93-D68EECC33EA0}" cache="Slicer_CITY" caption="CITY" rowHeight="230716"/>
  <slicer name="LOAN_x000a_ TYPE 1" xr10:uid="{967CFD24-9AE7-44E5-AA48-8E0DD12458CE}" cache="Slicer_LOAN__TYPE1" caption="LOAN_x000a_ TYPE" rowHeight="230716"/>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9ABCC423-CFAC-455B-9CA8-07018B57801E}" name="Table1" displayName="Table1" ref="A2:D21" headerRowDxfId="14" headerRowBorderDxfId="13" tableBorderDxfId="12" totalsRowBorderDxfId="11">
  <autoFilter ref="A2:D21" xr:uid="{9ABCC423-CFAC-455B-9CA8-07018B57801E}"/>
  <tableColumns count="4">
    <tableColumn id="1" xr3:uid="{96F5FFFD-AB58-4A09-91DF-96BE90F4E4DB}" name="Column1" totalsRowLabel="Total" dataDxfId="10" totalsRowDxfId="9"/>
    <tableColumn id="2" xr3:uid="{B02D5102-46B6-4DB2-B3F3-B2409DCE592B}" name="Technique" dataDxfId="8" totalsRowDxfId="7"/>
    <tableColumn id="3" xr3:uid="{93D70841-841D-47BF-A557-2C057D6EE931}" name="Common Problem" dataDxfId="6" totalsRowDxfId="5"/>
    <tableColumn id="4" xr3:uid="{15208AF9-3390-49E6-A273-0254C9142397}" name="Excel Functions" totalsRowFunction="count" dataDxfId="4" totalsRowDxfId="3"/>
  </tableColumns>
  <tableStyleInfo name="TableStyleLight16" showFirstColumn="0" showLastColumn="0" showRowStripes="1" showColumnStripes="0"/>
</table>
</file>

<file path=xl/theme/_rels/theme1.xml.rels><?xml version="1.0" encoding="UTF-8" standalone="yes"?>
<Relationships xmlns="http://schemas.openxmlformats.org/package/2006/relationships"><Relationship Id="rId1" Type="http://schemas.openxmlformats.org/officeDocument/2006/relationships/image" Target="../media/image1.jpeg"/></Relationships>
</file>

<file path=xl/theme/theme1.xml><?xml version="1.0" encoding="utf-8"?>
<a:theme xmlns:a="http://schemas.openxmlformats.org/drawingml/2006/main" name="Wood Typ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Wood Type">
      <a:majorFont>
        <a:latin typeface="Rockwell Condensed" panose="02060603050405020104"/>
        <a:ea typeface=""/>
        <a:cs typeface=""/>
        <a:font script="Grek" typeface="Cambria"/>
        <a:font script="Cyrl" typeface="Cambria"/>
        <a:font script="Jpan" typeface="HG明朝B"/>
        <a:font script="Hang" typeface="바탕"/>
        <a:font script="Hans" typeface="方正姚体"/>
        <a:font script="Hant" typeface="微軟正黑體"/>
        <a:font script="Arab" typeface="Times New Roman"/>
        <a:font script="Hebr" typeface="David"/>
        <a:font script="Thai" typeface="JasmineUPC"/>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ajorFont>
      <a:minorFont>
        <a:latin typeface="Rockwell" panose="02060603020205020403"/>
        <a:ea typeface=""/>
        <a:cs typeface=""/>
        <a:font script="Grek" typeface="Cambria"/>
        <a:font script="Cyrl" typeface="Cambria"/>
        <a:font script="Jpan" typeface="HG明朝B"/>
        <a:font script="Hang" typeface="바탕"/>
        <a:font script="Hans" typeface="方正姚体"/>
        <a:font script="Hant" typeface="標楷體"/>
        <a:font script="Arab" typeface="Times New Roman"/>
        <a:font script="Hebr" typeface="David"/>
        <a:font script="Thai" typeface="JasmineUPC"/>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inorFont>
    </a:fontScheme>
    <a:fmtScheme name="Wood Type">
      <a:fillStyleLst>
        <a:solidFill>
          <a:schemeClr val="phClr"/>
        </a:solidFill>
        <a:blipFill rotWithShape="1">
          <a:blip xmlns:r="http://schemas.openxmlformats.org/officeDocument/2006/relationships" r:embed="rId1">
            <a:duotone>
              <a:schemeClr val="phClr">
                <a:tint val="70000"/>
                <a:shade val="63000"/>
              </a:schemeClr>
              <a:schemeClr val="phClr">
                <a:tint val="10000"/>
                <a:satMod val="150000"/>
              </a:schemeClr>
            </a:duotone>
          </a:blip>
          <a:tile tx="0" ty="0" sx="60000" sy="59000" flip="none" algn="tl"/>
        </a:blipFill>
        <a:blipFill rotWithShape="1">
          <a:blip xmlns:r="http://schemas.openxmlformats.org/officeDocument/2006/relationships" r:embed="rId1">
            <a:duotone>
              <a:schemeClr val="phClr">
                <a:shade val="36000"/>
                <a:satMod val="120000"/>
              </a:schemeClr>
              <a:schemeClr val="phClr">
                <a:tint val="40000"/>
              </a:schemeClr>
            </a:duotone>
          </a:blip>
          <a:tile tx="0" ty="0" sx="60000" sy="59000" flip="none" algn="tl"/>
        </a:blipFill>
      </a:fillStyleLst>
      <a:lnStyleLst>
        <a:ln w="6350" cap="flat" cmpd="sng" algn="ctr">
          <a:solidFill>
            <a:schemeClr val="phClr"/>
          </a:solidFill>
          <a:prstDash val="solid"/>
        </a:ln>
        <a:ln w="12700" cap="flat" cmpd="sng" algn="ctr">
          <a:solidFill>
            <a:schemeClr val="phClr"/>
          </a:solidFill>
          <a:prstDash val="solid"/>
        </a:ln>
        <a:ln w="19050" cap="flat" cmpd="sng" algn="ctr">
          <a:solidFill>
            <a:schemeClr val="phClr"/>
          </a:solidFill>
          <a:prstDash val="solid"/>
        </a:ln>
      </a:lnStyleLst>
      <a:effectStyleLst>
        <a:effectStyle>
          <a:effectLst/>
        </a:effectStyle>
        <a:effectStyle>
          <a:effectLst>
            <a:softEdge rad="12700"/>
          </a:effectLst>
        </a:effectStyle>
        <a:effectStyle>
          <a:effectLst>
            <a:outerShdw blurRad="50800" dist="19050" dir="5400000" algn="tl" rotWithShape="0">
              <a:srgbClr val="000000">
                <a:alpha val="60000"/>
              </a:srgbClr>
            </a:outerShdw>
            <a:softEdge rad="12700"/>
          </a:effectLst>
        </a:effectStyle>
      </a:effectStyleLst>
      <a:bgFillStyleLst>
        <a:solidFill>
          <a:schemeClr val="phClr"/>
        </a:solidFill>
        <a:solidFill>
          <a:schemeClr val="phClr">
            <a:shade val="97000"/>
            <a:satMod val="150000"/>
          </a:schemeClr>
        </a:solidFill>
        <a:blipFill rotWithShape="1">
          <a:blip xmlns:r="http://schemas.openxmlformats.org/officeDocument/2006/relationships" r:embed="rId1">
            <a:duotone>
              <a:schemeClr val="phClr">
                <a:tint val="75000"/>
                <a:shade val="58000"/>
                <a:satMod val="120000"/>
              </a:schemeClr>
              <a:schemeClr val="phClr">
                <a:tint val="50000"/>
                <a:shade val="96000"/>
              </a:schemeClr>
            </a:duotone>
          </a:blip>
          <a:tile tx="0" ty="0" sx="100000" sy="100000" flip="none" algn="tl"/>
        </a:blipFill>
      </a:bgFillStyleLst>
    </a:fmtScheme>
  </a:themeElements>
  <a:objectDefaults/>
  <a:extraClrSchemeLst/>
  <a:extLst>
    <a:ext uri="{05A4C25C-085E-4340-85A3-A5531E510DB2}">
      <thm15:themeFamily xmlns:thm15="http://schemas.microsoft.com/office/thememl/2012/main" name="Wood Type" id="{7ACABC62-BF99-48CF-A9DC-4DB89C7B13DC}" vid="{142A1326-48AB-42A9-8428-CB14AA30176D}"/>
    </a:ext>
  </a:extLst>
</a:theme>
</file>

<file path=xl/worksheets/_rels/sheet1.xml.rels><?xml version="1.0" encoding="UTF-8" standalone="yes"?>
<Relationships xmlns="http://schemas.openxmlformats.org/package/2006/relationships"><Relationship Id="rId2" Type="http://schemas.microsoft.com/office/2007/relationships/slicer" Target="../slicers/slicer1.xml"/><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3" Type="http://schemas.microsoft.com/office/2007/relationships/slicer" Target="../slicers/slicer2.xml"/><Relationship Id="rId2" Type="http://schemas.openxmlformats.org/officeDocument/2006/relationships/drawing" Target="../drawings/drawing3.xml"/><Relationship Id="rId1" Type="http://schemas.openxmlformats.org/officeDocument/2006/relationships/pivotTable" Target="../pivotTables/pivotTable1.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7.xml.rels><?xml version="1.0" encoding="UTF-8" standalone="yes"?>
<Relationships xmlns="http://schemas.openxmlformats.org/package/2006/relationships"><Relationship Id="rId1" Type="http://schemas.openxmlformats.org/officeDocument/2006/relationships/table" Target="../tables/table1.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9.xml.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pivotTable" Target="../pivotTables/pivotTable3.xml"/><Relationship Id="rId1" Type="http://schemas.openxmlformats.org/officeDocument/2006/relationships/pivotTable" Target="../pivotTables/pivotTable2.xml"/><Relationship Id="rId4" Type="http://schemas.microsoft.com/office/2007/relationships/slicer" Target="../slicers/slicer3.xml"/></Relationships>
</file>

<file path=xl/worksheets/_rels/sheet10.xml.rels><?xml version="1.0" encoding="UTF-8" standalone="yes"?>
<Relationships xmlns="http://schemas.openxmlformats.org/package/2006/relationships"><Relationship Id="rId3" Type="http://schemas.openxmlformats.org/officeDocument/2006/relationships/pivotTable" Target="../pivotTables/pivotTable6.xml"/><Relationship Id="rId7" Type="http://schemas.microsoft.com/office/2007/relationships/slicer" Target="../slicers/slicer4.xml"/><Relationship Id="rId2" Type="http://schemas.openxmlformats.org/officeDocument/2006/relationships/pivotTable" Target="../pivotTables/pivotTable5.xml"/><Relationship Id="rId1" Type="http://schemas.openxmlformats.org/officeDocument/2006/relationships/pivotTable" Target="../pivotTables/pivotTable4.xml"/><Relationship Id="rId6" Type="http://schemas.openxmlformats.org/officeDocument/2006/relationships/drawing" Target="../drawings/drawing7.xml"/><Relationship Id="rId5" Type="http://schemas.openxmlformats.org/officeDocument/2006/relationships/pivotTable" Target="../pivotTables/pivotTable8.xml"/><Relationship Id="rId4" Type="http://schemas.openxmlformats.org/officeDocument/2006/relationships/pivotTable" Target="../pivotTables/pivotTable7.xml"/></Relationships>
</file>

<file path=xl/worksheets/_rels/sheet11.xml.rels><?xml version="1.0" encoding="UTF-8" standalone="yes"?>
<Relationships xmlns="http://schemas.openxmlformats.org/package/2006/relationships"><Relationship Id="rId3" Type="http://schemas.openxmlformats.org/officeDocument/2006/relationships/pivotTable" Target="../pivotTables/pivotTable11.xml"/><Relationship Id="rId2" Type="http://schemas.openxmlformats.org/officeDocument/2006/relationships/pivotTable" Target="../pivotTables/pivotTable10.xml"/><Relationship Id="rId1" Type="http://schemas.openxmlformats.org/officeDocument/2006/relationships/pivotTable" Target="../pivotTables/pivotTable9.xml"/><Relationship Id="rId5" Type="http://schemas.openxmlformats.org/officeDocument/2006/relationships/drawing" Target="../drawings/drawing8.xml"/><Relationship Id="rId4" Type="http://schemas.openxmlformats.org/officeDocument/2006/relationships/pivotTable" Target="../pivotTables/pivotTable12.xml"/></Relationships>
</file>

<file path=xl/worksheets/_rels/sheet12.xml.rels><?xml version="1.0" encoding="UTF-8" standalone="yes"?>
<Relationships xmlns="http://schemas.openxmlformats.org/package/2006/relationships"><Relationship Id="rId1" Type="http://schemas.openxmlformats.org/officeDocument/2006/relationships/drawing" Target="../drawings/drawing9.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C917D2-665E-4058-851E-26D4FAE76D30}">
  <dimension ref="D2:M58"/>
  <sheetViews>
    <sheetView tabSelected="1" topLeftCell="C1" zoomScale="54" zoomScaleNormal="70" workbookViewId="0">
      <selection activeCell="S29" sqref="S29"/>
    </sheetView>
  </sheetViews>
  <sheetFormatPr defaultRowHeight="14" x14ac:dyDescent="0.3"/>
  <cols>
    <col min="3" max="3" width="14.25" bestFit="1" customWidth="1"/>
    <col min="4" max="4" width="16.1640625" bestFit="1" customWidth="1"/>
    <col min="5" max="11" width="18.75" customWidth="1"/>
    <col min="12" max="12" width="20.9140625" bestFit="1" customWidth="1"/>
    <col min="13" max="13" width="21.1640625" bestFit="1" customWidth="1"/>
  </cols>
  <sheetData>
    <row r="2" spans="4:13" ht="21" customHeight="1" x14ac:dyDescent="0.3">
      <c r="D2" s="54" t="s">
        <v>2704</v>
      </c>
      <c r="E2" s="54"/>
      <c r="F2" s="54"/>
      <c r="G2" s="54"/>
      <c r="H2" s="54"/>
      <c r="I2" s="54"/>
      <c r="J2" s="54"/>
      <c r="K2" s="54"/>
      <c r="L2" s="54"/>
      <c r="M2" s="54"/>
    </row>
    <row r="3" spans="4:13" ht="6.5" customHeight="1" x14ac:dyDescent="0.3">
      <c r="D3" s="55"/>
      <c r="E3" s="55"/>
      <c r="F3" s="55"/>
      <c r="G3" s="55"/>
      <c r="H3" s="55"/>
      <c r="I3" s="55"/>
      <c r="J3" s="55"/>
      <c r="K3" s="55"/>
      <c r="L3" s="55"/>
      <c r="M3" s="55"/>
    </row>
    <row r="4" spans="4:13" ht="14.5" x14ac:dyDescent="0.35">
      <c r="D4" s="56" t="s">
        <v>2699</v>
      </c>
      <c r="E4" s="56"/>
      <c r="F4" s="56" t="s">
        <v>2700</v>
      </c>
      <c r="G4" s="56"/>
      <c r="H4" s="56" t="s">
        <v>2701</v>
      </c>
      <c r="I4" s="56"/>
      <c r="J4" s="56" t="s">
        <v>2702</v>
      </c>
      <c r="K4" s="56"/>
      <c r="L4" s="56" t="s">
        <v>2703</v>
      </c>
      <c r="M4" s="56"/>
    </row>
    <row r="5" spans="4:13" x14ac:dyDescent="0.3">
      <c r="D5" s="51">
        <f>COUNTA('Clean Data'!A2:A1001)</f>
        <v>1000</v>
      </c>
      <c r="E5" s="51"/>
      <c r="F5" s="52">
        <f>SUM('Clean Data'!E2:E1001)</f>
        <v>1748220000</v>
      </c>
      <c r="G5" s="52"/>
      <c r="H5" s="52">
        <f>AVERAGE('Clean Data'!E2:E1001)</f>
        <v>1748220</v>
      </c>
      <c r="I5" s="52"/>
      <c r="J5" s="53">
        <f>AVERAGE('Clean Data'!F2:F1001)</f>
        <v>0.10201499999999983</v>
      </c>
      <c r="K5" s="51"/>
      <c r="L5" s="51">
        <f>AVERAGE('Clean Data'!L1:L1001)</f>
        <v>725.13900000000001</v>
      </c>
      <c r="M5" s="51"/>
    </row>
    <row r="6" spans="4:13" x14ac:dyDescent="0.3">
      <c r="D6" s="51"/>
      <c r="E6" s="51"/>
      <c r="F6" s="52"/>
      <c r="G6" s="52"/>
      <c r="H6" s="52"/>
      <c r="I6" s="52"/>
      <c r="J6" s="51"/>
      <c r="K6" s="51"/>
      <c r="L6" s="51"/>
      <c r="M6" s="51"/>
    </row>
    <row r="51" ht="21.5" customHeight="1" x14ac:dyDescent="0.3"/>
    <row r="52" ht="21.5" customHeight="1" x14ac:dyDescent="0.3"/>
    <row r="53" ht="21.5" customHeight="1" x14ac:dyDescent="0.3"/>
    <row r="54" ht="21.5" customHeight="1" x14ac:dyDescent="0.3"/>
    <row r="55" ht="21.5" customHeight="1" x14ac:dyDescent="0.3"/>
    <row r="56" ht="21.5" customHeight="1" x14ac:dyDescent="0.3"/>
    <row r="57" ht="21.5" customHeight="1" x14ac:dyDescent="0.3"/>
    <row r="58" ht="21.5" customHeight="1" x14ac:dyDescent="0.3"/>
  </sheetData>
  <mergeCells count="12">
    <mergeCell ref="D2:M2"/>
    <mergeCell ref="D3:M3"/>
    <mergeCell ref="D4:E4"/>
    <mergeCell ref="F4:G4"/>
    <mergeCell ref="H4:I4"/>
    <mergeCell ref="J4:K4"/>
    <mergeCell ref="L4:M4"/>
    <mergeCell ref="D5:E6"/>
    <mergeCell ref="F5:G6"/>
    <mergeCell ref="H5:I6"/>
    <mergeCell ref="J5:K6"/>
    <mergeCell ref="L5:M6"/>
  </mergeCells>
  <pageMargins left="0.7" right="0.7" top="0.75" bottom="0.75" header="0.3" footer="0.3"/>
  <drawing r:id="rId1"/>
  <extLst>
    <ext xmlns:x14="http://schemas.microsoft.com/office/spreadsheetml/2009/9/main" uri="{A8765BA9-456A-4dab-B4F3-ACF838C121DE}">
      <x14:slicerList>
        <x14:slicer r:id="rId2"/>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F65F66-B120-4709-A9FD-1F449C9F8AE2}">
  <sheetPr>
    <tabColor theme="7" tint="0.39997558519241921"/>
  </sheetPr>
  <dimension ref="D7:L19"/>
  <sheetViews>
    <sheetView showGridLines="0" topLeftCell="A4" zoomScale="96" zoomScaleNormal="100" workbookViewId="0">
      <selection activeCell="Q17" sqref="Q17"/>
    </sheetView>
  </sheetViews>
  <sheetFormatPr defaultRowHeight="14" x14ac:dyDescent="0.3"/>
  <cols>
    <col min="1" max="1" width="5.58203125" style="48" customWidth="1"/>
    <col min="2" max="16384" width="8.6640625" style="48"/>
  </cols>
  <sheetData>
    <row r="7" spans="4:12" x14ac:dyDescent="0.3">
      <c r="D7" s="58" t="s">
        <v>2698</v>
      </c>
      <c r="E7" s="58"/>
      <c r="F7" s="58"/>
      <c r="G7" s="58"/>
      <c r="H7" s="58"/>
      <c r="I7" s="58"/>
      <c r="J7" s="58"/>
      <c r="K7" s="58"/>
      <c r="L7" s="58"/>
    </row>
    <row r="8" spans="4:12" x14ac:dyDescent="0.3">
      <c r="D8" s="58"/>
      <c r="E8" s="58"/>
      <c r="F8" s="58"/>
      <c r="G8" s="58"/>
      <c r="H8" s="58"/>
      <c r="I8" s="58"/>
      <c r="J8" s="58"/>
      <c r="K8" s="58"/>
      <c r="L8" s="58"/>
    </row>
    <row r="9" spans="4:12" x14ac:dyDescent="0.3">
      <c r="D9" s="57"/>
      <c r="E9" s="57"/>
      <c r="F9" s="57"/>
      <c r="G9" s="57"/>
      <c r="H9" s="57"/>
      <c r="I9" s="57"/>
      <c r="J9" s="57"/>
      <c r="K9" s="57"/>
      <c r="L9" s="57"/>
    </row>
    <row r="10" spans="4:12" x14ac:dyDescent="0.3">
      <c r="D10" s="57"/>
      <c r="E10" s="57"/>
      <c r="F10" s="57"/>
      <c r="G10" s="57"/>
      <c r="H10" s="57"/>
      <c r="I10" s="57"/>
      <c r="J10" s="57"/>
      <c r="K10" s="57"/>
      <c r="L10" s="57"/>
    </row>
    <row r="11" spans="4:12" x14ac:dyDescent="0.3">
      <c r="D11" s="57"/>
      <c r="E11" s="57"/>
      <c r="F11" s="57"/>
      <c r="G11" s="57"/>
      <c r="H11" s="57"/>
      <c r="I11" s="57"/>
      <c r="J11" s="57"/>
      <c r="K11" s="57"/>
      <c r="L11" s="57"/>
    </row>
    <row r="12" spans="4:12" x14ac:dyDescent="0.3">
      <c r="D12" s="57"/>
      <c r="E12" s="57"/>
      <c r="F12" s="57"/>
      <c r="G12" s="57"/>
      <c r="H12" s="57"/>
      <c r="I12" s="57"/>
      <c r="J12" s="57"/>
      <c r="K12" s="57"/>
      <c r="L12" s="57"/>
    </row>
    <row r="13" spans="4:12" x14ac:dyDescent="0.3">
      <c r="D13" s="57"/>
      <c r="E13" s="57"/>
      <c r="F13" s="57"/>
      <c r="G13" s="57"/>
      <c r="H13" s="57"/>
      <c r="I13" s="57"/>
      <c r="J13" s="57"/>
      <c r="K13" s="57"/>
      <c r="L13" s="57"/>
    </row>
    <row r="14" spans="4:12" x14ac:dyDescent="0.3">
      <c r="D14" s="57"/>
      <c r="E14" s="57"/>
      <c r="F14" s="57"/>
      <c r="G14" s="57"/>
      <c r="H14" s="57"/>
      <c r="I14" s="57"/>
      <c r="J14" s="57"/>
      <c r="K14" s="57"/>
      <c r="L14" s="57"/>
    </row>
    <row r="15" spans="4:12" x14ac:dyDescent="0.3">
      <c r="D15" s="57"/>
      <c r="E15" s="57"/>
      <c r="F15" s="57"/>
      <c r="G15" s="57"/>
      <c r="H15" s="57"/>
      <c r="I15" s="57"/>
      <c r="J15" s="57"/>
      <c r="K15" s="57"/>
      <c r="L15" s="57"/>
    </row>
    <row r="16" spans="4:12" x14ac:dyDescent="0.3">
      <c r="D16" s="57"/>
      <c r="E16" s="57"/>
      <c r="F16" s="57"/>
      <c r="G16" s="57"/>
      <c r="H16" s="57"/>
      <c r="I16" s="57"/>
      <c r="J16" s="57"/>
      <c r="K16" s="57"/>
      <c r="L16" s="57"/>
    </row>
    <row r="17" spans="4:12" x14ac:dyDescent="0.3">
      <c r="D17" s="57"/>
      <c r="E17" s="57"/>
      <c r="F17" s="57"/>
      <c r="G17" s="57"/>
      <c r="H17" s="57"/>
      <c r="I17" s="57"/>
      <c r="J17" s="57"/>
      <c r="K17" s="57"/>
      <c r="L17" s="57"/>
    </row>
    <row r="18" spans="4:12" x14ac:dyDescent="0.3">
      <c r="D18" s="57"/>
      <c r="E18" s="57"/>
      <c r="F18" s="57"/>
      <c r="G18" s="57"/>
      <c r="H18" s="57"/>
      <c r="I18" s="57"/>
      <c r="J18" s="57"/>
      <c r="K18" s="57"/>
      <c r="L18" s="57"/>
    </row>
    <row r="19" spans="4:12" x14ac:dyDescent="0.3">
      <c r="D19" s="57"/>
      <c r="E19" s="57"/>
      <c r="F19" s="57"/>
      <c r="G19" s="57"/>
      <c r="H19" s="57"/>
      <c r="I19" s="57"/>
      <c r="J19" s="57"/>
      <c r="K19" s="57"/>
      <c r="L19" s="57"/>
    </row>
  </sheetData>
  <mergeCells count="2">
    <mergeCell ref="D9:L19"/>
    <mergeCell ref="D7:L8"/>
  </mergeCells>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786C7F-4171-449D-9818-33CCC5D1EC7D}">
  <dimension ref="C2:D36"/>
  <sheetViews>
    <sheetView showGridLines="0" zoomScale="81" workbookViewId="0">
      <selection activeCell="E11" sqref="E11"/>
    </sheetView>
  </sheetViews>
  <sheetFormatPr defaultRowHeight="14" x14ac:dyDescent="0.3"/>
  <cols>
    <col min="1" max="1" width="4.75" customWidth="1"/>
    <col min="2" max="2" width="5.1640625" customWidth="1"/>
    <col min="3" max="3" width="29.6640625" style="1" customWidth="1"/>
    <col min="4" max="4" width="121.25" style="1" customWidth="1"/>
  </cols>
  <sheetData>
    <row r="2" spans="3:4" ht="14.5" x14ac:dyDescent="0.3">
      <c r="C2" s="59" t="s">
        <v>2706</v>
      </c>
      <c r="D2" s="60"/>
    </row>
    <row r="3" spans="3:4" ht="16" customHeight="1" x14ac:dyDescent="0.3">
      <c r="C3" s="49" t="s">
        <v>2707</v>
      </c>
      <c r="D3" s="50" t="s">
        <v>2708</v>
      </c>
    </row>
    <row r="4" spans="3:4" ht="16" customHeight="1" x14ac:dyDescent="0.3">
      <c r="C4" s="49" t="s">
        <v>2709</v>
      </c>
      <c r="D4" s="50" t="s">
        <v>2710</v>
      </c>
    </row>
    <row r="5" spans="3:4" ht="16" customHeight="1" x14ac:dyDescent="0.3">
      <c r="C5" s="49" t="s">
        <v>2711</v>
      </c>
      <c r="D5" s="50" t="s">
        <v>2712</v>
      </c>
    </row>
    <row r="6" spans="3:4" ht="16" customHeight="1" x14ac:dyDescent="0.3">
      <c r="C6" s="49" t="s">
        <v>2713</v>
      </c>
      <c r="D6" s="50" t="s">
        <v>2714</v>
      </c>
    </row>
    <row r="7" spans="3:4" ht="16" customHeight="1" x14ac:dyDescent="0.3">
      <c r="C7" s="49" t="s">
        <v>2715</v>
      </c>
      <c r="D7" s="50" t="s">
        <v>2716</v>
      </c>
    </row>
    <row r="8" spans="3:4" ht="16" customHeight="1" x14ac:dyDescent="0.3">
      <c r="C8" s="49" t="s">
        <v>2717</v>
      </c>
      <c r="D8" s="50" t="s">
        <v>2718</v>
      </c>
    </row>
    <row r="9" spans="3:4" ht="16" customHeight="1" x14ac:dyDescent="0.3">
      <c r="C9" s="49" t="s">
        <v>2719</v>
      </c>
      <c r="D9" s="50" t="s">
        <v>2720</v>
      </c>
    </row>
    <row r="10" spans="3:4" ht="16" customHeight="1" x14ac:dyDescent="0.3">
      <c r="C10" s="49" t="s">
        <v>2721</v>
      </c>
      <c r="D10" s="50" t="s">
        <v>2722</v>
      </c>
    </row>
    <row r="11" spans="3:4" ht="16" customHeight="1" x14ac:dyDescent="0.3">
      <c r="C11" s="49" t="s">
        <v>2723</v>
      </c>
      <c r="D11" s="50" t="s">
        <v>2724</v>
      </c>
    </row>
    <row r="12" spans="3:4" ht="16" customHeight="1" x14ac:dyDescent="0.3">
      <c r="C12" s="49" t="s">
        <v>2725</v>
      </c>
      <c r="D12" s="50" t="s">
        <v>2726</v>
      </c>
    </row>
    <row r="13" spans="3:4" ht="16" customHeight="1" x14ac:dyDescent="0.3">
      <c r="C13" s="49" t="s">
        <v>2727</v>
      </c>
      <c r="D13" s="50" t="s">
        <v>2728</v>
      </c>
    </row>
    <row r="14" spans="3:4" ht="16" customHeight="1" x14ac:dyDescent="0.3"/>
    <row r="15" spans="3:4" ht="16" customHeight="1" x14ac:dyDescent="0.3">
      <c r="C15" s="59" t="s">
        <v>2729</v>
      </c>
      <c r="D15" s="60"/>
    </row>
    <row r="16" spans="3:4" ht="16" customHeight="1" x14ac:dyDescent="0.3">
      <c r="C16" s="49" t="s">
        <v>2730</v>
      </c>
      <c r="D16" s="50" t="s">
        <v>2731</v>
      </c>
    </row>
    <row r="17" spans="3:4" ht="16" customHeight="1" x14ac:dyDescent="0.3">
      <c r="C17" s="49" t="s">
        <v>2732</v>
      </c>
      <c r="D17" s="50" t="s">
        <v>2733</v>
      </c>
    </row>
    <row r="18" spans="3:4" ht="16" customHeight="1" x14ac:dyDescent="0.3">
      <c r="C18" s="49" t="s">
        <v>2734</v>
      </c>
      <c r="D18" s="50" t="s">
        <v>2735</v>
      </c>
    </row>
    <row r="19" spans="3:4" ht="16" customHeight="1" x14ac:dyDescent="0.3">
      <c r="C19" s="49" t="s">
        <v>2736</v>
      </c>
      <c r="D19" s="50" t="s">
        <v>2737</v>
      </c>
    </row>
    <row r="20" spans="3:4" ht="16" customHeight="1" x14ac:dyDescent="0.3">
      <c r="C20" s="49" t="s">
        <v>2738</v>
      </c>
      <c r="D20" s="50" t="s">
        <v>2739</v>
      </c>
    </row>
    <row r="21" spans="3:4" ht="16" customHeight="1" x14ac:dyDescent="0.3">
      <c r="C21" s="49" t="s">
        <v>2740</v>
      </c>
      <c r="D21" s="50" t="s">
        <v>2741</v>
      </c>
    </row>
    <row r="22" spans="3:4" ht="16" customHeight="1" x14ac:dyDescent="0.3"/>
    <row r="23" spans="3:4" ht="16" customHeight="1" x14ac:dyDescent="0.3">
      <c r="C23" s="59" t="s">
        <v>2742</v>
      </c>
      <c r="D23" s="60"/>
    </row>
    <row r="24" spans="3:4" ht="16" customHeight="1" x14ac:dyDescent="0.3">
      <c r="C24" s="49" t="s">
        <v>2743</v>
      </c>
      <c r="D24" s="50" t="s">
        <v>2744</v>
      </c>
    </row>
    <row r="25" spans="3:4" ht="16" customHeight="1" x14ac:dyDescent="0.3">
      <c r="C25" s="49" t="s">
        <v>2745</v>
      </c>
      <c r="D25" s="50" t="s">
        <v>2746</v>
      </c>
    </row>
    <row r="26" spans="3:4" ht="16" customHeight="1" x14ac:dyDescent="0.3">
      <c r="C26" s="49" t="s">
        <v>2747</v>
      </c>
      <c r="D26" s="50" t="s">
        <v>2748</v>
      </c>
    </row>
    <row r="27" spans="3:4" ht="16" customHeight="1" x14ac:dyDescent="0.3">
      <c r="C27" s="49" t="s">
        <v>2749</v>
      </c>
      <c r="D27" s="50" t="s">
        <v>2750</v>
      </c>
    </row>
    <row r="28" spans="3:4" ht="16" customHeight="1" x14ac:dyDescent="0.3"/>
    <row r="29" spans="3:4" ht="16" customHeight="1" x14ac:dyDescent="0.3">
      <c r="C29" s="59" t="s">
        <v>2751</v>
      </c>
      <c r="D29" s="60"/>
    </row>
    <row r="30" spans="3:4" ht="16" customHeight="1" x14ac:dyDescent="0.3">
      <c r="C30" s="49" t="s">
        <v>2752</v>
      </c>
      <c r="D30" s="50" t="s">
        <v>2753</v>
      </c>
    </row>
    <row r="31" spans="3:4" ht="16" customHeight="1" x14ac:dyDescent="0.3">
      <c r="C31" s="49" t="s">
        <v>2754</v>
      </c>
      <c r="D31" s="50" t="s">
        <v>2755</v>
      </c>
    </row>
    <row r="32" spans="3:4" ht="16" customHeight="1" x14ac:dyDescent="0.3">
      <c r="C32" s="49" t="s">
        <v>2756</v>
      </c>
      <c r="D32" s="50" t="s">
        <v>2757</v>
      </c>
    </row>
    <row r="33" spans="3:4" ht="16" customHeight="1" x14ac:dyDescent="0.3">
      <c r="C33" s="49" t="s">
        <v>2758</v>
      </c>
      <c r="D33" s="50" t="s">
        <v>2759</v>
      </c>
    </row>
    <row r="34" spans="3:4" ht="16" customHeight="1" x14ac:dyDescent="0.3">
      <c r="C34" s="49" t="s">
        <v>2760</v>
      </c>
      <c r="D34" s="50"/>
    </row>
    <row r="35" spans="3:4" ht="16" customHeight="1" x14ac:dyDescent="0.3">
      <c r="C35" s="49" t="s">
        <v>2761</v>
      </c>
      <c r="D35" s="50" t="s">
        <v>2762</v>
      </c>
    </row>
    <row r="36" spans="3:4" ht="16" customHeight="1" x14ac:dyDescent="0.3">
      <c r="C36" s="49" t="s">
        <v>2763</v>
      </c>
      <c r="D36" s="50" t="s">
        <v>2764</v>
      </c>
    </row>
  </sheetData>
  <mergeCells count="4">
    <mergeCell ref="C2:D2"/>
    <mergeCell ref="C15:D15"/>
    <mergeCell ref="C23:D23"/>
    <mergeCell ref="C29:D29"/>
  </mergeCell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FC1F54-F10A-4207-B94C-70B335B146BF}">
  <dimension ref="B2:K61"/>
  <sheetViews>
    <sheetView zoomScale="29" zoomScaleNormal="99" workbookViewId="0">
      <selection activeCell="U47" sqref="U47"/>
    </sheetView>
  </sheetViews>
  <sheetFormatPr defaultRowHeight="14" x14ac:dyDescent="0.3"/>
  <cols>
    <col min="1" max="1" width="14.25" bestFit="1" customWidth="1"/>
    <col min="2" max="2" width="16.1640625" bestFit="1" customWidth="1"/>
    <col min="3" max="9" width="18.75" customWidth="1"/>
    <col min="10" max="10" width="19.08203125" bestFit="1" customWidth="1"/>
    <col min="11" max="11" width="20.33203125" bestFit="1" customWidth="1"/>
  </cols>
  <sheetData>
    <row r="2" spans="2:11" ht="21" customHeight="1" x14ac:dyDescent="0.3">
      <c r="B2" s="54" t="s">
        <v>2704</v>
      </c>
      <c r="C2" s="54"/>
      <c r="D2" s="54"/>
      <c r="E2" s="54"/>
      <c r="F2" s="54"/>
      <c r="G2" s="54"/>
      <c r="H2" s="54"/>
      <c r="I2" s="54"/>
      <c r="J2" s="54"/>
      <c r="K2" s="54"/>
    </row>
    <row r="3" spans="2:11" ht="6.5" customHeight="1" x14ac:dyDescent="0.3">
      <c r="B3" s="55"/>
      <c r="C3" s="55"/>
      <c r="D3" s="55"/>
      <c r="E3" s="55"/>
      <c r="F3" s="55"/>
      <c r="G3" s="55"/>
      <c r="H3" s="55"/>
      <c r="I3" s="55"/>
      <c r="J3" s="55"/>
      <c r="K3" s="55"/>
    </row>
    <row r="4" spans="2:11" ht="14.5" x14ac:dyDescent="0.35">
      <c r="B4" s="56" t="s">
        <v>2699</v>
      </c>
      <c r="C4" s="56"/>
      <c r="D4" s="56" t="s">
        <v>2700</v>
      </c>
      <c r="E4" s="56"/>
      <c r="F4" s="56" t="s">
        <v>2701</v>
      </c>
      <c r="G4" s="56"/>
      <c r="H4" s="56" t="s">
        <v>2702</v>
      </c>
      <c r="I4" s="56"/>
      <c r="J4" s="56" t="s">
        <v>2703</v>
      </c>
      <c r="K4" s="56"/>
    </row>
    <row r="5" spans="2:11" x14ac:dyDescent="0.3">
      <c r="B5" s="51">
        <f>COUNTA('Clean Data'!A2:A1001)</f>
        <v>1000</v>
      </c>
      <c r="C5" s="51"/>
      <c r="D5" s="52">
        <f>SUM('Clean Data'!E2:E1001)</f>
        <v>1748220000</v>
      </c>
      <c r="E5" s="52"/>
      <c r="F5" s="52">
        <f>AVERAGE('Clean Data'!E2:E1001)</f>
        <v>1748220</v>
      </c>
      <c r="G5" s="52"/>
      <c r="H5" s="53">
        <f>AVERAGE('Clean Data'!F2:F1001)</f>
        <v>0.10201499999999983</v>
      </c>
      <c r="I5" s="51"/>
      <c r="J5" s="51">
        <f>AVERAGE('Clean Data'!L1:L1001)</f>
        <v>725.13900000000001</v>
      </c>
      <c r="K5" s="51"/>
    </row>
    <row r="6" spans="2:11" x14ac:dyDescent="0.3">
      <c r="B6" s="51"/>
      <c r="C6" s="51"/>
      <c r="D6" s="52"/>
      <c r="E6" s="52"/>
      <c r="F6" s="52"/>
      <c r="G6" s="52"/>
      <c r="H6" s="51"/>
      <c r="I6" s="51"/>
      <c r="J6" s="51"/>
      <c r="K6" s="51"/>
    </row>
    <row r="51" spans="10:11" ht="21.5" customHeight="1" x14ac:dyDescent="0.3"/>
    <row r="52" spans="10:11" ht="21.5" customHeight="1" x14ac:dyDescent="0.3"/>
    <row r="53" spans="10:11" ht="21.5" customHeight="1" x14ac:dyDescent="0.3">
      <c r="J53" s="37" t="s">
        <v>2684</v>
      </c>
      <c r="K53" t="s">
        <v>2693</v>
      </c>
    </row>
    <row r="54" spans="10:11" ht="21.5" customHeight="1" x14ac:dyDescent="0.3">
      <c r="J54" s="38" t="s">
        <v>37</v>
      </c>
      <c r="K54" s="47">
        <v>6</v>
      </c>
    </row>
    <row r="55" spans="10:11" ht="21.5" customHeight="1" x14ac:dyDescent="0.3">
      <c r="J55" s="38" t="s">
        <v>42</v>
      </c>
      <c r="K55" s="47">
        <v>1</v>
      </c>
    </row>
    <row r="56" spans="10:11" ht="21.5" customHeight="1" x14ac:dyDescent="0.3">
      <c r="J56" s="38" t="s">
        <v>18</v>
      </c>
      <c r="K56" s="47">
        <v>4</v>
      </c>
    </row>
    <row r="57" spans="10:11" ht="21.5" customHeight="1" x14ac:dyDescent="0.3">
      <c r="J57" s="38" t="s">
        <v>32</v>
      </c>
      <c r="K57" s="47">
        <v>5</v>
      </c>
    </row>
    <row r="58" spans="10:11" ht="21.5" customHeight="1" x14ac:dyDescent="0.3">
      <c r="J58" s="38" t="s">
        <v>23</v>
      </c>
      <c r="K58" s="47">
        <v>7</v>
      </c>
    </row>
    <row r="59" spans="10:11" x14ac:dyDescent="0.3">
      <c r="J59" s="38" t="s">
        <v>27</v>
      </c>
      <c r="K59" s="47">
        <v>4</v>
      </c>
    </row>
    <row r="60" spans="10:11" x14ac:dyDescent="0.3">
      <c r="J60" s="38" t="s">
        <v>15</v>
      </c>
      <c r="K60" s="47">
        <v>1</v>
      </c>
    </row>
    <row r="61" spans="10:11" x14ac:dyDescent="0.3">
      <c r="J61" s="38" t="s">
        <v>2685</v>
      </c>
      <c r="K61" s="47">
        <v>28</v>
      </c>
    </row>
  </sheetData>
  <mergeCells count="12">
    <mergeCell ref="B3:K3"/>
    <mergeCell ref="B2:K2"/>
    <mergeCell ref="B5:C6"/>
    <mergeCell ref="D5:E6"/>
    <mergeCell ref="F5:G6"/>
    <mergeCell ref="H5:I6"/>
    <mergeCell ref="J5:K6"/>
    <mergeCell ref="B4:C4"/>
    <mergeCell ref="D4:E4"/>
    <mergeCell ref="F4:G4"/>
    <mergeCell ref="H4:I4"/>
    <mergeCell ref="J4:K4"/>
  </mergeCells>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1F94E90-DB43-42FD-B7B6-843C04DEE1C5}">
  <sheetPr>
    <tabColor theme="5" tint="0.39997558519241921"/>
  </sheetPr>
  <dimension ref="A1:EW1002"/>
  <sheetViews>
    <sheetView zoomScale="67" workbookViewId="0">
      <selection activeCell="O3" sqref="O3:R5"/>
    </sheetView>
  </sheetViews>
  <sheetFormatPr defaultRowHeight="14" x14ac:dyDescent="0.3"/>
  <cols>
    <col min="1" max="1" width="5.25" style="1" customWidth="1"/>
    <col min="2" max="2" width="16.33203125" style="1" customWidth="1"/>
    <col min="3" max="3" width="4.25" style="1" customWidth="1"/>
    <col min="4" max="4" width="11.5" style="1" customWidth="1"/>
    <col min="5" max="13" width="16.1640625" style="1" customWidth="1"/>
    <col min="14" max="16" width="8.6640625" style="1"/>
    <col min="17" max="17" width="4.83203125" style="1" customWidth="1"/>
    <col min="18" max="18" width="18.5" style="1" customWidth="1"/>
    <col min="19" max="19" width="2.75" style="1" customWidth="1"/>
    <col min="20" max="20" width="13.25" style="1" customWidth="1"/>
    <col min="21" max="21" width="7.75" style="1" customWidth="1"/>
    <col min="22" max="22" width="5.33203125" style="1" customWidth="1"/>
    <col min="23" max="153" width="8.6640625" style="1"/>
  </cols>
  <sheetData>
    <row r="1" spans="1:18" ht="29" thickTop="1" thickBot="1" x14ac:dyDescent="0.35">
      <c r="A1" s="2" t="s">
        <v>0</v>
      </c>
      <c r="B1" s="2" t="s">
        <v>2585</v>
      </c>
      <c r="C1" s="2" t="s">
        <v>4</v>
      </c>
      <c r="D1" s="2" t="s">
        <v>5</v>
      </c>
      <c r="E1" s="2" t="s">
        <v>6</v>
      </c>
      <c r="F1" s="2" t="s">
        <v>7</v>
      </c>
      <c r="G1" s="2" t="s">
        <v>8</v>
      </c>
      <c r="H1" s="2" t="s">
        <v>9</v>
      </c>
      <c r="I1" s="2" t="s">
        <v>1</v>
      </c>
      <c r="J1" s="2" t="s">
        <v>10</v>
      </c>
      <c r="K1" s="2" t="s">
        <v>2</v>
      </c>
      <c r="L1" s="2" t="s">
        <v>3</v>
      </c>
      <c r="M1" s="2" t="s">
        <v>11</v>
      </c>
    </row>
    <row r="2" spans="1:18" ht="15" thickTop="1" thickBot="1" x14ac:dyDescent="0.35"/>
    <row r="3" spans="1:18" ht="14.5" customHeight="1" thickTop="1" x14ac:dyDescent="0.3">
      <c r="A3" s="4" t="s">
        <v>12</v>
      </c>
      <c r="B3" s="4" t="s">
        <v>17</v>
      </c>
      <c r="C3" s="4">
        <v>59</v>
      </c>
      <c r="D3" s="4" t="s">
        <v>18</v>
      </c>
      <c r="E3" s="4">
        <v>1420000</v>
      </c>
      <c r="F3" s="3">
        <v>0.125</v>
      </c>
      <c r="G3" s="4">
        <v>12</v>
      </c>
      <c r="H3" s="4" t="s">
        <v>19</v>
      </c>
      <c r="I3" s="4">
        <v>126497.67</v>
      </c>
      <c r="J3" s="4">
        <v>1517971.98</v>
      </c>
      <c r="K3" s="4" t="s">
        <v>20</v>
      </c>
      <c r="L3" s="4" t="s">
        <v>21</v>
      </c>
      <c r="M3" s="4">
        <v>588</v>
      </c>
      <c r="O3" s="61" t="s">
        <v>2671</v>
      </c>
      <c r="P3" s="62"/>
      <c r="Q3" s="62"/>
      <c r="R3" s="63"/>
    </row>
    <row r="4" spans="1:18" ht="14" customHeight="1" x14ac:dyDescent="0.3">
      <c r="A4" s="5" t="s">
        <v>13</v>
      </c>
      <c r="B4" s="5" t="s">
        <v>22</v>
      </c>
      <c r="C4" s="5">
        <v>49</v>
      </c>
      <c r="D4" s="5" t="s">
        <v>23</v>
      </c>
      <c r="E4" s="5">
        <v>9200000</v>
      </c>
      <c r="F4" s="35">
        <v>0.115</v>
      </c>
      <c r="G4" s="5">
        <v>12</v>
      </c>
      <c r="H4" s="5" t="s">
        <v>24</v>
      </c>
      <c r="I4" s="5">
        <v>815258.5</v>
      </c>
      <c r="J4" s="5">
        <v>9783101.9499999993</v>
      </c>
      <c r="K4" s="5" t="s">
        <v>16</v>
      </c>
      <c r="L4" s="5" t="s">
        <v>25</v>
      </c>
      <c r="M4" s="5">
        <v>747</v>
      </c>
      <c r="O4" s="64"/>
      <c r="P4" s="65"/>
      <c r="Q4" s="65"/>
      <c r="R4" s="66"/>
    </row>
    <row r="5" spans="1:18" ht="14.5" customHeight="1" thickBot="1" x14ac:dyDescent="0.35">
      <c r="A5" s="4" t="s">
        <v>14</v>
      </c>
      <c r="B5" s="4" t="s">
        <v>26</v>
      </c>
      <c r="C5" s="4">
        <v>35</v>
      </c>
      <c r="D5" s="4" t="s">
        <v>27</v>
      </c>
      <c r="E5" s="4">
        <v>200000</v>
      </c>
      <c r="F5" s="3">
        <v>0.115</v>
      </c>
      <c r="G5" s="4">
        <v>240</v>
      </c>
      <c r="H5" s="4" t="s">
        <v>28</v>
      </c>
      <c r="I5" s="4">
        <v>2132.86</v>
      </c>
      <c r="J5" s="4">
        <v>511886.22</v>
      </c>
      <c r="K5" s="4" t="s">
        <v>16</v>
      </c>
      <c r="L5" s="4" t="s">
        <v>29</v>
      </c>
      <c r="M5" s="4">
        <v>683</v>
      </c>
      <c r="O5" s="67"/>
      <c r="P5" s="68"/>
      <c r="Q5" s="68"/>
      <c r="R5" s="69"/>
    </row>
    <row r="6" spans="1:18" ht="14.5" thickTop="1" x14ac:dyDescent="0.3">
      <c r="A6" s="5" t="s">
        <v>30</v>
      </c>
      <c r="B6" s="5" t="s">
        <v>31</v>
      </c>
      <c r="C6" s="5">
        <v>63</v>
      </c>
      <c r="D6" s="5" t="s">
        <v>32</v>
      </c>
      <c r="E6" s="5">
        <v>320000</v>
      </c>
      <c r="F6" s="35">
        <v>0.12</v>
      </c>
      <c r="G6" s="5">
        <v>48</v>
      </c>
      <c r="H6" s="5" t="s">
        <v>33</v>
      </c>
      <c r="I6" s="5">
        <v>8426.83</v>
      </c>
      <c r="J6" s="5">
        <v>404487.71</v>
      </c>
      <c r="K6" s="5" t="s">
        <v>16</v>
      </c>
      <c r="L6" s="5" t="s">
        <v>34</v>
      </c>
      <c r="M6" s="5">
        <v>616</v>
      </c>
    </row>
    <row r="7" spans="1:18" x14ac:dyDescent="0.3">
      <c r="A7" s="4" t="s">
        <v>35</v>
      </c>
      <c r="B7" s="4" t="s">
        <v>36</v>
      </c>
      <c r="C7" s="4">
        <v>28</v>
      </c>
      <c r="D7" s="4" t="s">
        <v>37</v>
      </c>
      <c r="E7" s="4">
        <v>4240000</v>
      </c>
      <c r="F7" s="3">
        <v>8.5000000000000006E-2</v>
      </c>
      <c r="G7" s="4">
        <v>84</v>
      </c>
      <c r="H7" s="4" t="s">
        <v>38</v>
      </c>
      <c r="I7" s="4">
        <v>67146.7</v>
      </c>
      <c r="J7" s="4">
        <v>5640322.6500000004</v>
      </c>
      <c r="K7" s="4" t="s">
        <v>16</v>
      </c>
      <c r="L7" s="4" t="s">
        <v>39</v>
      </c>
      <c r="M7" s="4">
        <v>728</v>
      </c>
    </row>
    <row r="8" spans="1:18" x14ac:dyDescent="0.3">
      <c r="A8" s="5" t="s">
        <v>40</v>
      </c>
      <c r="B8" s="5" t="s">
        <v>41</v>
      </c>
      <c r="C8" s="5">
        <v>41</v>
      </c>
      <c r="D8" s="5" t="s">
        <v>42</v>
      </c>
      <c r="E8" s="5">
        <v>420000</v>
      </c>
      <c r="F8" s="35">
        <v>9.5000000000000001E-2</v>
      </c>
      <c r="G8" s="5">
        <v>12</v>
      </c>
      <c r="H8" s="5" t="s">
        <v>43</v>
      </c>
      <c r="I8" s="5">
        <v>36827.07</v>
      </c>
      <c r="J8" s="5">
        <v>441924.9</v>
      </c>
      <c r="K8" s="5" t="s">
        <v>20</v>
      </c>
      <c r="L8" s="5" t="s">
        <v>44</v>
      </c>
      <c r="M8" s="5">
        <v>591</v>
      </c>
    </row>
    <row r="9" spans="1:18" x14ac:dyDescent="0.3">
      <c r="A9" s="4" t="s">
        <v>45</v>
      </c>
      <c r="B9" s="4" t="s">
        <v>46</v>
      </c>
      <c r="C9" s="4">
        <v>59</v>
      </c>
      <c r="D9" s="4" t="s">
        <v>42</v>
      </c>
      <c r="E9" s="4">
        <v>1250000</v>
      </c>
      <c r="F9" s="3">
        <v>0.08</v>
      </c>
      <c r="G9" s="4">
        <v>84</v>
      </c>
      <c r="H9" s="4" t="s">
        <v>47</v>
      </c>
      <c r="I9" s="4">
        <v>19482.77</v>
      </c>
      <c r="J9" s="4">
        <v>1636552.51</v>
      </c>
      <c r="K9" s="4" t="s">
        <v>16</v>
      </c>
      <c r="L9" s="4" t="s">
        <v>48</v>
      </c>
      <c r="M9" s="4">
        <v>564</v>
      </c>
    </row>
    <row r="10" spans="1:18" x14ac:dyDescent="0.3">
      <c r="A10" s="5" t="s">
        <v>49</v>
      </c>
      <c r="B10" s="5" t="s">
        <v>50</v>
      </c>
      <c r="C10" s="5">
        <v>39</v>
      </c>
      <c r="D10" s="5" t="s">
        <v>18</v>
      </c>
      <c r="E10" s="5">
        <v>480000</v>
      </c>
      <c r="F10" s="35">
        <v>9.5000000000000001E-2</v>
      </c>
      <c r="G10" s="5">
        <v>240</v>
      </c>
      <c r="H10" s="5" t="s">
        <v>51</v>
      </c>
      <c r="I10" s="5">
        <v>4474.2299999999996</v>
      </c>
      <c r="J10" s="5">
        <v>1073815.1299999999</v>
      </c>
      <c r="K10" s="5" t="s">
        <v>20</v>
      </c>
      <c r="L10" s="5" t="s">
        <v>52</v>
      </c>
      <c r="M10" s="5">
        <v>660</v>
      </c>
    </row>
    <row r="11" spans="1:18" x14ac:dyDescent="0.3">
      <c r="A11" s="4" t="s">
        <v>53</v>
      </c>
      <c r="B11" s="4" t="s">
        <v>54</v>
      </c>
      <c r="C11" s="4">
        <v>43</v>
      </c>
      <c r="D11" s="4" t="s">
        <v>27</v>
      </c>
      <c r="E11" s="4">
        <v>640000</v>
      </c>
      <c r="F11" s="3">
        <v>0.08</v>
      </c>
      <c r="G11" s="4">
        <v>48</v>
      </c>
      <c r="H11" s="4" t="s">
        <v>55</v>
      </c>
      <c r="I11" s="4">
        <v>15624.27</v>
      </c>
      <c r="J11" s="4">
        <v>749964.97</v>
      </c>
      <c r="K11" s="4" t="s">
        <v>20</v>
      </c>
      <c r="L11" s="4" t="s">
        <v>56</v>
      </c>
      <c r="M11" s="4">
        <v>706</v>
      </c>
    </row>
    <row r="12" spans="1:18" x14ac:dyDescent="0.3">
      <c r="A12" s="5" t="s">
        <v>57</v>
      </c>
      <c r="B12" s="5" t="s">
        <v>58</v>
      </c>
      <c r="C12" s="5">
        <v>31</v>
      </c>
      <c r="D12" s="5" t="s">
        <v>18</v>
      </c>
      <c r="E12" s="5">
        <v>1070000</v>
      </c>
      <c r="F12" s="35">
        <v>0.115</v>
      </c>
      <c r="G12" s="5">
        <v>12</v>
      </c>
      <c r="H12" s="5" t="s">
        <v>59</v>
      </c>
      <c r="I12" s="5">
        <v>94818.11</v>
      </c>
      <c r="J12" s="5">
        <v>1137817.29</v>
      </c>
      <c r="K12" s="5" t="s">
        <v>60</v>
      </c>
      <c r="L12" s="5" t="s">
        <v>25</v>
      </c>
      <c r="M12" s="5">
        <v>838</v>
      </c>
    </row>
    <row r="13" spans="1:18" x14ac:dyDescent="0.3">
      <c r="A13" s="4" t="s">
        <v>61</v>
      </c>
      <c r="B13" s="4" t="s">
        <v>62</v>
      </c>
      <c r="C13" s="4">
        <v>31</v>
      </c>
      <c r="D13" s="4" t="s">
        <v>42</v>
      </c>
      <c r="E13" s="4">
        <v>1260000</v>
      </c>
      <c r="F13" s="3">
        <v>0.09</v>
      </c>
      <c r="G13" s="4">
        <v>12</v>
      </c>
      <c r="H13" s="4" t="s">
        <v>63</v>
      </c>
      <c r="I13" s="4">
        <v>110188.86</v>
      </c>
      <c r="J13" s="4">
        <v>1322266.33</v>
      </c>
      <c r="K13" s="4" t="s">
        <v>16</v>
      </c>
      <c r="L13" s="4" t="s">
        <v>64</v>
      </c>
      <c r="M13" s="4">
        <v>780</v>
      </c>
    </row>
    <row r="14" spans="1:18" x14ac:dyDescent="0.3">
      <c r="A14" s="5" t="s">
        <v>65</v>
      </c>
      <c r="B14" s="5" t="s">
        <v>66</v>
      </c>
      <c r="C14" s="5">
        <v>44</v>
      </c>
      <c r="D14" s="5" t="s">
        <v>37</v>
      </c>
      <c r="E14" s="5">
        <v>980000</v>
      </c>
      <c r="F14" s="35">
        <v>8.5000000000000006E-2</v>
      </c>
      <c r="G14" s="5">
        <v>48</v>
      </c>
      <c r="H14" s="5" t="s">
        <v>67</v>
      </c>
      <c r="I14" s="5">
        <v>24155.34</v>
      </c>
      <c r="J14" s="5">
        <v>1159456.19</v>
      </c>
      <c r="K14" s="5" t="s">
        <v>16</v>
      </c>
      <c r="L14" s="5" t="s">
        <v>68</v>
      </c>
      <c r="M14" s="5">
        <v>706</v>
      </c>
    </row>
    <row r="15" spans="1:18" x14ac:dyDescent="0.3">
      <c r="A15" s="4" t="s">
        <v>69</v>
      </c>
      <c r="B15" s="4" t="s">
        <v>70</v>
      </c>
      <c r="C15" s="4">
        <v>56</v>
      </c>
      <c r="D15" s="4" t="s">
        <v>37</v>
      </c>
      <c r="E15" s="4">
        <v>4380000</v>
      </c>
      <c r="F15" s="3">
        <v>0.115</v>
      </c>
      <c r="G15" s="4">
        <v>48</v>
      </c>
      <c r="H15" s="4" t="s">
        <v>71</v>
      </c>
      <c r="I15" s="4">
        <v>114269.86</v>
      </c>
      <c r="J15" s="4">
        <v>5484953.2300000004</v>
      </c>
      <c r="K15" s="4" t="s">
        <v>20</v>
      </c>
      <c r="L15" s="4" t="s">
        <v>52</v>
      </c>
      <c r="M15" s="4">
        <v>587</v>
      </c>
    </row>
    <row r="16" spans="1:18" x14ac:dyDescent="0.3">
      <c r="A16" s="5" t="s">
        <v>72</v>
      </c>
      <c r="B16" s="5" t="s">
        <v>73</v>
      </c>
      <c r="C16" s="5">
        <v>60</v>
      </c>
      <c r="D16" s="5" t="s">
        <v>42</v>
      </c>
      <c r="E16" s="5">
        <v>950000</v>
      </c>
      <c r="F16" s="35">
        <v>0.1</v>
      </c>
      <c r="G16" s="5">
        <v>84</v>
      </c>
      <c r="H16" s="5" t="s">
        <v>74</v>
      </c>
      <c r="I16" s="5">
        <v>15771.12</v>
      </c>
      <c r="J16" s="5">
        <v>1324774.49</v>
      </c>
      <c r="K16" s="5" t="s">
        <v>60</v>
      </c>
      <c r="L16" s="5" t="s">
        <v>75</v>
      </c>
      <c r="M16" s="5">
        <v>646</v>
      </c>
    </row>
    <row r="17" spans="1:13" x14ac:dyDescent="0.3">
      <c r="A17" s="4" t="s">
        <v>76</v>
      </c>
      <c r="B17" s="4" t="s">
        <v>77</v>
      </c>
      <c r="C17" s="4">
        <v>44</v>
      </c>
      <c r="D17" s="4" t="s">
        <v>23</v>
      </c>
      <c r="E17" s="4">
        <v>1370000</v>
      </c>
      <c r="F17" s="3">
        <v>0.105</v>
      </c>
      <c r="G17" s="4">
        <v>60</v>
      </c>
      <c r="H17" s="4" t="s">
        <v>78</v>
      </c>
      <c r="I17" s="4">
        <v>29446.639999999999</v>
      </c>
      <c r="J17" s="4">
        <v>1766798.61</v>
      </c>
      <c r="K17" s="4" t="s">
        <v>20</v>
      </c>
      <c r="L17" s="4" t="s">
        <v>29</v>
      </c>
      <c r="M17" s="4">
        <v>838</v>
      </c>
    </row>
    <row r="18" spans="1:13" x14ac:dyDescent="0.3">
      <c r="A18" s="5" t="s">
        <v>79</v>
      </c>
      <c r="B18" s="5" t="s">
        <v>80</v>
      </c>
      <c r="C18" s="5">
        <v>23</v>
      </c>
      <c r="D18" s="5" t="s">
        <v>18</v>
      </c>
      <c r="E18" s="5">
        <v>1030000</v>
      </c>
      <c r="F18" s="35">
        <v>0.12</v>
      </c>
      <c r="G18" s="5">
        <v>36</v>
      </c>
      <c r="H18" s="5" t="s">
        <v>81</v>
      </c>
      <c r="I18" s="5">
        <v>34210.74</v>
      </c>
      <c r="J18" s="5">
        <v>1231586.6100000001</v>
      </c>
      <c r="K18" s="5" t="s">
        <v>20</v>
      </c>
      <c r="L18" s="5" t="s">
        <v>82</v>
      </c>
      <c r="M18" s="5">
        <v>803</v>
      </c>
    </row>
    <row r="19" spans="1:13" x14ac:dyDescent="0.3">
      <c r="A19" s="4" t="s">
        <v>83</v>
      </c>
      <c r="B19" s="4" t="s">
        <v>84</v>
      </c>
      <c r="C19" s="4">
        <v>42</v>
      </c>
      <c r="D19" s="4" t="s">
        <v>23</v>
      </c>
      <c r="E19" s="4">
        <v>5270000</v>
      </c>
      <c r="F19" s="3">
        <v>0.125</v>
      </c>
      <c r="G19" s="4">
        <v>24</v>
      </c>
      <c r="H19" s="4" t="s">
        <v>85</v>
      </c>
      <c r="I19" s="4">
        <v>249309.51</v>
      </c>
      <c r="J19" s="4">
        <v>5983428.3499999996</v>
      </c>
      <c r="K19" s="4" t="s">
        <v>16</v>
      </c>
      <c r="L19" s="4" t="s">
        <v>86</v>
      </c>
      <c r="M19" s="4">
        <v>745</v>
      </c>
    </row>
    <row r="20" spans="1:13" x14ac:dyDescent="0.3">
      <c r="A20" s="5" t="s">
        <v>87</v>
      </c>
      <c r="B20" s="5" t="s">
        <v>88</v>
      </c>
      <c r="C20" s="5">
        <v>22</v>
      </c>
      <c r="D20" s="5" t="s">
        <v>18</v>
      </c>
      <c r="E20" s="5">
        <v>1910000</v>
      </c>
      <c r="F20" s="35">
        <v>0.125</v>
      </c>
      <c r="G20" s="5">
        <v>120</v>
      </c>
      <c r="H20" s="5" t="s">
        <v>89</v>
      </c>
      <c r="I20" s="5">
        <v>27957.85</v>
      </c>
      <c r="J20" s="5">
        <v>3354941.79</v>
      </c>
      <c r="K20" s="5" t="s">
        <v>60</v>
      </c>
      <c r="L20" s="5" t="s">
        <v>90</v>
      </c>
      <c r="M20" s="5">
        <v>635</v>
      </c>
    </row>
    <row r="21" spans="1:13" x14ac:dyDescent="0.3">
      <c r="A21" s="4" t="s">
        <v>91</v>
      </c>
      <c r="B21" s="4" t="s">
        <v>92</v>
      </c>
      <c r="C21" s="4">
        <v>44</v>
      </c>
      <c r="D21" s="4" t="s">
        <v>37</v>
      </c>
      <c r="E21" s="4">
        <v>530000</v>
      </c>
      <c r="F21" s="3">
        <v>0.125</v>
      </c>
      <c r="G21" s="4">
        <v>240</v>
      </c>
      <c r="H21" s="4" t="s">
        <v>93</v>
      </c>
      <c r="I21" s="4">
        <v>6021.54</v>
      </c>
      <c r="J21" s="4">
        <v>1445170.78</v>
      </c>
      <c r="K21" s="4" t="s">
        <v>16</v>
      </c>
      <c r="L21" s="4" t="s">
        <v>94</v>
      </c>
      <c r="M21" s="4">
        <v>871</v>
      </c>
    </row>
    <row r="22" spans="1:13" x14ac:dyDescent="0.3">
      <c r="A22" s="5" t="s">
        <v>95</v>
      </c>
      <c r="B22" s="5" t="s">
        <v>96</v>
      </c>
      <c r="C22" s="5">
        <v>64</v>
      </c>
      <c r="D22" s="5" t="s">
        <v>23</v>
      </c>
      <c r="E22" s="5">
        <v>4660000</v>
      </c>
      <c r="F22" s="35">
        <v>0.125</v>
      </c>
      <c r="G22" s="5">
        <v>60</v>
      </c>
      <c r="H22" s="5" t="s">
        <v>97</v>
      </c>
      <c r="I22" s="5">
        <v>104840.39</v>
      </c>
      <c r="J22" s="5">
        <v>6290423.5300000003</v>
      </c>
      <c r="K22" s="5" t="s">
        <v>20</v>
      </c>
      <c r="L22" s="5" t="s">
        <v>25</v>
      </c>
      <c r="M22" s="5">
        <v>559</v>
      </c>
    </row>
    <row r="23" spans="1:13" x14ac:dyDescent="0.3">
      <c r="A23" s="4" t="s">
        <v>98</v>
      </c>
      <c r="B23" s="4" t="s">
        <v>99</v>
      </c>
      <c r="C23" s="4">
        <v>50</v>
      </c>
      <c r="D23" s="4" t="s">
        <v>18</v>
      </c>
      <c r="E23" s="4">
        <v>1410000</v>
      </c>
      <c r="F23" s="3">
        <v>0.08</v>
      </c>
      <c r="G23" s="4">
        <v>36</v>
      </c>
      <c r="H23" s="4" t="s">
        <v>100</v>
      </c>
      <c r="I23" s="4">
        <v>44184.28</v>
      </c>
      <c r="J23" s="4">
        <v>1590633.91</v>
      </c>
      <c r="K23" s="4" t="s">
        <v>16</v>
      </c>
      <c r="L23" s="4" t="s">
        <v>90</v>
      </c>
      <c r="M23" s="4">
        <v>554</v>
      </c>
    </row>
    <row r="24" spans="1:13" x14ac:dyDescent="0.3">
      <c r="A24" s="5" t="s">
        <v>101</v>
      </c>
      <c r="B24" s="5" t="s">
        <v>102</v>
      </c>
      <c r="C24" s="5">
        <v>58</v>
      </c>
      <c r="D24" s="5" t="s">
        <v>27</v>
      </c>
      <c r="E24" s="5">
        <v>180000</v>
      </c>
      <c r="F24" s="35">
        <v>9.5000000000000001E-2</v>
      </c>
      <c r="G24" s="5">
        <v>24</v>
      </c>
      <c r="H24" s="5" t="s">
        <v>103</v>
      </c>
      <c r="I24" s="5">
        <v>8264.61</v>
      </c>
      <c r="J24" s="5">
        <v>198350.61</v>
      </c>
      <c r="K24" s="5" t="s">
        <v>16</v>
      </c>
      <c r="L24" s="5" t="s">
        <v>104</v>
      </c>
      <c r="M24" s="5">
        <v>672</v>
      </c>
    </row>
    <row r="25" spans="1:13" x14ac:dyDescent="0.3">
      <c r="A25" s="4" t="s">
        <v>105</v>
      </c>
      <c r="B25" s="4" t="s">
        <v>106</v>
      </c>
      <c r="C25" s="4">
        <v>22</v>
      </c>
      <c r="D25" s="4" t="s">
        <v>15</v>
      </c>
      <c r="E25" s="4">
        <v>290000</v>
      </c>
      <c r="F25" s="3">
        <v>0.13</v>
      </c>
      <c r="G25" s="4">
        <v>12</v>
      </c>
      <c r="H25" s="4" t="s">
        <v>107</v>
      </c>
      <c r="I25" s="4">
        <v>25902.01</v>
      </c>
      <c r="J25" s="4">
        <v>310824.12</v>
      </c>
      <c r="K25" s="4" t="s">
        <v>20</v>
      </c>
      <c r="L25" s="4" t="s">
        <v>108</v>
      </c>
      <c r="M25" s="4">
        <v>879</v>
      </c>
    </row>
    <row r="26" spans="1:13" x14ac:dyDescent="0.3">
      <c r="A26" s="5" t="s">
        <v>109</v>
      </c>
      <c r="B26" s="5" t="s">
        <v>110</v>
      </c>
      <c r="C26" s="5">
        <v>41</v>
      </c>
      <c r="D26" s="5" t="s">
        <v>32</v>
      </c>
      <c r="E26" s="5">
        <v>270000</v>
      </c>
      <c r="F26" s="35">
        <v>0.105</v>
      </c>
      <c r="G26" s="5">
        <v>60</v>
      </c>
      <c r="H26" s="5" t="s">
        <v>111</v>
      </c>
      <c r="I26" s="5">
        <v>5803.35</v>
      </c>
      <c r="J26" s="5">
        <v>348201.19</v>
      </c>
      <c r="K26" s="5" t="s">
        <v>16</v>
      </c>
      <c r="L26" s="5" t="s">
        <v>34</v>
      </c>
      <c r="M26" s="5">
        <v>667</v>
      </c>
    </row>
    <row r="27" spans="1:13" x14ac:dyDescent="0.3">
      <c r="A27" s="4" t="s">
        <v>112</v>
      </c>
      <c r="B27" s="4" t="s">
        <v>113</v>
      </c>
      <c r="C27" s="4">
        <v>53</v>
      </c>
      <c r="D27" s="4" t="s">
        <v>42</v>
      </c>
      <c r="E27" s="4">
        <v>1020000</v>
      </c>
      <c r="F27" s="3">
        <v>0.13</v>
      </c>
      <c r="G27" s="4">
        <v>60</v>
      </c>
      <c r="H27" s="4" t="s">
        <v>114</v>
      </c>
      <c r="I27" s="4">
        <v>23208.13</v>
      </c>
      <c r="J27" s="4">
        <v>1392488.07</v>
      </c>
      <c r="K27" s="4" t="s">
        <v>20</v>
      </c>
      <c r="L27" s="4" t="s">
        <v>115</v>
      </c>
      <c r="M27" s="4">
        <v>843</v>
      </c>
    </row>
    <row r="28" spans="1:13" x14ac:dyDescent="0.3">
      <c r="A28" s="5" t="s">
        <v>116</v>
      </c>
      <c r="B28" s="5" t="s">
        <v>117</v>
      </c>
      <c r="C28" s="5">
        <v>32</v>
      </c>
      <c r="D28" s="5" t="s">
        <v>18</v>
      </c>
      <c r="E28" s="5">
        <v>1670000</v>
      </c>
      <c r="F28" s="35">
        <v>0.09</v>
      </c>
      <c r="G28" s="5">
        <v>180</v>
      </c>
      <c r="H28" s="5" t="s">
        <v>118</v>
      </c>
      <c r="I28" s="5">
        <v>16938.25</v>
      </c>
      <c r="J28" s="5">
        <v>3048885.35</v>
      </c>
      <c r="K28" s="5" t="s">
        <v>16</v>
      </c>
      <c r="L28" s="5" t="s">
        <v>119</v>
      </c>
      <c r="M28" s="5">
        <v>708</v>
      </c>
    </row>
    <row r="29" spans="1:13" x14ac:dyDescent="0.3">
      <c r="A29" s="4" t="s">
        <v>120</v>
      </c>
      <c r="B29" s="4" t="s">
        <v>121</v>
      </c>
      <c r="C29" s="4">
        <v>42</v>
      </c>
      <c r="D29" s="4" t="s">
        <v>27</v>
      </c>
      <c r="E29" s="4">
        <v>170000</v>
      </c>
      <c r="F29" s="3">
        <v>7.4999999999999997E-2</v>
      </c>
      <c r="G29" s="4">
        <v>240</v>
      </c>
      <c r="H29" s="4" t="s">
        <v>122</v>
      </c>
      <c r="I29" s="4">
        <v>1369.51</v>
      </c>
      <c r="J29" s="4">
        <v>328682.02</v>
      </c>
      <c r="K29" s="4" t="s">
        <v>16</v>
      </c>
      <c r="L29" s="4" t="s">
        <v>52</v>
      </c>
      <c r="M29" s="4">
        <v>852</v>
      </c>
    </row>
    <row r="30" spans="1:13" x14ac:dyDescent="0.3">
      <c r="A30" s="5" t="s">
        <v>123</v>
      </c>
      <c r="B30" s="5" t="s">
        <v>124</v>
      </c>
      <c r="C30" s="5">
        <v>64</v>
      </c>
      <c r="D30" s="5" t="s">
        <v>37</v>
      </c>
      <c r="E30" s="5">
        <v>1010000</v>
      </c>
      <c r="F30" s="35">
        <v>0.09</v>
      </c>
      <c r="G30" s="5">
        <v>240</v>
      </c>
      <c r="H30" s="5" t="s">
        <v>125</v>
      </c>
      <c r="I30" s="5">
        <v>9087.23</v>
      </c>
      <c r="J30" s="5">
        <v>2180935.7200000002</v>
      </c>
      <c r="K30" s="5" t="s">
        <v>16</v>
      </c>
      <c r="L30" s="5" t="s">
        <v>64</v>
      </c>
      <c r="M30" s="5">
        <v>777</v>
      </c>
    </row>
    <row r="31" spans="1:13" x14ac:dyDescent="0.3">
      <c r="A31" s="4" t="s">
        <v>126</v>
      </c>
      <c r="B31" s="4" t="s">
        <v>127</v>
      </c>
      <c r="C31" s="4">
        <v>45</v>
      </c>
      <c r="D31" s="4" t="s">
        <v>15</v>
      </c>
      <c r="E31" s="4">
        <v>340000</v>
      </c>
      <c r="F31" s="3">
        <v>0.08</v>
      </c>
      <c r="G31" s="4">
        <v>84</v>
      </c>
      <c r="H31" s="4" t="s">
        <v>128</v>
      </c>
      <c r="I31" s="4">
        <v>5299.31</v>
      </c>
      <c r="J31" s="4">
        <v>445142.28</v>
      </c>
      <c r="K31" s="4" t="s">
        <v>20</v>
      </c>
      <c r="L31" s="4" t="s">
        <v>52</v>
      </c>
      <c r="M31" s="4">
        <v>765</v>
      </c>
    </row>
    <row r="32" spans="1:13" x14ac:dyDescent="0.3">
      <c r="A32" s="5" t="s">
        <v>129</v>
      </c>
      <c r="B32" s="5" t="s">
        <v>130</v>
      </c>
      <c r="C32" s="5">
        <v>47</v>
      </c>
      <c r="D32" s="5" t="s">
        <v>32</v>
      </c>
      <c r="E32" s="5">
        <v>300000</v>
      </c>
      <c r="F32" s="35">
        <v>0.105</v>
      </c>
      <c r="G32" s="5">
        <v>120</v>
      </c>
      <c r="H32" s="5" t="s">
        <v>131</v>
      </c>
      <c r="I32" s="5">
        <v>4048.05</v>
      </c>
      <c r="J32" s="5">
        <v>485765.99</v>
      </c>
      <c r="K32" s="5" t="s">
        <v>16</v>
      </c>
      <c r="L32" s="5" t="s">
        <v>132</v>
      </c>
      <c r="M32" s="5">
        <v>733</v>
      </c>
    </row>
    <row r="33" spans="1:13" x14ac:dyDescent="0.3">
      <c r="A33" s="4" t="s">
        <v>133</v>
      </c>
      <c r="B33" s="4" t="s">
        <v>134</v>
      </c>
      <c r="C33" s="4">
        <v>62</v>
      </c>
      <c r="D33" s="4" t="s">
        <v>18</v>
      </c>
      <c r="E33" s="4">
        <v>270000</v>
      </c>
      <c r="F33" s="3">
        <v>0.08</v>
      </c>
      <c r="G33" s="4">
        <v>36</v>
      </c>
      <c r="H33" s="4" t="s">
        <v>135</v>
      </c>
      <c r="I33" s="4">
        <v>8460.82</v>
      </c>
      <c r="J33" s="4">
        <v>304589.46999999997</v>
      </c>
      <c r="K33" s="4" t="s">
        <v>16</v>
      </c>
      <c r="L33" s="4" t="s">
        <v>136</v>
      </c>
      <c r="M33" s="4">
        <v>564</v>
      </c>
    </row>
    <row r="34" spans="1:13" x14ac:dyDescent="0.3">
      <c r="A34" s="5" t="s">
        <v>137</v>
      </c>
      <c r="B34" s="5" t="s">
        <v>138</v>
      </c>
      <c r="C34" s="5">
        <v>48</v>
      </c>
      <c r="D34" s="5" t="s">
        <v>37</v>
      </c>
      <c r="E34" s="5">
        <v>2910000</v>
      </c>
      <c r="F34" s="35">
        <v>0.11</v>
      </c>
      <c r="G34" s="5">
        <v>84</v>
      </c>
      <c r="H34" s="5" t="s">
        <v>139</v>
      </c>
      <c r="I34" s="5">
        <v>49826.29</v>
      </c>
      <c r="J34" s="5">
        <v>4185408.36</v>
      </c>
      <c r="K34" s="5" t="s">
        <v>60</v>
      </c>
      <c r="L34" s="5" t="s">
        <v>21</v>
      </c>
      <c r="M34" s="5">
        <v>706</v>
      </c>
    </row>
    <row r="35" spans="1:13" x14ac:dyDescent="0.3">
      <c r="A35" s="4" t="s">
        <v>140</v>
      </c>
      <c r="B35" s="4" t="s">
        <v>141</v>
      </c>
      <c r="C35" s="4">
        <v>36</v>
      </c>
      <c r="D35" s="4" t="s">
        <v>18</v>
      </c>
      <c r="E35" s="4">
        <v>1060000</v>
      </c>
      <c r="F35" s="3">
        <v>0.12</v>
      </c>
      <c r="G35" s="4">
        <v>180</v>
      </c>
      <c r="H35" s="4" t="s">
        <v>142</v>
      </c>
      <c r="I35" s="4">
        <v>12721.78</v>
      </c>
      <c r="J35" s="4">
        <v>2289920.66</v>
      </c>
      <c r="K35" s="4" t="s">
        <v>20</v>
      </c>
      <c r="L35" s="4" t="s">
        <v>143</v>
      </c>
      <c r="M35" s="4">
        <v>685</v>
      </c>
    </row>
    <row r="36" spans="1:13" x14ac:dyDescent="0.3">
      <c r="A36" s="5" t="s">
        <v>144</v>
      </c>
      <c r="B36" s="5" t="s">
        <v>145</v>
      </c>
      <c r="C36" s="5">
        <v>35</v>
      </c>
      <c r="D36" s="5" t="s">
        <v>15</v>
      </c>
      <c r="E36" s="5">
        <v>580000</v>
      </c>
      <c r="F36" s="35">
        <v>0.12</v>
      </c>
      <c r="G36" s="5">
        <v>84</v>
      </c>
      <c r="H36" s="5" t="s">
        <v>146</v>
      </c>
      <c r="I36" s="5">
        <v>10238.59</v>
      </c>
      <c r="J36" s="5">
        <v>860041.14</v>
      </c>
      <c r="K36" s="5" t="s">
        <v>16</v>
      </c>
      <c r="L36" s="5" t="s">
        <v>147</v>
      </c>
      <c r="M36" s="5">
        <v>810</v>
      </c>
    </row>
    <row r="37" spans="1:13" x14ac:dyDescent="0.3">
      <c r="A37" s="4" t="s">
        <v>148</v>
      </c>
      <c r="B37" s="4" t="s">
        <v>149</v>
      </c>
      <c r="C37" s="4">
        <v>64</v>
      </c>
      <c r="D37" s="4" t="s">
        <v>27</v>
      </c>
      <c r="E37" s="4">
        <v>910000</v>
      </c>
      <c r="F37" s="3">
        <v>7.4999999999999997E-2</v>
      </c>
      <c r="G37" s="4">
        <v>48</v>
      </c>
      <c r="H37" s="4" t="s">
        <v>150</v>
      </c>
      <c r="I37" s="4">
        <v>22002.799999999999</v>
      </c>
      <c r="J37" s="4">
        <v>1056134.44</v>
      </c>
      <c r="K37" s="4" t="s">
        <v>60</v>
      </c>
      <c r="L37" s="4" t="s">
        <v>151</v>
      </c>
      <c r="M37" s="4">
        <v>706</v>
      </c>
    </row>
    <row r="38" spans="1:13" x14ac:dyDescent="0.3">
      <c r="A38" s="5" t="s">
        <v>152</v>
      </c>
      <c r="B38" s="5" t="s">
        <v>153</v>
      </c>
      <c r="C38" s="5">
        <v>23</v>
      </c>
      <c r="D38" s="5" t="s">
        <v>15</v>
      </c>
      <c r="E38" s="5">
        <v>480000</v>
      </c>
      <c r="F38" s="35">
        <v>9.5000000000000001E-2</v>
      </c>
      <c r="G38" s="5">
        <v>36</v>
      </c>
      <c r="H38" s="5" t="s">
        <v>154</v>
      </c>
      <c r="I38" s="5">
        <v>15375.82</v>
      </c>
      <c r="J38" s="5">
        <v>553529.37</v>
      </c>
      <c r="K38" s="5" t="s">
        <v>16</v>
      </c>
      <c r="L38" s="5" t="s">
        <v>155</v>
      </c>
      <c r="M38" s="5">
        <v>596</v>
      </c>
    </row>
    <row r="39" spans="1:13" x14ac:dyDescent="0.3">
      <c r="A39" s="4" t="s">
        <v>156</v>
      </c>
      <c r="B39" s="4" t="s">
        <v>157</v>
      </c>
      <c r="C39" s="4">
        <v>57</v>
      </c>
      <c r="D39" s="4" t="s">
        <v>18</v>
      </c>
      <c r="E39" s="4">
        <v>1810000</v>
      </c>
      <c r="F39" s="3">
        <v>0.125</v>
      </c>
      <c r="G39" s="4">
        <v>120</v>
      </c>
      <c r="H39" s="4" t="s">
        <v>158</v>
      </c>
      <c r="I39" s="4">
        <v>26494.09</v>
      </c>
      <c r="J39" s="4">
        <v>3179290.38</v>
      </c>
      <c r="K39" s="4" t="s">
        <v>20</v>
      </c>
      <c r="L39" s="4" t="s">
        <v>159</v>
      </c>
      <c r="M39" s="4">
        <v>873</v>
      </c>
    </row>
    <row r="40" spans="1:13" x14ac:dyDescent="0.3">
      <c r="A40" s="5" t="s">
        <v>160</v>
      </c>
      <c r="B40" s="5" t="s">
        <v>161</v>
      </c>
      <c r="C40" s="5">
        <v>27</v>
      </c>
      <c r="D40" s="5" t="s">
        <v>23</v>
      </c>
      <c r="E40" s="5">
        <v>8050000</v>
      </c>
      <c r="F40" s="35">
        <v>0.13</v>
      </c>
      <c r="G40" s="5">
        <v>12</v>
      </c>
      <c r="H40" s="5" t="s">
        <v>162</v>
      </c>
      <c r="I40" s="5">
        <v>719004.07</v>
      </c>
      <c r="J40" s="5">
        <v>8628048.8300000001</v>
      </c>
      <c r="K40" s="5" t="s">
        <v>16</v>
      </c>
      <c r="L40" s="5" t="s">
        <v>90</v>
      </c>
      <c r="M40" s="5">
        <v>881</v>
      </c>
    </row>
    <row r="41" spans="1:13" x14ac:dyDescent="0.3">
      <c r="A41" s="4" t="s">
        <v>163</v>
      </c>
      <c r="B41" s="4" t="s">
        <v>164</v>
      </c>
      <c r="C41" s="4">
        <v>41</v>
      </c>
      <c r="D41" s="4" t="s">
        <v>27</v>
      </c>
      <c r="E41" s="4">
        <v>490000</v>
      </c>
      <c r="F41" s="3">
        <v>0.125</v>
      </c>
      <c r="G41" s="4">
        <v>48</v>
      </c>
      <c r="H41" s="4" t="s">
        <v>165</v>
      </c>
      <c r="I41" s="4">
        <v>13024.2</v>
      </c>
      <c r="J41" s="4">
        <v>625161.56999999995</v>
      </c>
      <c r="K41" s="4" t="s">
        <v>16</v>
      </c>
      <c r="L41" s="4" t="s">
        <v>94</v>
      </c>
      <c r="M41" s="4">
        <v>722</v>
      </c>
    </row>
    <row r="42" spans="1:13" x14ac:dyDescent="0.3">
      <c r="A42" s="5" t="s">
        <v>166</v>
      </c>
      <c r="B42" s="5" t="s">
        <v>167</v>
      </c>
      <c r="C42" s="5">
        <v>29</v>
      </c>
      <c r="D42" s="5" t="s">
        <v>42</v>
      </c>
      <c r="E42" s="5">
        <v>1100000</v>
      </c>
      <c r="F42" s="35">
        <v>0.13</v>
      </c>
      <c r="G42" s="5">
        <v>48</v>
      </c>
      <c r="H42" s="5" t="s">
        <v>168</v>
      </c>
      <c r="I42" s="5">
        <v>29510.25</v>
      </c>
      <c r="J42" s="5">
        <v>1416491.78</v>
      </c>
      <c r="K42" s="5" t="s">
        <v>16</v>
      </c>
      <c r="L42" s="5" t="s">
        <v>68</v>
      </c>
      <c r="M42" s="5">
        <v>679</v>
      </c>
    </row>
    <row r="43" spans="1:13" x14ac:dyDescent="0.3">
      <c r="A43" s="4" t="s">
        <v>169</v>
      </c>
      <c r="B43" s="4" t="s">
        <v>170</v>
      </c>
      <c r="C43" s="4">
        <v>59</v>
      </c>
      <c r="D43" s="4" t="s">
        <v>37</v>
      </c>
      <c r="E43" s="4">
        <v>4260000</v>
      </c>
      <c r="F43" s="3">
        <v>8.5000000000000006E-2</v>
      </c>
      <c r="G43" s="4">
        <v>36</v>
      </c>
      <c r="H43" s="4" t="s">
        <v>171</v>
      </c>
      <c r="I43" s="4">
        <v>134477.71</v>
      </c>
      <c r="J43" s="4">
        <v>4841197.54</v>
      </c>
      <c r="K43" s="4" t="s">
        <v>20</v>
      </c>
      <c r="L43" s="4" t="s">
        <v>52</v>
      </c>
      <c r="M43" s="4">
        <v>644</v>
      </c>
    </row>
    <row r="44" spans="1:13" x14ac:dyDescent="0.3">
      <c r="A44" s="5" t="s">
        <v>172</v>
      </c>
      <c r="B44" s="5" t="s">
        <v>173</v>
      </c>
      <c r="C44" s="5">
        <v>38</v>
      </c>
      <c r="D44" s="5" t="s">
        <v>23</v>
      </c>
      <c r="E44" s="5">
        <v>7330000</v>
      </c>
      <c r="F44" s="35">
        <v>0.08</v>
      </c>
      <c r="G44" s="5">
        <v>48</v>
      </c>
      <c r="H44" s="5" t="s">
        <v>174</v>
      </c>
      <c r="I44" s="5">
        <v>178946.72</v>
      </c>
      <c r="J44" s="5">
        <v>8589442.5999999996</v>
      </c>
      <c r="K44" s="5" t="s">
        <v>16</v>
      </c>
      <c r="L44" s="5" t="s">
        <v>108</v>
      </c>
      <c r="M44" s="5">
        <v>664</v>
      </c>
    </row>
    <row r="45" spans="1:13" x14ac:dyDescent="0.3">
      <c r="A45" s="4" t="s">
        <v>175</v>
      </c>
      <c r="B45" s="4" t="s">
        <v>176</v>
      </c>
      <c r="C45" s="4">
        <v>24</v>
      </c>
      <c r="D45" s="4" t="s">
        <v>18</v>
      </c>
      <c r="E45" s="4">
        <v>990000</v>
      </c>
      <c r="F45" s="3">
        <v>7.4999999999999997E-2</v>
      </c>
      <c r="G45" s="4">
        <v>12</v>
      </c>
      <c r="H45" s="4" t="s">
        <v>177</v>
      </c>
      <c r="I45" s="4">
        <v>85889.84</v>
      </c>
      <c r="J45" s="4">
        <v>1030678.11</v>
      </c>
      <c r="K45" s="4" t="s">
        <v>20</v>
      </c>
      <c r="L45" s="4" t="s">
        <v>64</v>
      </c>
      <c r="M45" s="4">
        <v>792</v>
      </c>
    </row>
    <row r="46" spans="1:13" x14ac:dyDescent="0.3">
      <c r="A46" s="5" t="s">
        <v>178</v>
      </c>
      <c r="B46" s="5" t="s">
        <v>179</v>
      </c>
      <c r="C46" s="5">
        <v>45</v>
      </c>
      <c r="D46" s="5" t="s">
        <v>42</v>
      </c>
      <c r="E46" s="5">
        <v>470000</v>
      </c>
      <c r="F46" s="35">
        <v>0.13</v>
      </c>
      <c r="G46" s="5">
        <v>240</v>
      </c>
      <c r="H46" s="5" t="s">
        <v>180</v>
      </c>
      <c r="I46" s="5">
        <v>5506.41</v>
      </c>
      <c r="J46" s="5">
        <v>1321537.3999999999</v>
      </c>
      <c r="K46" s="5" t="s">
        <v>20</v>
      </c>
      <c r="L46" s="5" t="s">
        <v>29</v>
      </c>
      <c r="M46" s="5">
        <v>841</v>
      </c>
    </row>
    <row r="47" spans="1:13" x14ac:dyDescent="0.3">
      <c r="A47" s="4" t="s">
        <v>181</v>
      </c>
      <c r="B47" s="4" t="s">
        <v>182</v>
      </c>
      <c r="C47" s="4">
        <v>34</v>
      </c>
      <c r="D47" s="4" t="s">
        <v>15</v>
      </c>
      <c r="E47" s="4">
        <v>1630000</v>
      </c>
      <c r="F47" s="3">
        <v>8.5000000000000006E-2</v>
      </c>
      <c r="G47" s="4">
        <v>36</v>
      </c>
      <c r="H47" s="4" t="s">
        <v>183</v>
      </c>
      <c r="I47" s="4">
        <v>51455.09</v>
      </c>
      <c r="J47" s="4">
        <v>1852383.1</v>
      </c>
      <c r="K47" s="4" t="s">
        <v>20</v>
      </c>
      <c r="L47" s="4" t="s">
        <v>108</v>
      </c>
      <c r="M47" s="4">
        <v>831</v>
      </c>
    </row>
    <row r="48" spans="1:13" x14ac:dyDescent="0.3">
      <c r="A48" s="5" t="s">
        <v>184</v>
      </c>
      <c r="B48" s="5" t="s">
        <v>185</v>
      </c>
      <c r="C48" s="5">
        <v>29</v>
      </c>
      <c r="D48" s="5" t="s">
        <v>23</v>
      </c>
      <c r="E48" s="5">
        <v>3230000</v>
      </c>
      <c r="F48" s="35">
        <v>0.13</v>
      </c>
      <c r="G48" s="5">
        <v>24</v>
      </c>
      <c r="H48" s="5" t="s">
        <v>186</v>
      </c>
      <c r="I48" s="5">
        <v>153560.09</v>
      </c>
      <c r="J48" s="5">
        <v>3685442.09</v>
      </c>
      <c r="K48" s="5" t="s">
        <v>20</v>
      </c>
      <c r="L48" s="5" t="s">
        <v>187</v>
      </c>
      <c r="M48" s="5">
        <v>848</v>
      </c>
    </row>
    <row r="49" spans="1:13" x14ac:dyDescent="0.3">
      <c r="A49" s="4" t="s">
        <v>188</v>
      </c>
      <c r="B49" s="4" t="s">
        <v>189</v>
      </c>
      <c r="C49" s="4">
        <v>46</v>
      </c>
      <c r="D49" s="4" t="s">
        <v>18</v>
      </c>
      <c r="E49" s="4">
        <v>1570000</v>
      </c>
      <c r="F49" s="3">
        <v>7.4999999999999997E-2</v>
      </c>
      <c r="G49" s="4">
        <v>84</v>
      </c>
      <c r="H49" s="4" t="s">
        <v>190</v>
      </c>
      <c r="I49" s="4">
        <v>24081.09</v>
      </c>
      <c r="J49" s="4">
        <v>2022811.82</v>
      </c>
      <c r="K49" s="4" t="s">
        <v>16</v>
      </c>
      <c r="L49" s="4" t="s">
        <v>191</v>
      </c>
      <c r="M49" s="4">
        <v>832</v>
      </c>
    </row>
    <row r="50" spans="1:13" x14ac:dyDescent="0.3">
      <c r="A50" s="5" t="s">
        <v>192</v>
      </c>
      <c r="B50" s="5" t="s">
        <v>193</v>
      </c>
      <c r="C50" s="5">
        <v>22</v>
      </c>
      <c r="D50" s="5" t="s">
        <v>42</v>
      </c>
      <c r="E50" s="5">
        <v>1030000</v>
      </c>
      <c r="F50" s="35">
        <v>8.5000000000000006E-2</v>
      </c>
      <c r="G50" s="5">
        <v>12</v>
      </c>
      <c r="H50" s="5" t="s">
        <v>194</v>
      </c>
      <c r="I50" s="5">
        <v>89836.38</v>
      </c>
      <c r="J50" s="5">
        <v>1078036.51</v>
      </c>
      <c r="K50" s="5" t="s">
        <v>16</v>
      </c>
      <c r="L50" s="5" t="s">
        <v>48</v>
      </c>
      <c r="M50" s="5">
        <v>618</v>
      </c>
    </row>
    <row r="51" spans="1:13" x14ac:dyDescent="0.3">
      <c r="A51" s="4" t="s">
        <v>195</v>
      </c>
      <c r="B51" s="4" t="s">
        <v>196</v>
      </c>
      <c r="C51" s="4">
        <v>40</v>
      </c>
      <c r="D51" s="4" t="s">
        <v>27</v>
      </c>
      <c r="E51" s="4">
        <v>220000</v>
      </c>
      <c r="F51" s="3">
        <v>0.11</v>
      </c>
      <c r="G51" s="4">
        <v>120</v>
      </c>
      <c r="H51" s="4" t="s">
        <v>197</v>
      </c>
      <c r="I51" s="4">
        <v>3030.5</v>
      </c>
      <c r="J51" s="4">
        <v>363660.03</v>
      </c>
      <c r="K51" s="4" t="s">
        <v>20</v>
      </c>
      <c r="L51" s="4" t="s">
        <v>90</v>
      </c>
      <c r="M51" s="4">
        <v>697</v>
      </c>
    </row>
    <row r="52" spans="1:13" x14ac:dyDescent="0.3">
      <c r="A52" s="5" t="s">
        <v>198</v>
      </c>
      <c r="B52" s="5" t="s">
        <v>199</v>
      </c>
      <c r="C52" s="5">
        <v>48</v>
      </c>
      <c r="D52" s="5" t="s">
        <v>15</v>
      </c>
      <c r="E52" s="5">
        <v>570000</v>
      </c>
      <c r="F52" s="35">
        <v>0.1</v>
      </c>
      <c r="G52" s="5">
        <v>60</v>
      </c>
      <c r="H52" s="5" t="s">
        <v>200</v>
      </c>
      <c r="I52" s="5">
        <v>12110.82</v>
      </c>
      <c r="J52" s="5">
        <v>726648.93</v>
      </c>
      <c r="K52" s="5" t="s">
        <v>16</v>
      </c>
      <c r="L52" s="5" t="s">
        <v>201</v>
      </c>
      <c r="M52" s="5">
        <v>560</v>
      </c>
    </row>
    <row r="53" spans="1:13" x14ac:dyDescent="0.3">
      <c r="A53" s="4" t="s">
        <v>202</v>
      </c>
      <c r="B53" s="4" t="s">
        <v>203</v>
      </c>
      <c r="C53" s="4">
        <v>27</v>
      </c>
      <c r="D53" s="4" t="s">
        <v>42</v>
      </c>
      <c r="E53" s="4">
        <v>1430000</v>
      </c>
      <c r="F53" s="3">
        <v>0.115</v>
      </c>
      <c r="G53" s="4">
        <v>240</v>
      </c>
      <c r="H53" s="4" t="s">
        <v>204</v>
      </c>
      <c r="I53" s="4">
        <v>15249.94</v>
      </c>
      <c r="J53" s="4">
        <v>3659986.5</v>
      </c>
      <c r="K53" s="4" t="s">
        <v>60</v>
      </c>
      <c r="L53" s="4" t="s">
        <v>205</v>
      </c>
      <c r="M53" s="4">
        <v>803</v>
      </c>
    </row>
    <row r="54" spans="1:13" x14ac:dyDescent="0.3">
      <c r="A54" s="5" t="s">
        <v>206</v>
      </c>
      <c r="B54" s="5" t="s">
        <v>207</v>
      </c>
      <c r="C54" s="5">
        <v>64</v>
      </c>
      <c r="D54" s="5" t="s">
        <v>15</v>
      </c>
      <c r="E54" s="5">
        <v>1020000</v>
      </c>
      <c r="F54" s="35">
        <v>0.115</v>
      </c>
      <c r="G54" s="5">
        <v>12</v>
      </c>
      <c r="H54" s="5" t="s">
        <v>208</v>
      </c>
      <c r="I54" s="5">
        <v>90387.35</v>
      </c>
      <c r="J54" s="5">
        <v>1084648.26</v>
      </c>
      <c r="K54" s="5" t="s">
        <v>20</v>
      </c>
      <c r="L54" s="5" t="s">
        <v>34</v>
      </c>
      <c r="M54" s="5">
        <v>879</v>
      </c>
    </row>
    <row r="55" spans="1:13" x14ac:dyDescent="0.3">
      <c r="A55" s="4" t="s">
        <v>209</v>
      </c>
      <c r="B55" s="4" t="s">
        <v>210</v>
      </c>
      <c r="C55" s="4">
        <v>28</v>
      </c>
      <c r="D55" s="4" t="s">
        <v>42</v>
      </c>
      <c r="E55" s="4">
        <v>1410000</v>
      </c>
      <c r="F55" s="3">
        <v>0.13</v>
      </c>
      <c r="G55" s="4">
        <v>12</v>
      </c>
      <c r="H55" s="4" t="s">
        <v>211</v>
      </c>
      <c r="I55" s="4">
        <v>125937.36</v>
      </c>
      <c r="J55" s="4">
        <v>1511248.31</v>
      </c>
      <c r="K55" s="4" t="s">
        <v>20</v>
      </c>
      <c r="L55" s="4" t="s">
        <v>212</v>
      </c>
      <c r="M55" s="4">
        <v>587</v>
      </c>
    </row>
    <row r="56" spans="1:13" x14ac:dyDescent="0.3">
      <c r="A56" s="5" t="s">
        <v>213</v>
      </c>
      <c r="B56" s="5" t="s">
        <v>214</v>
      </c>
      <c r="C56" s="5">
        <v>55</v>
      </c>
      <c r="D56" s="5" t="s">
        <v>37</v>
      </c>
      <c r="E56" s="5">
        <v>1570000</v>
      </c>
      <c r="F56" s="35">
        <v>9.5000000000000001E-2</v>
      </c>
      <c r="G56" s="5">
        <v>24</v>
      </c>
      <c r="H56" s="5" t="s">
        <v>215</v>
      </c>
      <c r="I56" s="5">
        <v>72085.75</v>
      </c>
      <c r="J56" s="5">
        <v>1730058.1</v>
      </c>
      <c r="K56" s="5" t="s">
        <v>16</v>
      </c>
      <c r="L56" s="5" t="s">
        <v>34</v>
      </c>
      <c r="M56" s="5">
        <v>683</v>
      </c>
    </row>
    <row r="57" spans="1:13" x14ac:dyDescent="0.3">
      <c r="A57" s="4" t="s">
        <v>216</v>
      </c>
      <c r="B57" s="4" t="s">
        <v>217</v>
      </c>
      <c r="C57" s="4">
        <v>34</v>
      </c>
      <c r="D57" s="4" t="s">
        <v>27</v>
      </c>
      <c r="E57" s="4">
        <v>860000</v>
      </c>
      <c r="F57" s="3">
        <v>8.5000000000000006E-2</v>
      </c>
      <c r="G57" s="4">
        <v>12</v>
      </c>
      <c r="H57" s="4" t="s">
        <v>218</v>
      </c>
      <c r="I57" s="4">
        <v>75009.009999999995</v>
      </c>
      <c r="J57" s="4">
        <v>900108.15</v>
      </c>
      <c r="K57" s="4" t="s">
        <v>60</v>
      </c>
      <c r="L57" s="4" t="s">
        <v>143</v>
      </c>
      <c r="M57" s="4">
        <v>749</v>
      </c>
    </row>
    <row r="58" spans="1:13" x14ac:dyDescent="0.3">
      <c r="A58" s="5" t="s">
        <v>219</v>
      </c>
      <c r="B58" s="5" t="s">
        <v>220</v>
      </c>
      <c r="C58" s="5">
        <v>37</v>
      </c>
      <c r="D58" s="5" t="s">
        <v>23</v>
      </c>
      <c r="E58" s="5">
        <v>4740000</v>
      </c>
      <c r="F58" s="35">
        <v>0.1</v>
      </c>
      <c r="G58" s="5">
        <v>12</v>
      </c>
      <c r="H58" s="5" t="s">
        <v>221</v>
      </c>
      <c r="I58" s="5">
        <v>416721.31</v>
      </c>
      <c r="J58" s="5">
        <v>5000655.67</v>
      </c>
      <c r="K58" s="5" t="s">
        <v>16</v>
      </c>
      <c r="L58" s="5" t="s">
        <v>222</v>
      </c>
      <c r="M58" s="5">
        <v>572</v>
      </c>
    </row>
    <row r="59" spans="1:13" x14ac:dyDescent="0.3">
      <c r="A59" s="4" t="s">
        <v>223</v>
      </c>
      <c r="B59" s="4" t="s">
        <v>224</v>
      </c>
      <c r="C59" s="4">
        <v>56</v>
      </c>
      <c r="D59" s="4" t="s">
        <v>42</v>
      </c>
      <c r="E59" s="4">
        <v>310000</v>
      </c>
      <c r="F59" s="3">
        <v>8.5000000000000006E-2</v>
      </c>
      <c r="G59" s="4">
        <v>24</v>
      </c>
      <c r="H59" s="4" t="s">
        <v>225</v>
      </c>
      <c r="I59" s="4">
        <v>14091.26</v>
      </c>
      <c r="J59" s="4">
        <v>338190.22</v>
      </c>
      <c r="K59" s="4" t="s">
        <v>16</v>
      </c>
      <c r="L59" s="4" t="s">
        <v>226</v>
      </c>
      <c r="M59" s="4">
        <v>852</v>
      </c>
    </row>
    <row r="60" spans="1:13" x14ac:dyDescent="0.3">
      <c r="A60" s="5" t="s">
        <v>227</v>
      </c>
      <c r="B60" s="5" t="s">
        <v>228</v>
      </c>
      <c r="C60" s="5">
        <v>60</v>
      </c>
      <c r="D60" s="5" t="s">
        <v>15</v>
      </c>
      <c r="E60" s="5">
        <v>1790000</v>
      </c>
      <c r="F60" s="35">
        <v>0.13</v>
      </c>
      <c r="G60" s="5">
        <v>120</v>
      </c>
      <c r="H60" s="5" t="s">
        <v>229</v>
      </c>
      <c r="I60" s="5">
        <v>26726.62</v>
      </c>
      <c r="J60" s="5">
        <v>3207194.69</v>
      </c>
      <c r="K60" s="5" t="s">
        <v>16</v>
      </c>
      <c r="L60" s="5" t="s">
        <v>201</v>
      </c>
      <c r="M60" s="5">
        <v>895</v>
      </c>
    </row>
    <row r="61" spans="1:13" x14ac:dyDescent="0.3">
      <c r="A61" s="4" t="s">
        <v>230</v>
      </c>
      <c r="B61" s="4" t="s">
        <v>231</v>
      </c>
      <c r="C61" s="4">
        <v>24</v>
      </c>
      <c r="D61" s="4" t="s">
        <v>27</v>
      </c>
      <c r="E61" s="4">
        <v>120000</v>
      </c>
      <c r="F61" s="3">
        <v>9.5000000000000001E-2</v>
      </c>
      <c r="G61" s="4">
        <v>180</v>
      </c>
      <c r="H61" s="4" t="s">
        <v>232</v>
      </c>
      <c r="I61" s="4">
        <v>1253.07</v>
      </c>
      <c r="J61" s="4">
        <v>225552.53</v>
      </c>
      <c r="K61" s="4" t="s">
        <v>20</v>
      </c>
      <c r="L61" s="4" t="s">
        <v>132</v>
      </c>
      <c r="M61" s="4">
        <v>851</v>
      </c>
    </row>
    <row r="62" spans="1:13" x14ac:dyDescent="0.3">
      <c r="A62" s="5" t="s">
        <v>233</v>
      </c>
      <c r="B62" s="5" t="s">
        <v>234</v>
      </c>
      <c r="C62" s="5">
        <v>22</v>
      </c>
      <c r="D62" s="5" t="s">
        <v>23</v>
      </c>
      <c r="E62" s="5">
        <v>6010000</v>
      </c>
      <c r="F62" s="35">
        <v>0.13</v>
      </c>
      <c r="G62" s="5">
        <v>120</v>
      </c>
      <c r="H62" s="5" t="s">
        <v>235</v>
      </c>
      <c r="I62" s="5">
        <v>89735.75</v>
      </c>
      <c r="J62" s="5">
        <v>10768290.57</v>
      </c>
      <c r="K62" s="5" t="s">
        <v>20</v>
      </c>
      <c r="L62" s="5" t="s">
        <v>82</v>
      </c>
      <c r="M62" s="5">
        <v>767</v>
      </c>
    </row>
    <row r="63" spans="1:13" x14ac:dyDescent="0.3">
      <c r="A63" s="4" t="s">
        <v>236</v>
      </c>
      <c r="B63" s="4" t="s">
        <v>237</v>
      </c>
      <c r="C63" s="4">
        <v>26</v>
      </c>
      <c r="D63" s="4" t="s">
        <v>15</v>
      </c>
      <c r="E63" s="4">
        <v>1170000</v>
      </c>
      <c r="F63" s="3">
        <v>0.08</v>
      </c>
      <c r="G63" s="4">
        <v>24</v>
      </c>
      <c r="H63" s="4" t="s">
        <v>238</v>
      </c>
      <c r="I63" s="4">
        <v>52915.93</v>
      </c>
      <c r="J63" s="4">
        <v>1269982.3400000001</v>
      </c>
      <c r="K63" s="4" t="s">
        <v>20</v>
      </c>
      <c r="L63" s="4" t="s">
        <v>52</v>
      </c>
      <c r="M63" s="4">
        <v>690</v>
      </c>
    </row>
    <row r="64" spans="1:13" x14ac:dyDescent="0.3">
      <c r="A64" s="5" t="s">
        <v>239</v>
      </c>
      <c r="B64" s="5" t="s">
        <v>240</v>
      </c>
      <c r="C64" s="5">
        <v>62</v>
      </c>
      <c r="D64" s="5" t="s">
        <v>27</v>
      </c>
      <c r="E64" s="5">
        <v>810000</v>
      </c>
      <c r="F64" s="35">
        <v>7.4999999999999997E-2</v>
      </c>
      <c r="G64" s="5">
        <v>240</v>
      </c>
      <c r="H64" s="5" t="s">
        <v>241</v>
      </c>
      <c r="I64" s="5">
        <v>6525.3</v>
      </c>
      <c r="J64" s="5">
        <v>1566073.17</v>
      </c>
      <c r="K64" s="5" t="s">
        <v>20</v>
      </c>
      <c r="L64" s="5" t="s">
        <v>159</v>
      </c>
      <c r="M64" s="5">
        <v>653</v>
      </c>
    </row>
    <row r="65" spans="1:13" x14ac:dyDescent="0.3">
      <c r="A65" s="4" t="s">
        <v>242</v>
      </c>
      <c r="B65" s="4" t="s">
        <v>41</v>
      </c>
      <c r="C65" s="4">
        <v>24</v>
      </c>
      <c r="D65" s="4" t="s">
        <v>15</v>
      </c>
      <c r="E65" s="4">
        <v>1710000</v>
      </c>
      <c r="F65" s="3">
        <v>0.1</v>
      </c>
      <c r="G65" s="4">
        <v>60</v>
      </c>
      <c r="H65" s="4" t="s">
        <v>24</v>
      </c>
      <c r="I65" s="4">
        <v>36332.449999999997</v>
      </c>
      <c r="J65" s="4">
        <v>2179946.79</v>
      </c>
      <c r="K65" s="4" t="s">
        <v>20</v>
      </c>
      <c r="L65" s="4" t="s">
        <v>52</v>
      </c>
      <c r="M65" s="4">
        <v>759</v>
      </c>
    </row>
    <row r="66" spans="1:13" x14ac:dyDescent="0.3">
      <c r="A66" s="5" t="s">
        <v>243</v>
      </c>
      <c r="B66" s="5" t="s">
        <v>244</v>
      </c>
      <c r="C66" s="5">
        <v>49</v>
      </c>
      <c r="D66" s="5" t="s">
        <v>18</v>
      </c>
      <c r="E66" s="5">
        <v>1340000</v>
      </c>
      <c r="F66" s="35">
        <v>0.105</v>
      </c>
      <c r="G66" s="5">
        <v>180</v>
      </c>
      <c r="H66" s="5" t="s">
        <v>245</v>
      </c>
      <c r="I66" s="5">
        <v>14812.35</v>
      </c>
      <c r="J66" s="5">
        <v>2666222.2000000002</v>
      </c>
      <c r="K66" s="5" t="s">
        <v>16</v>
      </c>
      <c r="L66" s="5" t="s">
        <v>104</v>
      </c>
      <c r="M66" s="5">
        <v>660</v>
      </c>
    </row>
    <row r="67" spans="1:13" x14ac:dyDescent="0.3">
      <c r="A67" s="4" t="s">
        <v>246</v>
      </c>
      <c r="B67" s="4" t="s">
        <v>247</v>
      </c>
      <c r="C67" s="4">
        <v>38</v>
      </c>
      <c r="D67" s="4" t="s">
        <v>32</v>
      </c>
      <c r="E67" s="4">
        <v>270000</v>
      </c>
      <c r="F67" s="3">
        <v>9.5000000000000001E-2</v>
      </c>
      <c r="G67" s="4">
        <v>36</v>
      </c>
      <c r="H67" s="4" t="s">
        <v>248</v>
      </c>
      <c r="I67" s="4">
        <v>8648.9</v>
      </c>
      <c r="J67" s="4">
        <v>311360.27</v>
      </c>
      <c r="K67" s="4" t="s">
        <v>16</v>
      </c>
      <c r="L67" s="4" t="s">
        <v>249</v>
      </c>
      <c r="M67" s="4">
        <v>653</v>
      </c>
    </row>
    <row r="68" spans="1:13" x14ac:dyDescent="0.3">
      <c r="A68" s="5" t="s">
        <v>250</v>
      </c>
      <c r="B68" s="5" t="s">
        <v>251</v>
      </c>
      <c r="C68" s="5">
        <v>46</v>
      </c>
      <c r="D68" s="5" t="s">
        <v>32</v>
      </c>
      <c r="E68" s="5">
        <v>330000</v>
      </c>
      <c r="F68" s="35">
        <v>0.115</v>
      </c>
      <c r="G68" s="5">
        <v>48</v>
      </c>
      <c r="H68" s="5" t="s">
        <v>252</v>
      </c>
      <c r="I68" s="5">
        <v>8609.3700000000008</v>
      </c>
      <c r="J68" s="5">
        <v>413249.9</v>
      </c>
      <c r="K68" s="5" t="s">
        <v>20</v>
      </c>
      <c r="L68" s="5" t="s">
        <v>155</v>
      </c>
      <c r="M68" s="5">
        <v>865</v>
      </c>
    </row>
    <row r="69" spans="1:13" x14ac:dyDescent="0.3">
      <c r="A69" s="4" t="s">
        <v>253</v>
      </c>
      <c r="B69" s="4" t="s">
        <v>254</v>
      </c>
      <c r="C69" s="4">
        <v>64</v>
      </c>
      <c r="D69" s="4" t="s">
        <v>27</v>
      </c>
      <c r="E69" s="4">
        <v>500000</v>
      </c>
      <c r="F69" s="3">
        <v>0.08</v>
      </c>
      <c r="G69" s="4">
        <v>12</v>
      </c>
      <c r="H69" s="4" t="s">
        <v>255</v>
      </c>
      <c r="I69" s="4">
        <v>43494.21</v>
      </c>
      <c r="J69" s="4">
        <v>521930.57</v>
      </c>
      <c r="K69" s="4" t="s">
        <v>60</v>
      </c>
      <c r="L69" s="4" t="s">
        <v>25</v>
      </c>
      <c r="M69" s="4">
        <v>720</v>
      </c>
    </row>
    <row r="70" spans="1:13" x14ac:dyDescent="0.3">
      <c r="A70" s="5" t="s">
        <v>256</v>
      </c>
      <c r="B70" s="5" t="s">
        <v>257</v>
      </c>
      <c r="C70" s="5">
        <v>54</v>
      </c>
      <c r="D70" s="5" t="s">
        <v>18</v>
      </c>
      <c r="E70" s="5">
        <v>1930000</v>
      </c>
      <c r="F70" s="35">
        <v>9.5000000000000001E-2</v>
      </c>
      <c r="G70" s="5">
        <v>60</v>
      </c>
      <c r="H70" s="5" t="s">
        <v>258</v>
      </c>
      <c r="I70" s="5">
        <v>40533.589999999997</v>
      </c>
      <c r="J70" s="5">
        <v>2432015.54</v>
      </c>
      <c r="K70" s="5" t="s">
        <v>16</v>
      </c>
      <c r="L70" s="5" t="s">
        <v>119</v>
      </c>
      <c r="M70" s="5">
        <v>873</v>
      </c>
    </row>
    <row r="71" spans="1:13" x14ac:dyDescent="0.3">
      <c r="A71" s="4" t="s">
        <v>259</v>
      </c>
      <c r="B71" s="4" t="s">
        <v>260</v>
      </c>
      <c r="C71" s="4">
        <v>30</v>
      </c>
      <c r="D71" s="4" t="s">
        <v>23</v>
      </c>
      <c r="E71" s="4">
        <v>4850000</v>
      </c>
      <c r="F71" s="3">
        <v>0.13</v>
      </c>
      <c r="G71" s="4">
        <v>120</v>
      </c>
      <c r="H71" s="4" t="s">
        <v>261</v>
      </c>
      <c r="I71" s="4">
        <v>72415.710000000006</v>
      </c>
      <c r="J71" s="4">
        <v>8689885.0700000003</v>
      </c>
      <c r="K71" s="4" t="s">
        <v>16</v>
      </c>
      <c r="L71" s="4" t="s">
        <v>48</v>
      </c>
      <c r="M71" s="4">
        <v>682</v>
      </c>
    </row>
    <row r="72" spans="1:13" x14ac:dyDescent="0.3">
      <c r="A72" s="5" t="s">
        <v>262</v>
      </c>
      <c r="B72" s="5" t="s">
        <v>263</v>
      </c>
      <c r="C72" s="5">
        <v>56</v>
      </c>
      <c r="D72" s="5" t="s">
        <v>23</v>
      </c>
      <c r="E72" s="5">
        <v>5150000</v>
      </c>
      <c r="F72" s="35">
        <v>0.12</v>
      </c>
      <c r="G72" s="5">
        <v>24</v>
      </c>
      <c r="H72" s="5" t="s">
        <v>264</v>
      </c>
      <c r="I72" s="5">
        <v>242428.38</v>
      </c>
      <c r="J72" s="5">
        <v>5818281.1699999999</v>
      </c>
      <c r="K72" s="5" t="s">
        <v>16</v>
      </c>
      <c r="L72" s="5" t="s">
        <v>64</v>
      </c>
      <c r="M72" s="5">
        <v>842</v>
      </c>
    </row>
    <row r="73" spans="1:13" x14ac:dyDescent="0.3">
      <c r="A73" s="4" t="s">
        <v>265</v>
      </c>
      <c r="B73" s="4" t="s">
        <v>266</v>
      </c>
      <c r="C73" s="4">
        <v>34</v>
      </c>
      <c r="D73" s="4" t="s">
        <v>15</v>
      </c>
      <c r="E73" s="4">
        <v>1170000</v>
      </c>
      <c r="F73" s="3">
        <v>0.125</v>
      </c>
      <c r="G73" s="4">
        <v>240</v>
      </c>
      <c r="H73" s="4" t="s">
        <v>267</v>
      </c>
      <c r="I73" s="4">
        <v>13292.84</v>
      </c>
      <c r="J73" s="4">
        <v>3190282.66</v>
      </c>
      <c r="K73" s="4" t="s">
        <v>16</v>
      </c>
      <c r="L73" s="4" t="s">
        <v>21</v>
      </c>
      <c r="M73" s="4">
        <v>877</v>
      </c>
    </row>
    <row r="74" spans="1:13" x14ac:dyDescent="0.3">
      <c r="A74" s="5" t="s">
        <v>268</v>
      </c>
      <c r="B74" s="5" t="s">
        <v>269</v>
      </c>
      <c r="C74" s="5">
        <v>51</v>
      </c>
      <c r="D74" s="5" t="s">
        <v>27</v>
      </c>
      <c r="E74" s="5">
        <v>460000</v>
      </c>
      <c r="F74" s="35">
        <v>0.08</v>
      </c>
      <c r="G74" s="5">
        <v>60</v>
      </c>
      <c r="H74" s="5" t="s">
        <v>270</v>
      </c>
      <c r="I74" s="5">
        <v>9327.14</v>
      </c>
      <c r="J74" s="5">
        <v>559628.48</v>
      </c>
      <c r="K74" s="5" t="s">
        <v>16</v>
      </c>
      <c r="L74" s="5" t="s">
        <v>29</v>
      </c>
      <c r="M74" s="5">
        <v>676</v>
      </c>
    </row>
    <row r="75" spans="1:13" x14ac:dyDescent="0.3">
      <c r="A75" s="4" t="s">
        <v>271</v>
      </c>
      <c r="B75" s="4" t="s">
        <v>272</v>
      </c>
      <c r="C75" s="4">
        <v>35</v>
      </c>
      <c r="D75" s="4" t="s">
        <v>18</v>
      </c>
      <c r="E75" s="4">
        <v>530000</v>
      </c>
      <c r="F75" s="3">
        <v>0.11</v>
      </c>
      <c r="G75" s="4">
        <v>36</v>
      </c>
      <c r="H75" s="4" t="s">
        <v>273</v>
      </c>
      <c r="I75" s="4">
        <v>17351.52</v>
      </c>
      <c r="J75" s="4">
        <v>624654.72</v>
      </c>
      <c r="K75" s="4" t="s">
        <v>16</v>
      </c>
      <c r="L75" s="4" t="s">
        <v>187</v>
      </c>
      <c r="M75" s="4">
        <v>655</v>
      </c>
    </row>
    <row r="76" spans="1:13" x14ac:dyDescent="0.3">
      <c r="A76" s="5" t="s">
        <v>274</v>
      </c>
      <c r="B76" s="5" t="s">
        <v>275</v>
      </c>
      <c r="C76" s="5">
        <v>28</v>
      </c>
      <c r="D76" s="5" t="s">
        <v>42</v>
      </c>
      <c r="E76" s="5">
        <v>880000</v>
      </c>
      <c r="F76" s="35">
        <v>0.11</v>
      </c>
      <c r="G76" s="5">
        <v>120</v>
      </c>
      <c r="H76" s="5" t="s">
        <v>276</v>
      </c>
      <c r="I76" s="5">
        <v>12122</v>
      </c>
      <c r="J76" s="5">
        <v>1454640.12</v>
      </c>
      <c r="K76" s="5" t="s">
        <v>20</v>
      </c>
      <c r="L76" s="5" t="s">
        <v>90</v>
      </c>
      <c r="M76" s="5">
        <v>641</v>
      </c>
    </row>
    <row r="77" spans="1:13" x14ac:dyDescent="0.3">
      <c r="A77" s="4" t="s">
        <v>277</v>
      </c>
      <c r="B77" s="4" t="s">
        <v>278</v>
      </c>
      <c r="C77" s="4">
        <v>34</v>
      </c>
      <c r="D77" s="4" t="s">
        <v>32</v>
      </c>
      <c r="E77" s="4">
        <v>150000</v>
      </c>
      <c r="F77" s="3">
        <v>0.115</v>
      </c>
      <c r="G77" s="4">
        <v>24</v>
      </c>
      <c r="H77" s="4" t="s">
        <v>279</v>
      </c>
      <c r="I77" s="4">
        <v>7026.05</v>
      </c>
      <c r="J77" s="4">
        <v>168625.14</v>
      </c>
      <c r="K77" s="4" t="s">
        <v>16</v>
      </c>
      <c r="L77" s="4" t="s">
        <v>205</v>
      </c>
      <c r="M77" s="4">
        <v>836</v>
      </c>
    </row>
    <row r="78" spans="1:13" x14ac:dyDescent="0.3">
      <c r="A78" s="5" t="s">
        <v>280</v>
      </c>
      <c r="B78" s="5" t="s">
        <v>281</v>
      </c>
      <c r="C78" s="5">
        <v>43</v>
      </c>
      <c r="D78" s="5" t="s">
        <v>18</v>
      </c>
      <c r="E78" s="5">
        <v>1720000</v>
      </c>
      <c r="F78" s="35">
        <v>0.1</v>
      </c>
      <c r="G78" s="5">
        <v>240</v>
      </c>
      <c r="H78" s="5" t="s">
        <v>282</v>
      </c>
      <c r="I78" s="5">
        <v>16598.37</v>
      </c>
      <c r="J78" s="5">
        <v>3983609.35</v>
      </c>
      <c r="K78" s="5" t="s">
        <v>16</v>
      </c>
      <c r="L78" s="5" t="s">
        <v>56</v>
      </c>
      <c r="M78" s="5">
        <v>600</v>
      </c>
    </row>
    <row r="79" spans="1:13" x14ac:dyDescent="0.3">
      <c r="A79" s="4" t="s">
        <v>283</v>
      </c>
      <c r="B79" s="4" t="s">
        <v>284</v>
      </c>
      <c r="C79" s="4">
        <v>60</v>
      </c>
      <c r="D79" s="4" t="s">
        <v>23</v>
      </c>
      <c r="E79" s="4">
        <v>2890000</v>
      </c>
      <c r="F79" s="3">
        <v>7.4999999999999997E-2</v>
      </c>
      <c r="G79" s="4">
        <v>24</v>
      </c>
      <c r="H79" s="4" t="s">
        <v>285</v>
      </c>
      <c r="I79" s="4">
        <v>130048.82</v>
      </c>
      <c r="J79" s="4">
        <v>3121171.75</v>
      </c>
      <c r="K79" s="4" t="s">
        <v>20</v>
      </c>
      <c r="L79" s="4" t="s">
        <v>68</v>
      </c>
      <c r="M79" s="4">
        <v>578</v>
      </c>
    </row>
    <row r="80" spans="1:13" x14ac:dyDescent="0.3">
      <c r="A80" s="5" t="s">
        <v>286</v>
      </c>
      <c r="B80" s="5" t="s">
        <v>287</v>
      </c>
      <c r="C80" s="5">
        <v>41</v>
      </c>
      <c r="D80" s="5" t="s">
        <v>18</v>
      </c>
      <c r="E80" s="5">
        <v>270000</v>
      </c>
      <c r="F80" s="35">
        <v>0.11</v>
      </c>
      <c r="G80" s="5">
        <v>60</v>
      </c>
      <c r="H80" s="5" t="s">
        <v>288</v>
      </c>
      <c r="I80" s="5">
        <v>5870.45</v>
      </c>
      <c r="J80" s="5">
        <v>352227.25</v>
      </c>
      <c r="K80" s="5" t="s">
        <v>16</v>
      </c>
      <c r="L80" s="5" t="s">
        <v>21</v>
      </c>
      <c r="M80" s="5">
        <v>845</v>
      </c>
    </row>
    <row r="81" spans="1:13" x14ac:dyDescent="0.3">
      <c r="A81" s="4" t="s">
        <v>289</v>
      </c>
      <c r="B81" s="4" t="s">
        <v>290</v>
      </c>
      <c r="C81" s="4">
        <v>36</v>
      </c>
      <c r="D81" s="4" t="s">
        <v>32</v>
      </c>
      <c r="E81" s="4">
        <v>470000</v>
      </c>
      <c r="F81" s="3">
        <v>0.12</v>
      </c>
      <c r="G81" s="4">
        <v>24</v>
      </c>
      <c r="H81" s="4" t="s">
        <v>291</v>
      </c>
      <c r="I81" s="4">
        <v>22124.53</v>
      </c>
      <c r="J81" s="4">
        <v>530988.77</v>
      </c>
      <c r="K81" s="4" t="s">
        <v>20</v>
      </c>
      <c r="L81" s="4" t="s">
        <v>48</v>
      </c>
      <c r="M81" s="4">
        <v>846</v>
      </c>
    </row>
    <row r="82" spans="1:13" x14ac:dyDescent="0.3">
      <c r="A82" s="5" t="s">
        <v>292</v>
      </c>
      <c r="B82" s="5" t="s">
        <v>96</v>
      </c>
      <c r="C82" s="5">
        <v>38</v>
      </c>
      <c r="D82" s="5" t="s">
        <v>42</v>
      </c>
      <c r="E82" s="5">
        <v>1180000</v>
      </c>
      <c r="F82" s="35">
        <v>8.5000000000000006E-2</v>
      </c>
      <c r="G82" s="5">
        <v>24</v>
      </c>
      <c r="H82" s="5" t="s">
        <v>293</v>
      </c>
      <c r="I82" s="5">
        <v>53637.7</v>
      </c>
      <c r="J82" s="5">
        <v>1287304.71</v>
      </c>
      <c r="K82" s="5" t="s">
        <v>20</v>
      </c>
      <c r="L82" s="5" t="s">
        <v>191</v>
      </c>
      <c r="M82" s="5">
        <v>763</v>
      </c>
    </row>
    <row r="83" spans="1:13" x14ac:dyDescent="0.3">
      <c r="A83" s="4" t="s">
        <v>294</v>
      </c>
      <c r="B83" s="4" t="s">
        <v>295</v>
      </c>
      <c r="C83" s="4">
        <v>44</v>
      </c>
      <c r="D83" s="4" t="s">
        <v>42</v>
      </c>
      <c r="E83" s="4">
        <v>330000</v>
      </c>
      <c r="F83" s="3">
        <v>0.1</v>
      </c>
      <c r="G83" s="4">
        <v>180</v>
      </c>
      <c r="H83" s="4" t="s">
        <v>296</v>
      </c>
      <c r="I83" s="4">
        <v>3546.2</v>
      </c>
      <c r="J83" s="4">
        <v>638315.43999999994</v>
      </c>
      <c r="K83" s="4" t="s">
        <v>20</v>
      </c>
      <c r="L83" s="4" t="s">
        <v>132</v>
      </c>
      <c r="M83" s="4">
        <v>816</v>
      </c>
    </row>
    <row r="84" spans="1:13" x14ac:dyDescent="0.3">
      <c r="A84" s="5" t="s">
        <v>297</v>
      </c>
      <c r="B84" s="5" t="s">
        <v>298</v>
      </c>
      <c r="C84" s="5">
        <v>46</v>
      </c>
      <c r="D84" s="5" t="s">
        <v>37</v>
      </c>
      <c r="E84" s="5">
        <v>2520000</v>
      </c>
      <c r="F84" s="35">
        <v>8.5000000000000006E-2</v>
      </c>
      <c r="G84" s="5">
        <v>48</v>
      </c>
      <c r="H84" s="5" t="s">
        <v>299</v>
      </c>
      <c r="I84" s="5">
        <v>62113.72</v>
      </c>
      <c r="J84" s="5">
        <v>2981458.77</v>
      </c>
      <c r="K84" s="5" t="s">
        <v>20</v>
      </c>
      <c r="L84" s="5" t="s">
        <v>187</v>
      </c>
      <c r="M84" s="5">
        <v>806</v>
      </c>
    </row>
    <row r="85" spans="1:13" x14ac:dyDescent="0.3">
      <c r="A85" s="4" t="s">
        <v>300</v>
      </c>
      <c r="B85" s="4" t="s">
        <v>301</v>
      </c>
      <c r="C85" s="4">
        <v>45</v>
      </c>
      <c r="D85" s="4" t="s">
        <v>15</v>
      </c>
      <c r="E85" s="4">
        <v>630000</v>
      </c>
      <c r="F85" s="3">
        <v>9.5000000000000001E-2</v>
      </c>
      <c r="G85" s="4">
        <v>48</v>
      </c>
      <c r="H85" s="4" t="s">
        <v>302</v>
      </c>
      <c r="I85" s="4">
        <v>15827.58</v>
      </c>
      <c r="J85" s="4">
        <v>759723.65</v>
      </c>
      <c r="K85" s="4" t="s">
        <v>16</v>
      </c>
      <c r="L85" s="4" t="s">
        <v>48</v>
      </c>
      <c r="M85" s="4">
        <v>851</v>
      </c>
    </row>
    <row r="86" spans="1:13" x14ac:dyDescent="0.3">
      <c r="A86" s="5" t="s">
        <v>303</v>
      </c>
      <c r="B86" s="5" t="s">
        <v>304</v>
      </c>
      <c r="C86" s="5">
        <v>61</v>
      </c>
      <c r="D86" s="5" t="s">
        <v>15</v>
      </c>
      <c r="E86" s="5">
        <v>340000</v>
      </c>
      <c r="F86" s="35">
        <v>0.08</v>
      </c>
      <c r="G86" s="5">
        <v>60</v>
      </c>
      <c r="H86" s="5" t="s">
        <v>305</v>
      </c>
      <c r="I86" s="5">
        <v>6893.97</v>
      </c>
      <c r="J86" s="5">
        <v>413638.44</v>
      </c>
      <c r="K86" s="5" t="s">
        <v>20</v>
      </c>
      <c r="L86" s="5" t="s">
        <v>104</v>
      </c>
      <c r="M86" s="5">
        <v>650</v>
      </c>
    </row>
    <row r="87" spans="1:13" x14ac:dyDescent="0.3">
      <c r="A87" s="4" t="s">
        <v>306</v>
      </c>
      <c r="B87" s="4" t="s">
        <v>307</v>
      </c>
      <c r="C87" s="4">
        <v>49</v>
      </c>
      <c r="D87" s="4" t="s">
        <v>15</v>
      </c>
      <c r="E87" s="4">
        <v>410000</v>
      </c>
      <c r="F87" s="3">
        <v>0.12</v>
      </c>
      <c r="G87" s="4">
        <v>240</v>
      </c>
      <c r="H87" s="4" t="s">
        <v>308</v>
      </c>
      <c r="I87" s="4">
        <v>4514.45</v>
      </c>
      <c r="J87" s="4">
        <v>1083468.76</v>
      </c>
      <c r="K87" s="4" t="s">
        <v>20</v>
      </c>
      <c r="L87" s="4" t="s">
        <v>82</v>
      </c>
      <c r="M87" s="4">
        <v>895</v>
      </c>
    </row>
    <row r="88" spans="1:13" x14ac:dyDescent="0.3">
      <c r="A88" s="5" t="s">
        <v>309</v>
      </c>
      <c r="B88" s="5" t="s">
        <v>310</v>
      </c>
      <c r="C88" s="5">
        <v>35</v>
      </c>
      <c r="D88" s="5" t="s">
        <v>27</v>
      </c>
      <c r="E88" s="5">
        <v>720000</v>
      </c>
      <c r="F88" s="35">
        <v>0.125</v>
      </c>
      <c r="G88" s="5">
        <v>48</v>
      </c>
      <c r="H88" s="5" t="s">
        <v>311</v>
      </c>
      <c r="I88" s="5">
        <v>19137.599999999999</v>
      </c>
      <c r="J88" s="5">
        <v>918604.76</v>
      </c>
      <c r="K88" s="5" t="s">
        <v>312</v>
      </c>
      <c r="L88" s="5" t="s">
        <v>222</v>
      </c>
      <c r="M88" s="5">
        <v>659</v>
      </c>
    </row>
    <row r="89" spans="1:13" x14ac:dyDescent="0.3">
      <c r="A89" s="4" t="s">
        <v>313</v>
      </c>
      <c r="B89" s="4" t="s">
        <v>314</v>
      </c>
      <c r="C89" s="4">
        <v>21</v>
      </c>
      <c r="D89" s="4" t="s">
        <v>23</v>
      </c>
      <c r="E89" s="4">
        <v>1560000</v>
      </c>
      <c r="F89" s="3">
        <v>0.13</v>
      </c>
      <c r="G89" s="4">
        <v>84</v>
      </c>
      <c r="H89" s="4" t="s">
        <v>315</v>
      </c>
      <c r="I89" s="4">
        <v>28379.46</v>
      </c>
      <c r="J89" s="4">
        <v>2383874.88</v>
      </c>
      <c r="K89" s="4" t="s">
        <v>16</v>
      </c>
      <c r="L89" s="4" t="s">
        <v>316</v>
      </c>
      <c r="M89" s="4">
        <v>731</v>
      </c>
    </row>
    <row r="90" spans="1:13" x14ac:dyDescent="0.3">
      <c r="A90" s="5" t="s">
        <v>317</v>
      </c>
      <c r="B90" s="5" t="s">
        <v>318</v>
      </c>
      <c r="C90" s="5">
        <v>45</v>
      </c>
      <c r="D90" s="5" t="s">
        <v>18</v>
      </c>
      <c r="E90" s="5">
        <v>1140000</v>
      </c>
      <c r="F90" s="35">
        <v>0.08</v>
      </c>
      <c r="G90" s="5">
        <v>120</v>
      </c>
      <c r="H90" s="5" t="s">
        <v>319</v>
      </c>
      <c r="I90" s="5">
        <v>13831.35</v>
      </c>
      <c r="J90" s="5">
        <v>1659761.49</v>
      </c>
      <c r="K90" s="5" t="s">
        <v>20</v>
      </c>
      <c r="L90" s="5" t="s">
        <v>222</v>
      </c>
      <c r="M90" s="5">
        <v>862</v>
      </c>
    </row>
    <row r="91" spans="1:13" x14ac:dyDescent="0.3">
      <c r="A91" s="4" t="s">
        <v>320</v>
      </c>
      <c r="B91" s="4" t="s">
        <v>321</v>
      </c>
      <c r="C91" s="4">
        <v>27</v>
      </c>
      <c r="D91" s="4" t="s">
        <v>23</v>
      </c>
      <c r="E91" s="4">
        <v>1820000</v>
      </c>
      <c r="F91" s="3">
        <v>0.09</v>
      </c>
      <c r="G91" s="4">
        <v>60</v>
      </c>
      <c r="H91" s="4" t="s">
        <v>322</v>
      </c>
      <c r="I91" s="4">
        <v>37780.21</v>
      </c>
      <c r="J91" s="4">
        <v>2266812.39</v>
      </c>
      <c r="K91" s="4" t="s">
        <v>60</v>
      </c>
      <c r="L91" s="4" t="s">
        <v>104</v>
      </c>
      <c r="M91" s="4">
        <v>550</v>
      </c>
    </row>
    <row r="92" spans="1:13" x14ac:dyDescent="0.3">
      <c r="A92" s="5" t="s">
        <v>323</v>
      </c>
      <c r="B92" s="5" t="s">
        <v>324</v>
      </c>
      <c r="C92" s="5">
        <v>29</v>
      </c>
      <c r="D92" s="5" t="s">
        <v>37</v>
      </c>
      <c r="E92" s="5">
        <v>2550000</v>
      </c>
      <c r="F92" s="35">
        <v>0.13</v>
      </c>
      <c r="G92" s="5">
        <v>36</v>
      </c>
      <c r="H92" s="5" t="s">
        <v>325</v>
      </c>
      <c r="I92" s="5">
        <v>85919.58</v>
      </c>
      <c r="J92" s="5">
        <v>3093104.79</v>
      </c>
      <c r="K92" s="5" t="s">
        <v>312</v>
      </c>
      <c r="L92" s="5" t="s">
        <v>326</v>
      </c>
      <c r="M92" s="5">
        <v>868</v>
      </c>
    </row>
    <row r="93" spans="1:13" x14ac:dyDescent="0.3">
      <c r="A93" s="4" t="s">
        <v>327</v>
      </c>
      <c r="B93" s="4" t="s">
        <v>179</v>
      </c>
      <c r="C93" s="4">
        <v>44</v>
      </c>
      <c r="D93" s="4" t="s">
        <v>32</v>
      </c>
      <c r="E93" s="4">
        <v>440000</v>
      </c>
      <c r="F93" s="3">
        <v>0.115</v>
      </c>
      <c r="G93" s="4">
        <v>12</v>
      </c>
      <c r="H93" s="4" t="s">
        <v>328</v>
      </c>
      <c r="I93" s="4">
        <v>38990.620000000003</v>
      </c>
      <c r="J93" s="4">
        <v>467887.48</v>
      </c>
      <c r="K93" s="4" t="s">
        <v>16</v>
      </c>
      <c r="L93" s="4" t="s">
        <v>34</v>
      </c>
      <c r="M93" s="4">
        <v>604</v>
      </c>
    </row>
    <row r="94" spans="1:13" x14ac:dyDescent="0.3">
      <c r="A94" s="5" t="s">
        <v>329</v>
      </c>
      <c r="B94" s="5" t="s">
        <v>330</v>
      </c>
      <c r="C94" s="5">
        <v>21</v>
      </c>
      <c r="D94" s="5" t="s">
        <v>37</v>
      </c>
      <c r="E94" s="5">
        <v>870000</v>
      </c>
      <c r="F94" s="35">
        <v>7.4999999999999997E-2</v>
      </c>
      <c r="G94" s="5">
        <v>240</v>
      </c>
      <c r="H94" s="5" t="s">
        <v>331</v>
      </c>
      <c r="I94" s="5">
        <v>7008.66</v>
      </c>
      <c r="J94" s="5">
        <v>1682078.59</v>
      </c>
      <c r="K94" s="5" t="s">
        <v>20</v>
      </c>
      <c r="L94" s="5" t="s">
        <v>34</v>
      </c>
      <c r="M94" s="5">
        <v>698</v>
      </c>
    </row>
    <row r="95" spans="1:13" x14ac:dyDescent="0.3">
      <c r="A95" s="4" t="s">
        <v>332</v>
      </c>
      <c r="B95" s="4" t="s">
        <v>333</v>
      </c>
      <c r="C95" s="4">
        <v>64</v>
      </c>
      <c r="D95" s="4" t="s">
        <v>37</v>
      </c>
      <c r="E95" s="4">
        <v>3870000</v>
      </c>
      <c r="F95" s="3">
        <v>7.4999999999999997E-2</v>
      </c>
      <c r="G95" s="4">
        <v>180</v>
      </c>
      <c r="H95" s="4" t="s">
        <v>334</v>
      </c>
      <c r="I95" s="4">
        <v>35875.379999999997</v>
      </c>
      <c r="J95" s="4">
        <v>6457568.0999999996</v>
      </c>
      <c r="K95" s="4" t="s">
        <v>16</v>
      </c>
      <c r="L95" s="4" t="s">
        <v>82</v>
      </c>
      <c r="M95" s="4">
        <v>858</v>
      </c>
    </row>
    <row r="96" spans="1:13" x14ac:dyDescent="0.3">
      <c r="A96" s="5" t="s">
        <v>335</v>
      </c>
      <c r="B96" s="5" t="s">
        <v>336</v>
      </c>
      <c r="C96" s="5">
        <v>28</v>
      </c>
      <c r="D96" s="5" t="s">
        <v>42</v>
      </c>
      <c r="E96" s="5">
        <v>1220000</v>
      </c>
      <c r="F96" s="35">
        <v>7.4999999999999997E-2</v>
      </c>
      <c r="G96" s="5">
        <v>48</v>
      </c>
      <c r="H96" s="5" t="s">
        <v>337</v>
      </c>
      <c r="I96" s="5">
        <v>29498.26</v>
      </c>
      <c r="J96" s="5">
        <v>1415916.5</v>
      </c>
      <c r="K96" s="5" t="s">
        <v>20</v>
      </c>
      <c r="L96" s="5" t="s">
        <v>104</v>
      </c>
      <c r="M96" s="5">
        <v>686</v>
      </c>
    </row>
    <row r="97" spans="1:13" x14ac:dyDescent="0.3">
      <c r="A97" s="4" t="s">
        <v>338</v>
      </c>
      <c r="B97" s="4" t="s">
        <v>339</v>
      </c>
      <c r="C97" s="4">
        <v>44</v>
      </c>
      <c r="D97" s="4" t="s">
        <v>15</v>
      </c>
      <c r="E97" s="4">
        <v>690000</v>
      </c>
      <c r="F97" s="3">
        <v>0.09</v>
      </c>
      <c r="G97" s="4">
        <v>180</v>
      </c>
      <c r="H97" s="4" t="s">
        <v>340</v>
      </c>
      <c r="I97" s="4">
        <v>6998.44</v>
      </c>
      <c r="J97" s="4">
        <v>1259719.1000000001</v>
      </c>
      <c r="K97" s="4" t="s">
        <v>312</v>
      </c>
      <c r="L97" s="4" t="s">
        <v>90</v>
      </c>
      <c r="M97" s="4">
        <v>751</v>
      </c>
    </row>
    <row r="98" spans="1:13" x14ac:dyDescent="0.3">
      <c r="A98" s="5" t="s">
        <v>341</v>
      </c>
      <c r="B98" s="5" t="s">
        <v>342</v>
      </c>
      <c r="C98" s="5">
        <v>31</v>
      </c>
      <c r="D98" s="5" t="s">
        <v>18</v>
      </c>
      <c r="E98" s="5">
        <v>1330000</v>
      </c>
      <c r="F98" s="35">
        <v>7.4999999999999997E-2</v>
      </c>
      <c r="G98" s="5">
        <v>84</v>
      </c>
      <c r="H98" s="5" t="s">
        <v>343</v>
      </c>
      <c r="I98" s="5">
        <v>20399.91</v>
      </c>
      <c r="J98" s="5">
        <v>1713592.18</v>
      </c>
      <c r="K98" s="5" t="s">
        <v>16</v>
      </c>
      <c r="L98" s="5" t="s">
        <v>151</v>
      </c>
      <c r="M98" s="5">
        <v>862</v>
      </c>
    </row>
    <row r="99" spans="1:13" x14ac:dyDescent="0.3">
      <c r="A99" s="4" t="s">
        <v>344</v>
      </c>
      <c r="B99" s="4" t="s">
        <v>345</v>
      </c>
      <c r="C99" s="4">
        <v>37</v>
      </c>
      <c r="D99" s="4" t="s">
        <v>27</v>
      </c>
      <c r="E99" s="4">
        <v>330000</v>
      </c>
      <c r="F99" s="3">
        <v>0.11</v>
      </c>
      <c r="G99" s="4">
        <v>48</v>
      </c>
      <c r="H99" s="4" t="s">
        <v>346</v>
      </c>
      <c r="I99" s="4">
        <v>8529.02</v>
      </c>
      <c r="J99" s="4">
        <v>409393.08</v>
      </c>
      <c r="K99" s="4" t="s">
        <v>16</v>
      </c>
      <c r="L99" s="4" t="s">
        <v>136</v>
      </c>
      <c r="M99" s="4">
        <v>666</v>
      </c>
    </row>
    <row r="100" spans="1:13" x14ac:dyDescent="0.3">
      <c r="A100" s="5" t="s">
        <v>347</v>
      </c>
      <c r="B100" s="5" t="s">
        <v>199</v>
      </c>
      <c r="C100" s="5">
        <v>28</v>
      </c>
      <c r="D100" s="5" t="s">
        <v>23</v>
      </c>
      <c r="E100" s="5">
        <v>1950000</v>
      </c>
      <c r="F100" s="35">
        <v>0.1</v>
      </c>
      <c r="G100" s="5">
        <v>12</v>
      </c>
      <c r="H100" s="5" t="s">
        <v>348</v>
      </c>
      <c r="I100" s="5">
        <v>171435.98</v>
      </c>
      <c r="J100" s="5">
        <v>2057231.76</v>
      </c>
      <c r="K100" s="5" t="s">
        <v>20</v>
      </c>
      <c r="L100" s="5" t="s">
        <v>75</v>
      </c>
      <c r="M100" s="5">
        <v>703</v>
      </c>
    </row>
    <row r="101" spans="1:13" x14ac:dyDescent="0.3">
      <c r="A101" s="4" t="s">
        <v>349</v>
      </c>
      <c r="B101" s="4" t="s">
        <v>350</v>
      </c>
      <c r="C101" s="4">
        <v>55</v>
      </c>
      <c r="D101" s="4" t="s">
        <v>27</v>
      </c>
      <c r="E101" s="4">
        <v>250000</v>
      </c>
      <c r="F101" s="3">
        <v>0.105</v>
      </c>
      <c r="G101" s="4">
        <v>12</v>
      </c>
      <c r="H101" s="4" t="s">
        <v>351</v>
      </c>
      <c r="I101" s="4">
        <v>22037.15</v>
      </c>
      <c r="J101" s="4">
        <v>264445.81</v>
      </c>
      <c r="K101" s="4" t="s">
        <v>20</v>
      </c>
      <c r="L101" s="4" t="s">
        <v>39</v>
      </c>
      <c r="M101" s="4">
        <v>840</v>
      </c>
    </row>
    <row r="102" spans="1:13" x14ac:dyDescent="0.3">
      <c r="A102" s="5" t="s">
        <v>352</v>
      </c>
      <c r="B102" s="5" t="s">
        <v>353</v>
      </c>
      <c r="C102" s="5">
        <v>55</v>
      </c>
      <c r="D102" s="5" t="s">
        <v>15</v>
      </c>
      <c r="E102" s="5">
        <v>1260000</v>
      </c>
      <c r="F102" s="35">
        <v>8.5000000000000006E-2</v>
      </c>
      <c r="G102" s="5">
        <v>24</v>
      </c>
      <c r="H102" s="5" t="s">
        <v>354</v>
      </c>
      <c r="I102" s="5">
        <v>57274.15</v>
      </c>
      <c r="J102" s="5">
        <v>1374579.61</v>
      </c>
      <c r="K102" s="5" t="s">
        <v>20</v>
      </c>
      <c r="L102" s="5" t="s">
        <v>56</v>
      </c>
      <c r="M102" s="5">
        <v>612</v>
      </c>
    </row>
    <row r="103" spans="1:13" x14ac:dyDescent="0.3">
      <c r="A103" s="4" t="s">
        <v>355</v>
      </c>
      <c r="B103" s="4" t="s">
        <v>356</v>
      </c>
      <c r="C103" s="4">
        <v>53</v>
      </c>
      <c r="D103" s="4" t="s">
        <v>15</v>
      </c>
      <c r="E103" s="4">
        <v>810000</v>
      </c>
      <c r="F103" s="3">
        <v>8.5000000000000006E-2</v>
      </c>
      <c r="G103" s="4">
        <v>24</v>
      </c>
      <c r="H103" s="4" t="s">
        <v>357</v>
      </c>
      <c r="I103" s="4">
        <v>36819.1</v>
      </c>
      <c r="J103" s="4">
        <v>883658.32</v>
      </c>
      <c r="K103" s="4" t="s">
        <v>16</v>
      </c>
      <c r="L103" s="4" t="s">
        <v>222</v>
      </c>
      <c r="M103" s="4">
        <v>793</v>
      </c>
    </row>
    <row r="104" spans="1:13" x14ac:dyDescent="0.3">
      <c r="A104" s="5" t="s">
        <v>358</v>
      </c>
      <c r="B104" s="5" t="s">
        <v>359</v>
      </c>
      <c r="C104" s="5">
        <v>25</v>
      </c>
      <c r="D104" s="5" t="s">
        <v>23</v>
      </c>
      <c r="E104" s="5">
        <v>4930000</v>
      </c>
      <c r="F104" s="35">
        <v>7.4999999999999997E-2</v>
      </c>
      <c r="G104" s="5">
        <v>180</v>
      </c>
      <c r="H104" s="5" t="s">
        <v>360</v>
      </c>
      <c r="I104" s="5">
        <v>45701.71</v>
      </c>
      <c r="J104" s="5">
        <v>8226307.6799999997</v>
      </c>
      <c r="K104" s="5" t="s">
        <v>16</v>
      </c>
      <c r="L104" s="5" t="s">
        <v>94</v>
      </c>
      <c r="M104" s="5">
        <v>574</v>
      </c>
    </row>
    <row r="105" spans="1:13" x14ac:dyDescent="0.3">
      <c r="A105" s="4" t="s">
        <v>361</v>
      </c>
      <c r="B105" s="4" t="s">
        <v>287</v>
      </c>
      <c r="C105" s="4">
        <v>62</v>
      </c>
      <c r="D105" s="4" t="s">
        <v>42</v>
      </c>
      <c r="E105" s="4">
        <v>970000</v>
      </c>
      <c r="F105" s="3">
        <v>0.115</v>
      </c>
      <c r="G105" s="4">
        <v>36</v>
      </c>
      <c r="H105" s="4" t="s">
        <v>362</v>
      </c>
      <c r="I105" s="4">
        <v>31986.73</v>
      </c>
      <c r="J105" s="4">
        <v>1151522.1399999999</v>
      </c>
      <c r="K105" s="4" t="s">
        <v>20</v>
      </c>
      <c r="L105" s="4" t="s">
        <v>34</v>
      </c>
      <c r="M105" s="4">
        <v>639</v>
      </c>
    </row>
    <row r="106" spans="1:13" x14ac:dyDescent="0.3">
      <c r="A106" s="5" t="s">
        <v>363</v>
      </c>
      <c r="B106" s="5" t="s">
        <v>364</v>
      </c>
      <c r="C106" s="5">
        <v>59</v>
      </c>
      <c r="D106" s="5" t="s">
        <v>32</v>
      </c>
      <c r="E106" s="5">
        <v>350000</v>
      </c>
      <c r="F106" s="35">
        <v>0.13</v>
      </c>
      <c r="G106" s="5">
        <v>24</v>
      </c>
      <c r="H106" s="5" t="s">
        <v>365</v>
      </c>
      <c r="I106" s="5">
        <v>16639.64</v>
      </c>
      <c r="J106" s="5">
        <v>399351.31</v>
      </c>
      <c r="K106" s="5" t="s">
        <v>20</v>
      </c>
      <c r="L106" s="5" t="s">
        <v>366</v>
      </c>
      <c r="M106" s="5">
        <v>624</v>
      </c>
    </row>
    <row r="107" spans="1:13" x14ac:dyDescent="0.3">
      <c r="A107" s="4" t="s">
        <v>367</v>
      </c>
      <c r="B107" s="4" t="s">
        <v>368</v>
      </c>
      <c r="C107" s="4">
        <v>61</v>
      </c>
      <c r="D107" s="4" t="s">
        <v>18</v>
      </c>
      <c r="E107" s="4">
        <v>1450000</v>
      </c>
      <c r="F107" s="3">
        <v>0.13</v>
      </c>
      <c r="G107" s="4">
        <v>240</v>
      </c>
      <c r="H107" s="4" t="s">
        <v>369</v>
      </c>
      <c r="I107" s="4">
        <v>16987.849999999999</v>
      </c>
      <c r="J107" s="4">
        <v>4077083.48</v>
      </c>
      <c r="K107" s="4" t="s">
        <v>312</v>
      </c>
      <c r="L107" s="4" t="s">
        <v>212</v>
      </c>
      <c r="M107" s="4">
        <v>843</v>
      </c>
    </row>
    <row r="108" spans="1:13" x14ac:dyDescent="0.3">
      <c r="A108" s="5" t="s">
        <v>370</v>
      </c>
      <c r="B108" s="5" t="s">
        <v>371</v>
      </c>
      <c r="C108" s="5">
        <v>48</v>
      </c>
      <c r="D108" s="5" t="s">
        <v>37</v>
      </c>
      <c r="E108" s="5">
        <v>3190000</v>
      </c>
      <c r="F108" s="35">
        <v>0.125</v>
      </c>
      <c r="G108" s="5">
        <v>24</v>
      </c>
      <c r="H108" s="5" t="s">
        <v>372</v>
      </c>
      <c r="I108" s="5">
        <v>150910.31</v>
      </c>
      <c r="J108" s="5">
        <v>3621847.52</v>
      </c>
      <c r="K108" s="5" t="s">
        <v>16</v>
      </c>
      <c r="L108" s="5" t="s">
        <v>326</v>
      </c>
      <c r="M108" s="5">
        <v>759</v>
      </c>
    </row>
    <row r="109" spans="1:13" x14ac:dyDescent="0.3">
      <c r="A109" s="4" t="s">
        <v>373</v>
      </c>
      <c r="B109" s="4" t="s">
        <v>374</v>
      </c>
      <c r="C109" s="4">
        <v>27</v>
      </c>
      <c r="D109" s="4" t="s">
        <v>42</v>
      </c>
      <c r="E109" s="4">
        <v>800000</v>
      </c>
      <c r="F109" s="3">
        <v>0.105</v>
      </c>
      <c r="G109" s="4">
        <v>24</v>
      </c>
      <c r="H109" s="4" t="s">
        <v>375</v>
      </c>
      <c r="I109" s="4">
        <v>37100.83</v>
      </c>
      <c r="J109" s="4">
        <v>890420</v>
      </c>
      <c r="K109" s="4" t="s">
        <v>16</v>
      </c>
      <c r="L109" s="4" t="s">
        <v>155</v>
      </c>
      <c r="M109" s="4">
        <v>896</v>
      </c>
    </row>
    <row r="110" spans="1:13" x14ac:dyDescent="0.3">
      <c r="A110" s="5" t="s">
        <v>376</v>
      </c>
      <c r="B110" s="5" t="s">
        <v>377</v>
      </c>
      <c r="C110" s="5">
        <v>29</v>
      </c>
      <c r="D110" s="5" t="s">
        <v>15</v>
      </c>
      <c r="E110" s="5">
        <v>830000</v>
      </c>
      <c r="F110" s="35">
        <v>0.09</v>
      </c>
      <c r="G110" s="5">
        <v>60</v>
      </c>
      <c r="H110" s="5" t="s">
        <v>378</v>
      </c>
      <c r="I110" s="5">
        <v>17229.43</v>
      </c>
      <c r="J110" s="5">
        <v>1033766.09</v>
      </c>
      <c r="K110" s="5" t="s">
        <v>20</v>
      </c>
      <c r="L110" s="5" t="s">
        <v>86</v>
      </c>
      <c r="M110" s="5">
        <v>566</v>
      </c>
    </row>
    <row r="111" spans="1:13" x14ac:dyDescent="0.3">
      <c r="A111" s="4" t="s">
        <v>379</v>
      </c>
      <c r="B111" s="4" t="s">
        <v>214</v>
      </c>
      <c r="C111" s="4">
        <v>28</v>
      </c>
      <c r="D111" s="4" t="s">
        <v>15</v>
      </c>
      <c r="E111" s="4">
        <v>500000</v>
      </c>
      <c r="F111" s="3">
        <v>0.1</v>
      </c>
      <c r="G111" s="4">
        <v>48</v>
      </c>
      <c r="H111" s="4" t="s">
        <v>380</v>
      </c>
      <c r="I111" s="4">
        <v>12681.29</v>
      </c>
      <c r="J111" s="4">
        <v>608702</v>
      </c>
      <c r="K111" s="4" t="s">
        <v>16</v>
      </c>
      <c r="L111" s="4" t="s">
        <v>187</v>
      </c>
      <c r="M111" s="4">
        <v>677</v>
      </c>
    </row>
    <row r="112" spans="1:13" x14ac:dyDescent="0.3">
      <c r="A112" s="5" t="s">
        <v>381</v>
      </c>
      <c r="B112" s="5" t="s">
        <v>287</v>
      </c>
      <c r="C112" s="5">
        <v>32</v>
      </c>
      <c r="D112" s="5" t="s">
        <v>18</v>
      </c>
      <c r="E112" s="5">
        <v>1580000</v>
      </c>
      <c r="F112" s="35">
        <v>0.09</v>
      </c>
      <c r="G112" s="5">
        <v>180</v>
      </c>
      <c r="H112" s="5" t="s">
        <v>382</v>
      </c>
      <c r="I112" s="5">
        <v>16025.41</v>
      </c>
      <c r="J112" s="5">
        <v>2884574.17</v>
      </c>
      <c r="K112" s="5" t="s">
        <v>20</v>
      </c>
      <c r="L112" s="5" t="s">
        <v>119</v>
      </c>
      <c r="M112" s="5">
        <v>800</v>
      </c>
    </row>
    <row r="113" spans="1:13" x14ac:dyDescent="0.3">
      <c r="A113" s="4" t="s">
        <v>383</v>
      </c>
      <c r="B113" s="4" t="s">
        <v>138</v>
      </c>
      <c r="C113" s="4">
        <v>54</v>
      </c>
      <c r="D113" s="4" t="s">
        <v>42</v>
      </c>
      <c r="E113" s="4">
        <v>1390000</v>
      </c>
      <c r="F113" s="3">
        <v>0.105</v>
      </c>
      <c r="G113" s="4">
        <v>60</v>
      </c>
      <c r="H113" s="4" t="s">
        <v>384</v>
      </c>
      <c r="I113" s="4">
        <v>29876.52</v>
      </c>
      <c r="J113" s="4">
        <v>1792591.29</v>
      </c>
      <c r="K113" s="4" t="s">
        <v>20</v>
      </c>
      <c r="L113" s="4" t="s">
        <v>90</v>
      </c>
      <c r="M113" s="4">
        <v>728</v>
      </c>
    </row>
    <row r="114" spans="1:13" x14ac:dyDescent="0.3">
      <c r="A114" s="5" t="s">
        <v>385</v>
      </c>
      <c r="B114" s="5" t="s">
        <v>386</v>
      </c>
      <c r="C114" s="5">
        <v>53</v>
      </c>
      <c r="D114" s="5" t="s">
        <v>37</v>
      </c>
      <c r="E114" s="5">
        <v>2350000</v>
      </c>
      <c r="F114" s="35">
        <v>0.13</v>
      </c>
      <c r="G114" s="5">
        <v>60</v>
      </c>
      <c r="H114" s="5" t="s">
        <v>387</v>
      </c>
      <c r="I114" s="5">
        <v>53469.72</v>
      </c>
      <c r="J114" s="5">
        <v>3208183.3</v>
      </c>
      <c r="K114" s="5" t="s">
        <v>312</v>
      </c>
      <c r="L114" s="5" t="s">
        <v>25</v>
      </c>
      <c r="M114" s="5">
        <v>731</v>
      </c>
    </row>
    <row r="115" spans="1:13" x14ac:dyDescent="0.3">
      <c r="A115" s="4" t="s">
        <v>388</v>
      </c>
      <c r="B115" s="4" t="s">
        <v>389</v>
      </c>
      <c r="C115" s="4">
        <v>43</v>
      </c>
      <c r="D115" s="4" t="s">
        <v>37</v>
      </c>
      <c r="E115" s="4">
        <v>3970000</v>
      </c>
      <c r="F115" s="3">
        <v>0.1</v>
      </c>
      <c r="G115" s="4">
        <v>180</v>
      </c>
      <c r="H115" s="4" t="s">
        <v>390</v>
      </c>
      <c r="I115" s="4">
        <v>42661.82</v>
      </c>
      <c r="J115" s="4">
        <v>7679128.1699999999</v>
      </c>
      <c r="K115" s="4" t="s">
        <v>16</v>
      </c>
      <c r="L115" s="4" t="s">
        <v>21</v>
      </c>
      <c r="M115" s="4">
        <v>701</v>
      </c>
    </row>
    <row r="116" spans="1:13" x14ac:dyDescent="0.3">
      <c r="A116" s="5" t="s">
        <v>391</v>
      </c>
      <c r="B116" s="5" t="s">
        <v>392</v>
      </c>
      <c r="C116" s="5">
        <v>44</v>
      </c>
      <c r="D116" s="5" t="s">
        <v>15</v>
      </c>
      <c r="E116" s="5">
        <v>830000</v>
      </c>
      <c r="F116" s="35">
        <v>9.5000000000000001E-2</v>
      </c>
      <c r="G116" s="5">
        <v>12</v>
      </c>
      <c r="H116" s="5" t="s">
        <v>393</v>
      </c>
      <c r="I116" s="5">
        <v>72777.31</v>
      </c>
      <c r="J116" s="5">
        <v>873327.78</v>
      </c>
      <c r="K116" s="5" t="s">
        <v>16</v>
      </c>
      <c r="L116" s="5" t="s">
        <v>119</v>
      </c>
      <c r="M116" s="5">
        <v>574</v>
      </c>
    </row>
    <row r="117" spans="1:13" x14ac:dyDescent="0.3">
      <c r="A117" s="4" t="s">
        <v>394</v>
      </c>
      <c r="B117" s="4" t="s">
        <v>395</v>
      </c>
      <c r="C117" s="4">
        <v>57</v>
      </c>
      <c r="D117" s="4" t="s">
        <v>32</v>
      </c>
      <c r="E117" s="4">
        <v>190000</v>
      </c>
      <c r="F117" s="3">
        <v>0.08</v>
      </c>
      <c r="G117" s="4">
        <v>24</v>
      </c>
      <c r="H117" s="4" t="s">
        <v>396</v>
      </c>
      <c r="I117" s="4">
        <v>8593.19</v>
      </c>
      <c r="J117" s="4">
        <v>206236.45</v>
      </c>
      <c r="K117" s="4" t="s">
        <v>20</v>
      </c>
      <c r="L117" s="4" t="s">
        <v>21</v>
      </c>
      <c r="M117" s="4">
        <v>729</v>
      </c>
    </row>
    <row r="118" spans="1:13" x14ac:dyDescent="0.3">
      <c r="A118" s="5" t="s">
        <v>397</v>
      </c>
      <c r="B118" s="5" t="s">
        <v>398</v>
      </c>
      <c r="C118" s="5">
        <v>55</v>
      </c>
      <c r="D118" s="5" t="s">
        <v>37</v>
      </c>
      <c r="E118" s="5">
        <v>1010000</v>
      </c>
      <c r="F118" s="35">
        <v>0.12</v>
      </c>
      <c r="G118" s="5">
        <v>36</v>
      </c>
      <c r="H118" s="5" t="s">
        <v>399</v>
      </c>
      <c r="I118" s="5">
        <v>33546.449999999997</v>
      </c>
      <c r="J118" s="5">
        <v>1207672.3</v>
      </c>
      <c r="K118" s="5" t="s">
        <v>20</v>
      </c>
      <c r="L118" s="5" t="s">
        <v>25</v>
      </c>
      <c r="M118" s="5">
        <v>747</v>
      </c>
    </row>
    <row r="119" spans="1:13" x14ac:dyDescent="0.3">
      <c r="A119" s="4" t="s">
        <v>400</v>
      </c>
      <c r="B119" s="4" t="s">
        <v>401</v>
      </c>
      <c r="C119" s="4">
        <v>64</v>
      </c>
      <c r="D119" s="4" t="s">
        <v>37</v>
      </c>
      <c r="E119" s="4">
        <v>1970000</v>
      </c>
      <c r="F119" s="3">
        <v>0.1</v>
      </c>
      <c r="G119" s="4">
        <v>12</v>
      </c>
      <c r="H119" s="4" t="s">
        <v>402</v>
      </c>
      <c r="I119" s="4">
        <v>173194.3</v>
      </c>
      <c r="J119" s="4">
        <v>2078331.57</v>
      </c>
      <c r="K119" s="4" t="s">
        <v>16</v>
      </c>
      <c r="L119" s="4" t="s">
        <v>82</v>
      </c>
      <c r="M119" s="4">
        <v>893</v>
      </c>
    </row>
    <row r="120" spans="1:13" x14ac:dyDescent="0.3">
      <c r="A120" s="5" t="s">
        <v>403</v>
      </c>
      <c r="B120" s="5" t="s">
        <v>404</v>
      </c>
      <c r="C120" s="5">
        <v>60</v>
      </c>
      <c r="D120" s="5" t="s">
        <v>23</v>
      </c>
      <c r="E120" s="5">
        <v>8170000</v>
      </c>
      <c r="F120" s="35">
        <v>0.08</v>
      </c>
      <c r="G120" s="5">
        <v>60</v>
      </c>
      <c r="H120" s="5" t="s">
        <v>382</v>
      </c>
      <c r="I120" s="5">
        <v>165658.14000000001</v>
      </c>
      <c r="J120" s="5">
        <v>9939488.4800000004</v>
      </c>
      <c r="K120" s="5" t="s">
        <v>16</v>
      </c>
      <c r="L120" s="5" t="s">
        <v>94</v>
      </c>
      <c r="M120" s="5">
        <v>710</v>
      </c>
    </row>
    <row r="121" spans="1:13" x14ac:dyDescent="0.3">
      <c r="A121" s="4" t="s">
        <v>405</v>
      </c>
      <c r="B121" s="4" t="s">
        <v>406</v>
      </c>
      <c r="C121" s="4">
        <v>42</v>
      </c>
      <c r="D121" s="4" t="s">
        <v>32</v>
      </c>
      <c r="E121" s="4">
        <v>340000</v>
      </c>
      <c r="F121" s="3">
        <v>0.115</v>
      </c>
      <c r="G121" s="4">
        <v>84</v>
      </c>
      <c r="H121" s="4" t="s">
        <v>407</v>
      </c>
      <c r="I121" s="4">
        <v>5911.4</v>
      </c>
      <c r="J121" s="4">
        <v>496557.32</v>
      </c>
      <c r="K121" s="4" t="s">
        <v>16</v>
      </c>
      <c r="L121" s="4" t="s">
        <v>68</v>
      </c>
      <c r="M121" s="4">
        <v>726</v>
      </c>
    </row>
    <row r="122" spans="1:13" x14ac:dyDescent="0.3">
      <c r="A122" s="5" t="s">
        <v>408</v>
      </c>
      <c r="B122" s="5" t="s">
        <v>409</v>
      </c>
      <c r="C122" s="5">
        <v>47</v>
      </c>
      <c r="D122" s="5" t="s">
        <v>23</v>
      </c>
      <c r="E122" s="5">
        <v>9320000</v>
      </c>
      <c r="F122" s="35">
        <v>0.125</v>
      </c>
      <c r="G122" s="5">
        <v>84</v>
      </c>
      <c r="H122" s="5" t="s">
        <v>410</v>
      </c>
      <c r="I122" s="5">
        <v>167025.94</v>
      </c>
      <c r="J122" s="5">
        <v>14030179.140000001</v>
      </c>
      <c r="K122" s="5" t="s">
        <v>20</v>
      </c>
      <c r="L122" s="5" t="s">
        <v>52</v>
      </c>
      <c r="M122" s="5">
        <v>834</v>
      </c>
    </row>
    <row r="123" spans="1:13" x14ac:dyDescent="0.3">
      <c r="A123" s="4" t="s">
        <v>411</v>
      </c>
      <c r="B123" s="4" t="s">
        <v>412</v>
      </c>
      <c r="C123" s="4">
        <v>55</v>
      </c>
      <c r="D123" s="4" t="s">
        <v>27</v>
      </c>
      <c r="E123" s="4">
        <v>150000</v>
      </c>
      <c r="F123" s="3">
        <v>7.4999999999999997E-2</v>
      </c>
      <c r="G123" s="4">
        <v>120</v>
      </c>
      <c r="H123" s="4" t="s">
        <v>413</v>
      </c>
      <c r="I123" s="4">
        <v>1780.53</v>
      </c>
      <c r="J123" s="4">
        <v>213663.18</v>
      </c>
      <c r="K123" s="4" t="s">
        <v>16</v>
      </c>
      <c r="L123" s="4" t="s">
        <v>34</v>
      </c>
      <c r="M123" s="4">
        <v>612</v>
      </c>
    </row>
    <row r="124" spans="1:13" x14ac:dyDescent="0.3">
      <c r="A124" s="5" t="s">
        <v>414</v>
      </c>
      <c r="B124" s="5" t="s">
        <v>199</v>
      </c>
      <c r="C124" s="5">
        <v>21</v>
      </c>
      <c r="D124" s="5" t="s">
        <v>42</v>
      </c>
      <c r="E124" s="5">
        <v>1020000</v>
      </c>
      <c r="F124" s="35">
        <v>8.5000000000000006E-2</v>
      </c>
      <c r="G124" s="5">
        <v>24</v>
      </c>
      <c r="H124" s="5" t="s">
        <v>415</v>
      </c>
      <c r="I124" s="5">
        <v>46364.79</v>
      </c>
      <c r="J124" s="5">
        <v>1112754.92</v>
      </c>
      <c r="K124" s="5" t="s">
        <v>20</v>
      </c>
      <c r="L124" s="5" t="s">
        <v>143</v>
      </c>
      <c r="M124" s="5">
        <v>699</v>
      </c>
    </row>
    <row r="125" spans="1:13" x14ac:dyDescent="0.3">
      <c r="A125" s="4" t="s">
        <v>416</v>
      </c>
      <c r="B125" s="4" t="s">
        <v>417</v>
      </c>
      <c r="C125" s="4">
        <v>55</v>
      </c>
      <c r="D125" s="4" t="s">
        <v>15</v>
      </c>
      <c r="E125" s="4">
        <v>1550000</v>
      </c>
      <c r="F125" s="3">
        <v>0.09</v>
      </c>
      <c r="G125" s="4">
        <v>24</v>
      </c>
      <c r="H125" s="4" t="s">
        <v>418</v>
      </c>
      <c r="I125" s="4">
        <v>70811.350000000006</v>
      </c>
      <c r="J125" s="4">
        <v>1699472.41</v>
      </c>
      <c r="K125" s="4" t="s">
        <v>16</v>
      </c>
      <c r="L125" s="4" t="s">
        <v>94</v>
      </c>
      <c r="M125" s="4">
        <v>703</v>
      </c>
    </row>
    <row r="126" spans="1:13" x14ac:dyDescent="0.3">
      <c r="A126" s="5" t="s">
        <v>419</v>
      </c>
      <c r="B126" s="5" t="s">
        <v>420</v>
      </c>
      <c r="C126" s="5">
        <v>57</v>
      </c>
      <c r="D126" s="5" t="s">
        <v>37</v>
      </c>
      <c r="E126" s="5">
        <v>3700000</v>
      </c>
      <c r="F126" s="35">
        <v>0.115</v>
      </c>
      <c r="G126" s="5">
        <v>12</v>
      </c>
      <c r="H126" s="5" t="s">
        <v>421</v>
      </c>
      <c r="I126" s="5">
        <v>327875.7</v>
      </c>
      <c r="J126" s="5">
        <v>3934508.39</v>
      </c>
      <c r="K126" s="5" t="s">
        <v>16</v>
      </c>
      <c r="L126" s="5" t="s">
        <v>21</v>
      </c>
      <c r="M126" s="5">
        <v>705</v>
      </c>
    </row>
    <row r="127" spans="1:13" x14ac:dyDescent="0.3">
      <c r="A127" s="4" t="s">
        <v>422</v>
      </c>
      <c r="B127" s="4" t="s">
        <v>423</v>
      </c>
      <c r="C127" s="4">
        <v>34</v>
      </c>
      <c r="D127" s="4" t="s">
        <v>27</v>
      </c>
      <c r="E127" s="4">
        <v>920000</v>
      </c>
      <c r="F127" s="3">
        <v>7.4999999999999997E-2</v>
      </c>
      <c r="G127" s="4">
        <v>12</v>
      </c>
      <c r="H127" s="4" t="s">
        <v>424</v>
      </c>
      <c r="I127" s="4">
        <v>79816.820000000007</v>
      </c>
      <c r="J127" s="4">
        <v>957801.88</v>
      </c>
      <c r="K127" s="4" t="s">
        <v>20</v>
      </c>
      <c r="L127" s="4" t="s">
        <v>205</v>
      </c>
      <c r="M127" s="4">
        <v>598</v>
      </c>
    </row>
    <row r="128" spans="1:13" x14ac:dyDescent="0.3">
      <c r="A128" s="5" t="s">
        <v>425</v>
      </c>
      <c r="B128" s="5" t="s">
        <v>426</v>
      </c>
      <c r="C128" s="5">
        <v>23</v>
      </c>
      <c r="D128" s="5" t="s">
        <v>23</v>
      </c>
      <c r="E128" s="5">
        <v>9800000</v>
      </c>
      <c r="F128" s="35">
        <v>0.105</v>
      </c>
      <c r="G128" s="5">
        <v>36</v>
      </c>
      <c r="H128" s="5" t="s">
        <v>427</v>
      </c>
      <c r="I128" s="5">
        <v>318523.95</v>
      </c>
      <c r="J128" s="5">
        <v>11466862.07</v>
      </c>
      <c r="K128" s="5" t="s">
        <v>16</v>
      </c>
      <c r="L128" s="5" t="s">
        <v>39</v>
      </c>
      <c r="M128" s="5">
        <v>886</v>
      </c>
    </row>
    <row r="129" spans="1:13" x14ac:dyDescent="0.3">
      <c r="A129" s="4" t="s">
        <v>428</v>
      </c>
      <c r="B129" s="4" t="s">
        <v>429</v>
      </c>
      <c r="C129" s="4">
        <v>21</v>
      </c>
      <c r="D129" s="4" t="s">
        <v>37</v>
      </c>
      <c r="E129" s="4">
        <v>3170000</v>
      </c>
      <c r="F129" s="3">
        <v>0.08</v>
      </c>
      <c r="G129" s="4">
        <v>36</v>
      </c>
      <c r="H129" s="4" t="s">
        <v>430</v>
      </c>
      <c r="I129" s="4">
        <v>99336.28</v>
      </c>
      <c r="J129" s="4">
        <v>3576106.03</v>
      </c>
      <c r="K129" s="4" t="s">
        <v>20</v>
      </c>
      <c r="L129" s="4" t="s">
        <v>249</v>
      </c>
      <c r="M129" s="4">
        <v>633</v>
      </c>
    </row>
    <row r="130" spans="1:13" x14ac:dyDescent="0.3">
      <c r="A130" s="5" t="s">
        <v>431</v>
      </c>
      <c r="B130" s="5" t="s">
        <v>432</v>
      </c>
      <c r="C130" s="5">
        <v>25</v>
      </c>
      <c r="D130" s="5" t="s">
        <v>42</v>
      </c>
      <c r="E130" s="5">
        <v>1170000</v>
      </c>
      <c r="F130" s="35">
        <v>0.11</v>
      </c>
      <c r="G130" s="5">
        <v>84</v>
      </c>
      <c r="H130" s="5" t="s">
        <v>433</v>
      </c>
      <c r="I130" s="5">
        <v>20033.25</v>
      </c>
      <c r="J130" s="5">
        <v>1682793.05</v>
      </c>
      <c r="K130" s="5" t="s">
        <v>20</v>
      </c>
      <c r="L130" s="5" t="s">
        <v>39</v>
      </c>
      <c r="M130" s="5">
        <v>726</v>
      </c>
    </row>
    <row r="131" spans="1:13" x14ac:dyDescent="0.3">
      <c r="A131" s="4" t="s">
        <v>434</v>
      </c>
      <c r="B131" s="4" t="s">
        <v>435</v>
      </c>
      <c r="C131" s="4">
        <v>46</v>
      </c>
      <c r="D131" s="4" t="s">
        <v>23</v>
      </c>
      <c r="E131" s="4">
        <v>7850000</v>
      </c>
      <c r="F131" s="3">
        <v>9.5000000000000001E-2</v>
      </c>
      <c r="G131" s="4">
        <v>84</v>
      </c>
      <c r="H131" s="4" t="s">
        <v>436</v>
      </c>
      <c r="I131" s="4">
        <v>128300.26</v>
      </c>
      <c r="J131" s="4">
        <v>10777221.52</v>
      </c>
      <c r="K131" s="4" t="s">
        <v>16</v>
      </c>
      <c r="L131" s="4" t="s">
        <v>249</v>
      </c>
      <c r="M131" s="4">
        <v>697</v>
      </c>
    </row>
    <row r="132" spans="1:13" x14ac:dyDescent="0.3">
      <c r="A132" s="5" t="s">
        <v>437</v>
      </c>
      <c r="B132" s="5" t="s">
        <v>438</v>
      </c>
      <c r="C132" s="5">
        <v>34</v>
      </c>
      <c r="D132" s="5" t="s">
        <v>32</v>
      </c>
      <c r="E132" s="5">
        <v>130000</v>
      </c>
      <c r="F132" s="35">
        <v>9.5000000000000001E-2</v>
      </c>
      <c r="G132" s="5">
        <v>180</v>
      </c>
      <c r="H132" s="5" t="s">
        <v>439</v>
      </c>
      <c r="I132" s="5">
        <v>1357.49</v>
      </c>
      <c r="J132" s="5">
        <v>244348.58</v>
      </c>
      <c r="K132" s="5" t="s">
        <v>16</v>
      </c>
      <c r="L132" s="5" t="s">
        <v>316</v>
      </c>
      <c r="M132" s="5">
        <v>667</v>
      </c>
    </row>
    <row r="133" spans="1:13" x14ac:dyDescent="0.3">
      <c r="A133" s="4" t="s">
        <v>440</v>
      </c>
      <c r="B133" s="4" t="s">
        <v>441</v>
      </c>
      <c r="C133" s="4">
        <v>59</v>
      </c>
      <c r="D133" s="4" t="s">
        <v>32</v>
      </c>
      <c r="E133" s="4">
        <v>210000</v>
      </c>
      <c r="F133" s="3">
        <v>0.1</v>
      </c>
      <c r="G133" s="4">
        <v>60</v>
      </c>
      <c r="H133" s="4" t="s">
        <v>442</v>
      </c>
      <c r="I133" s="4">
        <v>4461.88</v>
      </c>
      <c r="J133" s="4">
        <v>267712.76</v>
      </c>
      <c r="K133" s="4" t="s">
        <v>16</v>
      </c>
      <c r="L133" s="4" t="s">
        <v>136</v>
      </c>
      <c r="M133" s="4">
        <v>891</v>
      </c>
    </row>
    <row r="134" spans="1:13" x14ac:dyDescent="0.3">
      <c r="A134" s="5" t="s">
        <v>443</v>
      </c>
      <c r="B134" s="5" t="s">
        <v>444</v>
      </c>
      <c r="C134" s="5">
        <v>47</v>
      </c>
      <c r="D134" s="5" t="s">
        <v>15</v>
      </c>
      <c r="E134" s="5">
        <v>990000</v>
      </c>
      <c r="F134" s="35">
        <v>0.08</v>
      </c>
      <c r="G134" s="5">
        <v>24</v>
      </c>
      <c r="H134" s="5" t="s">
        <v>445</v>
      </c>
      <c r="I134" s="5">
        <v>44775.02</v>
      </c>
      <c r="J134" s="5">
        <v>1074600.44</v>
      </c>
      <c r="K134" s="5" t="s">
        <v>16</v>
      </c>
      <c r="L134" s="5" t="s">
        <v>90</v>
      </c>
      <c r="M134" s="5">
        <v>612</v>
      </c>
    </row>
    <row r="135" spans="1:13" x14ac:dyDescent="0.3">
      <c r="A135" s="4" t="s">
        <v>446</v>
      </c>
      <c r="B135" s="4" t="s">
        <v>447</v>
      </c>
      <c r="C135" s="4">
        <v>29</v>
      </c>
      <c r="D135" s="4" t="s">
        <v>37</v>
      </c>
      <c r="E135" s="4">
        <v>2040000</v>
      </c>
      <c r="F135" s="3">
        <v>0.115</v>
      </c>
      <c r="G135" s="4">
        <v>84</v>
      </c>
      <c r="H135" s="4" t="s">
        <v>448</v>
      </c>
      <c r="I135" s="4">
        <v>35468.379999999997</v>
      </c>
      <c r="J135" s="4">
        <v>2979343.93</v>
      </c>
      <c r="K135" s="4" t="s">
        <v>20</v>
      </c>
      <c r="L135" s="4" t="s">
        <v>44</v>
      </c>
      <c r="M135" s="4">
        <v>738</v>
      </c>
    </row>
    <row r="136" spans="1:13" x14ac:dyDescent="0.3">
      <c r="A136" s="5" t="s">
        <v>449</v>
      </c>
      <c r="B136" s="5" t="s">
        <v>450</v>
      </c>
      <c r="C136" s="5">
        <v>35</v>
      </c>
      <c r="D136" s="5" t="s">
        <v>27</v>
      </c>
      <c r="E136" s="5">
        <v>890000</v>
      </c>
      <c r="F136" s="35">
        <v>0.11</v>
      </c>
      <c r="G136" s="5">
        <v>84</v>
      </c>
      <c r="H136" s="5" t="s">
        <v>451</v>
      </c>
      <c r="I136" s="5">
        <v>15238.97</v>
      </c>
      <c r="J136" s="5">
        <v>1280073.3500000001</v>
      </c>
      <c r="K136" s="5" t="s">
        <v>60</v>
      </c>
      <c r="L136" s="5" t="s">
        <v>25</v>
      </c>
      <c r="M136" s="5">
        <v>598</v>
      </c>
    </row>
    <row r="137" spans="1:13" x14ac:dyDescent="0.3">
      <c r="A137" s="4" t="s">
        <v>452</v>
      </c>
      <c r="B137" s="4" t="s">
        <v>453</v>
      </c>
      <c r="C137" s="4">
        <v>35</v>
      </c>
      <c r="D137" s="4" t="s">
        <v>15</v>
      </c>
      <c r="E137" s="4">
        <v>1330000</v>
      </c>
      <c r="F137" s="3">
        <v>7.4999999999999997E-2</v>
      </c>
      <c r="G137" s="4">
        <v>36</v>
      </c>
      <c r="H137" s="4" t="s">
        <v>454</v>
      </c>
      <c r="I137" s="4">
        <v>41371.269999999997</v>
      </c>
      <c r="J137" s="4">
        <v>1489365.73</v>
      </c>
      <c r="K137" s="4" t="s">
        <v>20</v>
      </c>
      <c r="L137" s="4" t="s">
        <v>326</v>
      </c>
      <c r="M137" s="4">
        <v>876</v>
      </c>
    </row>
    <row r="138" spans="1:13" x14ac:dyDescent="0.3">
      <c r="A138" s="5" t="s">
        <v>455</v>
      </c>
      <c r="B138" s="5" t="s">
        <v>456</v>
      </c>
      <c r="C138" s="5">
        <v>46</v>
      </c>
      <c r="D138" s="5" t="s">
        <v>37</v>
      </c>
      <c r="E138" s="5">
        <v>4470000</v>
      </c>
      <c r="F138" s="35">
        <v>0.1</v>
      </c>
      <c r="G138" s="5">
        <v>24</v>
      </c>
      <c r="H138" s="5" t="s">
        <v>457</v>
      </c>
      <c r="I138" s="5">
        <v>206267.82</v>
      </c>
      <c r="J138" s="5">
        <v>4950427.7</v>
      </c>
      <c r="K138" s="5" t="s">
        <v>20</v>
      </c>
      <c r="L138" s="5" t="s">
        <v>205</v>
      </c>
      <c r="M138" s="5">
        <v>806</v>
      </c>
    </row>
    <row r="139" spans="1:13" x14ac:dyDescent="0.3">
      <c r="A139" s="4" t="s">
        <v>458</v>
      </c>
      <c r="B139" s="4" t="s">
        <v>459</v>
      </c>
      <c r="C139" s="4">
        <v>62</v>
      </c>
      <c r="D139" s="4" t="s">
        <v>37</v>
      </c>
      <c r="E139" s="4">
        <v>2520000</v>
      </c>
      <c r="F139" s="3">
        <v>0.09</v>
      </c>
      <c r="G139" s="4">
        <v>120</v>
      </c>
      <c r="H139" s="4" t="s">
        <v>460</v>
      </c>
      <c r="I139" s="4">
        <v>31922.29</v>
      </c>
      <c r="J139" s="4">
        <v>3830675.4</v>
      </c>
      <c r="K139" s="4" t="s">
        <v>16</v>
      </c>
      <c r="L139" s="4" t="s">
        <v>52</v>
      </c>
      <c r="M139" s="4">
        <v>773</v>
      </c>
    </row>
    <row r="140" spans="1:13" x14ac:dyDescent="0.3">
      <c r="A140" s="5" t="s">
        <v>461</v>
      </c>
      <c r="B140" s="5" t="s">
        <v>462</v>
      </c>
      <c r="C140" s="5">
        <v>33</v>
      </c>
      <c r="D140" s="5" t="s">
        <v>37</v>
      </c>
      <c r="E140" s="5">
        <v>2390000</v>
      </c>
      <c r="F140" s="35">
        <v>9.5000000000000001E-2</v>
      </c>
      <c r="G140" s="5">
        <v>120</v>
      </c>
      <c r="H140" s="5" t="s">
        <v>463</v>
      </c>
      <c r="I140" s="5">
        <v>30926.02</v>
      </c>
      <c r="J140" s="5">
        <v>3711121.95</v>
      </c>
      <c r="K140" s="5" t="s">
        <v>20</v>
      </c>
      <c r="L140" s="5" t="s">
        <v>205</v>
      </c>
      <c r="M140" s="5">
        <v>690</v>
      </c>
    </row>
    <row r="141" spans="1:13" x14ac:dyDescent="0.3">
      <c r="A141" s="4" t="s">
        <v>464</v>
      </c>
      <c r="B141" s="4" t="s">
        <v>465</v>
      </c>
      <c r="C141" s="4">
        <v>52</v>
      </c>
      <c r="D141" s="4" t="s">
        <v>18</v>
      </c>
      <c r="E141" s="4">
        <v>830000</v>
      </c>
      <c r="F141" s="3">
        <v>0.12</v>
      </c>
      <c r="G141" s="4">
        <v>180</v>
      </c>
      <c r="H141" s="4" t="s">
        <v>466</v>
      </c>
      <c r="I141" s="4">
        <v>9961.39</v>
      </c>
      <c r="J141" s="4">
        <v>1793051.08</v>
      </c>
      <c r="K141" s="4" t="s">
        <v>60</v>
      </c>
      <c r="L141" s="4" t="s">
        <v>82</v>
      </c>
      <c r="M141" s="4">
        <v>764</v>
      </c>
    </row>
    <row r="142" spans="1:13" x14ac:dyDescent="0.3">
      <c r="A142" s="5" t="s">
        <v>467</v>
      </c>
      <c r="B142" s="5" t="s">
        <v>468</v>
      </c>
      <c r="C142" s="5">
        <v>59</v>
      </c>
      <c r="D142" s="5" t="s">
        <v>37</v>
      </c>
      <c r="E142" s="5">
        <v>1710000</v>
      </c>
      <c r="F142" s="35">
        <v>9.5000000000000001E-2</v>
      </c>
      <c r="G142" s="5">
        <v>60</v>
      </c>
      <c r="H142" s="5" t="s">
        <v>469</v>
      </c>
      <c r="I142" s="5">
        <v>35913.18</v>
      </c>
      <c r="J142" s="5">
        <v>2154790.9700000002</v>
      </c>
      <c r="K142" s="5" t="s">
        <v>20</v>
      </c>
      <c r="L142" s="5" t="s">
        <v>56</v>
      </c>
      <c r="M142" s="5">
        <v>760</v>
      </c>
    </row>
    <row r="143" spans="1:13" x14ac:dyDescent="0.3">
      <c r="A143" s="4" t="s">
        <v>470</v>
      </c>
      <c r="B143" s="4" t="s">
        <v>471</v>
      </c>
      <c r="C143" s="4">
        <v>52</v>
      </c>
      <c r="D143" s="4" t="s">
        <v>37</v>
      </c>
      <c r="E143" s="4">
        <v>4380000</v>
      </c>
      <c r="F143" s="3">
        <v>0.13</v>
      </c>
      <c r="G143" s="4">
        <v>120</v>
      </c>
      <c r="H143" s="4" t="s">
        <v>472</v>
      </c>
      <c r="I143" s="4">
        <v>65398.1</v>
      </c>
      <c r="J143" s="4">
        <v>7847772.4900000002</v>
      </c>
      <c r="K143" s="4" t="s">
        <v>16</v>
      </c>
      <c r="L143" s="4" t="s">
        <v>366</v>
      </c>
      <c r="M143" s="4">
        <v>867</v>
      </c>
    </row>
    <row r="144" spans="1:13" x14ac:dyDescent="0.3">
      <c r="A144" s="5" t="s">
        <v>473</v>
      </c>
      <c r="B144" s="5" t="s">
        <v>474</v>
      </c>
      <c r="C144" s="5">
        <v>24</v>
      </c>
      <c r="D144" s="5" t="s">
        <v>15</v>
      </c>
      <c r="E144" s="5">
        <v>320000</v>
      </c>
      <c r="F144" s="35">
        <v>0.12</v>
      </c>
      <c r="G144" s="5">
        <v>180</v>
      </c>
      <c r="H144" s="5" t="s">
        <v>475</v>
      </c>
      <c r="I144" s="5">
        <v>3840.54</v>
      </c>
      <c r="J144" s="5">
        <v>691296.8</v>
      </c>
      <c r="K144" s="5" t="s">
        <v>20</v>
      </c>
      <c r="L144" s="5" t="s">
        <v>212</v>
      </c>
      <c r="M144" s="5">
        <v>581</v>
      </c>
    </row>
    <row r="145" spans="1:13" x14ac:dyDescent="0.3">
      <c r="A145" s="4" t="s">
        <v>476</v>
      </c>
      <c r="B145" s="4" t="s">
        <v>477</v>
      </c>
      <c r="C145" s="4">
        <v>50</v>
      </c>
      <c r="D145" s="4" t="s">
        <v>42</v>
      </c>
      <c r="E145" s="4">
        <v>1480000</v>
      </c>
      <c r="F145" s="3">
        <v>0.09</v>
      </c>
      <c r="G145" s="4">
        <v>120</v>
      </c>
      <c r="H145" s="4" t="s">
        <v>478</v>
      </c>
      <c r="I145" s="4">
        <v>18748.009999999998</v>
      </c>
      <c r="J145" s="4">
        <v>2249761.7400000002</v>
      </c>
      <c r="K145" s="4" t="s">
        <v>16</v>
      </c>
      <c r="L145" s="4" t="s">
        <v>326</v>
      </c>
      <c r="M145" s="4">
        <v>707</v>
      </c>
    </row>
    <row r="146" spans="1:13" x14ac:dyDescent="0.3">
      <c r="A146" s="5" t="s">
        <v>479</v>
      </c>
      <c r="B146" s="5" t="s">
        <v>480</v>
      </c>
      <c r="C146" s="5">
        <v>57</v>
      </c>
      <c r="D146" s="5" t="s">
        <v>18</v>
      </c>
      <c r="E146" s="5">
        <v>1070000</v>
      </c>
      <c r="F146" s="35">
        <v>0.11</v>
      </c>
      <c r="G146" s="5">
        <v>36</v>
      </c>
      <c r="H146" s="5" t="s">
        <v>481</v>
      </c>
      <c r="I146" s="5">
        <v>35030.43</v>
      </c>
      <c r="J146" s="5">
        <v>1261095.3799999999</v>
      </c>
      <c r="K146" s="5" t="s">
        <v>20</v>
      </c>
      <c r="L146" s="5" t="s">
        <v>136</v>
      </c>
      <c r="M146" s="5">
        <v>834</v>
      </c>
    </row>
    <row r="147" spans="1:13" x14ac:dyDescent="0.3">
      <c r="A147" s="4" t="s">
        <v>482</v>
      </c>
      <c r="B147" s="4" t="s">
        <v>483</v>
      </c>
      <c r="C147" s="4">
        <v>43</v>
      </c>
      <c r="D147" s="4" t="s">
        <v>42</v>
      </c>
      <c r="E147" s="4">
        <v>1170000</v>
      </c>
      <c r="F147" s="3">
        <v>0.1</v>
      </c>
      <c r="G147" s="4">
        <v>24</v>
      </c>
      <c r="H147" s="4" t="s">
        <v>484</v>
      </c>
      <c r="I147" s="4">
        <v>53989.56</v>
      </c>
      <c r="J147" s="4">
        <v>1295749.53</v>
      </c>
      <c r="K147" s="4" t="s">
        <v>20</v>
      </c>
      <c r="L147" s="4" t="s">
        <v>132</v>
      </c>
      <c r="M147" s="4">
        <v>854</v>
      </c>
    </row>
    <row r="148" spans="1:13" x14ac:dyDescent="0.3">
      <c r="A148" s="5" t="s">
        <v>485</v>
      </c>
      <c r="B148" s="5" t="s">
        <v>486</v>
      </c>
      <c r="C148" s="5">
        <v>59</v>
      </c>
      <c r="D148" s="5" t="s">
        <v>15</v>
      </c>
      <c r="E148" s="5">
        <v>1370000</v>
      </c>
      <c r="F148" s="35">
        <v>0.12</v>
      </c>
      <c r="G148" s="5">
        <v>36</v>
      </c>
      <c r="H148" s="5" t="s">
        <v>487</v>
      </c>
      <c r="I148" s="5">
        <v>45503.6</v>
      </c>
      <c r="J148" s="5">
        <v>1638129.76</v>
      </c>
      <c r="K148" s="5" t="s">
        <v>16</v>
      </c>
      <c r="L148" s="5" t="s">
        <v>68</v>
      </c>
      <c r="M148" s="5">
        <v>835</v>
      </c>
    </row>
    <row r="149" spans="1:13" x14ac:dyDescent="0.3">
      <c r="A149" s="4" t="s">
        <v>488</v>
      </c>
      <c r="B149" s="4" t="s">
        <v>489</v>
      </c>
      <c r="C149" s="4">
        <v>35</v>
      </c>
      <c r="D149" s="4" t="s">
        <v>32</v>
      </c>
      <c r="E149" s="4">
        <v>330000</v>
      </c>
      <c r="F149" s="3">
        <v>0.11</v>
      </c>
      <c r="G149" s="4">
        <v>12</v>
      </c>
      <c r="H149" s="4" t="s">
        <v>396</v>
      </c>
      <c r="I149" s="4">
        <v>29165.95</v>
      </c>
      <c r="J149" s="4">
        <v>349991.37</v>
      </c>
      <c r="K149" s="4" t="s">
        <v>20</v>
      </c>
      <c r="L149" s="4" t="s">
        <v>48</v>
      </c>
      <c r="M149" s="4">
        <v>693</v>
      </c>
    </row>
    <row r="150" spans="1:13" x14ac:dyDescent="0.3">
      <c r="A150" s="5" t="s">
        <v>490</v>
      </c>
      <c r="B150" s="5" t="s">
        <v>491</v>
      </c>
      <c r="C150" s="5">
        <v>63</v>
      </c>
      <c r="D150" s="5" t="s">
        <v>42</v>
      </c>
      <c r="E150" s="5">
        <v>580000</v>
      </c>
      <c r="F150" s="35">
        <v>0.09</v>
      </c>
      <c r="G150" s="5">
        <v>36</v>
      </c>
      <c r="H150" s="5" t="s">
        <v>331</v>
      </c>
      <c r="I150" s="5">
        <v>18443.84</v>
      </c>
      <c r="J150" s="5">
        <v>663978.42000000004</v>
      </c>
      <c r="K150" s="5" t="s">
        <v>16</v>
      </c>
      <c r="L150" s="5" t="s">
        <v>56</v>
      </c>
      <c r="M150" s="5">
        <v>568</v>
      </c>
    </row>
    <row r="151" spans="1:13" x14ac:dyDescent="0.3">
      <c r="A151" s="4" t="s">
        <v>492</v>
      </c>
      <c r="B151" s="4" t="s">
        <v>493</v>
      </c>
      <c r="C151" s="4">
        <v>49</v>
      </c>
      <c r="D151" s="4" t="s">
        <v>27</v>
      </c>
      <c r="E151" s="4">
        <v>510000</v>
      </c>
      <c r="F151" s="3">
        <v>0.13</v>
      </c>
      <c r="G151" s="4">
        <v>24</v>
      </c>
      <c r="H151" s="4" t="s">
        <v>494</v>
      </c>
      <c r="I151" s="4">
        <v>24246.33</v>
      </c>
      <c r="J151" s="4">
        <v>581911.91</v>
      </c>
      <c r="K151" s="4" t="s">
        <v>20</v>
      </c>
      <c r="L151" s="4" t="s">
        <v>159</v>
      </c>
      <c r="M151" s="4">
        <v>567</v>
      </c>
    </row>
    <row r="152" spans="1:13" x14ac:dyDescent="0.3">
      <c r="A152" s="5" t="s">
        <v>495</v>
      </c>
      <c r="B152" s="5" t="s">
        <v>496</v>
      </c>
      <c r="C152" s="5">
        <v>56</v>
      </c>
      <c r="D152" s="5" t="s">
        <v>27</v>
      </c>
      <c r="E152" s="5">
        <v>350000</v>
      </c>
      <c r="F152" s="35">
        <v>0.115</v>
      </c>
      <c r="G152" s="5">
        <v>120</v>
      </c>
      <c r="H152" s="5" t="s">
        <v>497</v>
      </c>
      <c r="I152" s="5">
        <v>4920.84</v>
      </c>
      <c r="J152" s="5">
        <v>590500.86</v>
      </c>
      <c r="K152" s="5" t="s">
        <v>16</v>
      </c>
      <c r="L152" s="5" t="s">
        <v>326</v>
      </c>
      <c r="M152" s="5">
        <v>806</v>
      </c>
    </row>
    <row r="153" spans="1:13" x14ac:dyDescent="0.3">
      <c r="A153" s="4" t="s">
        <v>498</v>
      </c>
      <c r="B153" s="4" t="s">
        <v>499</v>
      </c>
      <c r="C153" s="4">
        <v>33</v>
      </c>
      <c r="D153" s="4" t="s">
        <v>32</v>
      </c>
      <c r="E153" s="4">
        <v>180000</v>
      </c>
      <c r="F153" s="3">
        <v>0.09</v>
      </c>
      <c r="G153" s="4">
        <v>180</v>
      </c>
      <c r="H153" s="4" t="s">
        <v>500</v>
      </c>
      <c r="I153" s="4">
        <v>1825.68</v>
      </c>
      <c r="J153" s="4">
        <v>328622.37</v>
      </c>
      <c r="K153" s="4" t="s">
        <v>20</v>
      </c>
      <c r="L153" s="4" t="s">
        <v>82</v>
      </c>
      <c r="M153" s="4">
        <v>627</v>
      </c>
    </row>
    <row r="154" spans="1:13" x14ac:dyDescent="0.3">
      <c r="A154" s="5" t="s">
        <v>501</v>
      </c>
      <c r="B154" s="5" t="s">
        <v>502</v>
      </c>
      <c r="C154" s="5">
        <v>52</v>
      </c>
      <c r="D154" s="5" t="s">
        <v>15</v>
      </c>
      <c r="E154" s="5">
        <v>630000</v>
      </c>
      <c r="F154" s="35">
        <v>8.5000000000000006E-2</v>
      </c>
      <c r="G154" s="5">
        <v>180</v>
      </c>
      <c r="H154" s="5" t="s">
        <v>503</v>
      </c>
      <c r="I154" s="5">
        <v>6203.86</v>
      </c>
      <c r="J154" s="5">
        <v>1116694.6599999999</v>
      </c>
      <c r="K154" s="5" t="s">
        <v>20</v>
      </c>
      <c r="L154" s="5" t="s">
        <v>201</v>
      </c>
      <c r="M154" s="5">
        <v>724</v>
      </c>
    </row>
    <row r="155" spans="1:13" x14ac:dyDescent="0.3">
      <c r="A155" s="4" t="s">
        <v>504</v>
      </c>
      <c r="B155" s="4" t="s">
        <v>182</v>
      </c>
      <c r="C155" s="4">
        <v>27</v>
      </c>
      <c r="D155" s="4" t="s">
        <v>27</v>
      </c>
      <c r="E155" s="4">
        <v>450000</v>
      </c>
      <c r="F155" s="3">
        <v>7.4999999999999997E-2</v>
      </c>
      <c r="G155" s="4">
        <v>36</v>
      </c>
      <c r="H155" s="4" t="s">
        <v>505</v>
      </c>
      <c r="I155" s="4">
        <v>13997.8</v>
      </c>
      <c r="J155" s="4">
        <v>503920.73</v>
      </c>
      <c r="K155" s="4" t="s">
        <v>60</v>
      </c>
      <c r="L155" s="4" t="s">
        <v>326</v>
      </c>
      <c r="M155" s="4">
        <v>743</v>
      </c>
    </row>
    <row r="156" spans="1:13" x14ac:dyDescent="0.3">
      <c r="A156" s="5" t="s">
        <v>506</v>
      </c>
      <c r="B156" s="5" t="s">
        <v>507</v>
      </c>
      <c r="C156" s="5">
        <v>42</v>
      </c>
      <c r="D156" s="5" t="s">
        <v>18</v>
      </c>
      <c r="E156" s="5">
        <v>1560000</v>
      </c>
      <c r="F156" s="35">
        <v>0.105</v>
      </c>
      <c r="G156" s="5">
        <v>120</v>
      </c>
      <c r="H156" s="5" t="s">
        <v>508</v>
      </c>
      <c r="I156" s="5">
        <v>21049.86</v>
      </c>
      <c r="J156" s="5">
        <v>2525983.14</v>
      </c>
      <c r="K156" s="5" t="s">
        <v>16</v>
      </c>
      <c r="L156" s="5" t="s">
        <v>25</v>
      </c>
      <c r="M156" s="5">
        <v>662</v>
      </c>
    </row>
    <row r="157" spans="1:13" x14ac:dyDescent="0.3">
      <c r="A157" s="4" t="s">
        <v>509</v>
      </c>
      <c r="B157" s="4" t="s">
        <v>510</v>
      </c>
      <c r="C157" s="4">
        <v>48</v>
      </c>
      <c r="D157" s="4" t="s">
        <v>15</v>
      </c>
      <c r="E157" s="4">
        <v>370000</v>
      </c>
      <c r="F157" s="3">
        <v>7.4999999999999997E-2</v>
      </c>
      <c r="G157" s="4">
        <v>84</v>
      </c>
      <c r="H157" s="4" t="s">
        <v>511</v>
      </c>
      <c r="I157" s="4">
        <v>5675.16</v>
      </c>
      <c r="J157" s="4">
        <v>476713.61</v>
      </c>
      <c r="K157" s="4" t="s">
        <v>312</v>
      </c>
      <c r="L157" s="4" t="s">
        <v>205</v>
      </c>
      <c r="M157" s="4">
        <v>663</v>
      </c>
    </row>
    <row r="158" spans="1:13" x14ac:dyDescent="0.3">
      <c r="A158" s="5" t="s">
        <v>512</v>
      </c>
      <c r="B158" s="5" t="s">
        <v>513</v>
      </c>
      <c r="C158" s="5">
        <v>22</v>
      </c>
      <c r="D158" s="5" t="s">
        <v>27</v>
      </c>
      <c r="E158" s="5">
        <v>570000</v>
      </c>
      <c r="F158" s="35">
        <v>0.09</v>
      </c>
      <c r="G158" s="5">
        <v>12</v>
      </c>
      <c r="H158" s="5" t="s">
        <v>514</v>
      </c>
      <c r="I158" s="5">
        <v>49847.34</v>
      </c>
      <c r="J158" s="5">
        <v>598168.1</v>
      </c>
      <c r="K158" s="5" t="s">
        <v>16</v>
      </c>
      <c r="L158" s="5" t="s">
        <v>29</v>
      </c>
      <c r="M158" s="5">
        <v>771</v>
      </c>
    </row>
    <row r="159" spans="1:13" x14ac:dyDescent="0.3">
      <c r="A159" s="4" t="s">
        <v>515</v>
      </c>
      <c r="B159" s="4" t="s">
        <v>516</v>
      </c>
      <c r="C159" s="4">
        <v>62</v>
      </c>
      <c r="D159" s="4" t="s">
        <v>23</v>
      </c>
      <c r="E159" s="4">
        <v>7230000</v>
      </c>
      <c r="F159" s="3">
        <v>0.115</v>
      </c>
      <c r="G159" s="4">
        <v>36</v>
      </c>
      <c r="H159" s="4" t="s">
        <v>517</v>
      </c>
      <c r="I159" s="4">
        <v>238416.53</v>
      </c>
      <c r="J159" s="4">
        <v>8582994.9499999993</v>
      </c>
      <c r="K159" s="4" t="s">
        <v>16</v>
      </c>
      <c r="L159" s="4" t="s">
        <v>25</v>
      </c>
      <c r="M159" s="4">
        <v>715</v>
      </c>
    </row>
    <row r="160" spans="1:13" x14ac:dyDescent="0.3">
      <c r="A160" s="5" t="s">
        <v>518</v>
      </c>
      <c r="B160" s="5" t="s">
        <v>519</v>
      </c>
      <c r="C160" s="5">
        <v>26</v>
      </c>
      <c r="D160" s="5" t="s">
        <v>32</v>
      </c>
      <c r="E160" s="5">
        <v>100000</v>
      </c>
      <c r="F160" s="35">
        <v>0.1</v>
      </c>
      <c r="G160" s="5">
        <v>180</v>
      </c>
      <c r="H160" s="5" t="s">
        <v>520</v>
      </c>
      <c r="I160" s="5">
        <v>1074.6099999999999</v>
      </c>
      <c r="J160" s="5">
        <v>193428.92</v>
      </c>
      <c r="K160" s="5" t="s">
        <v>312</v>
      </c>
      <c r="L160" s="5" t="s">
        <v>119</v>
      </c>
      <c r="M160" s="5">
        <v>868</v>
      </c>
    </row>
    <row r="161" spans="1:13" x14ac:dyDescent="0.3">
      <c r="A161" s="4" t="s">
        <v>521</v>
      </c>
      <c r="B161" s="4" t="s">
        <v>522</v>
      </c>
      <c r="C161" s="4">
        <v>48</v>
      </c>
      <c r="D161" s="4" t="s">
        <v>32</v>
      </c>
      <c r="E161" s="4">
        <v>330000</v>
      </c>
      <c r="F161" s="3">
        <v>0.125</v>
      </c>
      <c r="G161" s="4">
        <v>180</v>
      </c>
      <c r="H161" s="4" t="s">
        <v>523</v>
      </c>
      <c r="I161" s="4">
        <v>4067.32</v>
      </c>
      <c r="J161" s="4">
        <v>732118.12</v>
      </c>
      <c r="K161" s="4" t="s">
        <v>20</v>
      </c>
      <c r="L161" s="4" t="s">
        <v>29</v>
      </c>
      <c r="M161" s="4">
        <v>681</v>
      </c>
    </row>
    <row r="162" spans="1:13" x14ac:dyDescent="0.3">
      <c r="A162" s="5" t="s">
        <v>524</v>
      </c>
      <c r="B162" s="5" t="s">
        <v>525</v>
      </c>
      <c r="C162" s="5">
        <v>48</v>
      </c>
      <c r="D162" s="5" t="s">
        <v>32</v>
      </c>
      <c r="E162" s="5">
        <v>430000</v>
      </c>
      <c r="F162" s="35">
        <v>0.13</v>
      </c>
      <c r="G162" s="5">
        <v>24</v>
      </c>
      <c r="H162" s="5" t="s">
        <v>526</v>
      </c>
      <c r="I162" s="5">
        <v>20442.98</v>
      </c>
      <c r="J162" s="5">
        <v>490631.61</v>
      </c>
      <c r="K162" s="5" t="s">
        <v>20</v>
      </c>
      <c r="L162" s="5" t="s">
        <v>191</v>
      </c>
      <c r="M162" s="5">
        <v>813</v>
      </c>
    </row>
    <row r="163" spans="1:13" x14ac:dyDescent="0.3">
      <c r="A163" s="4" t="s">
        <v>527</v>
      </c>
      <c r="B163" s="4" t="s">
        <v>528</v>
      </c>
      <c r="C163" s="4">
        <v>64</v>
      </c>
      <c r="D163" s="4" t="s">
        <v>15</v>
      </c>
      <c r="E163" s="4">
        <v>1940000</v>
      </c>
      <c r="F163" s="3">
        <v>7.4999999999999997E-2</v>
      </c>
      <c r="G163" s="4">
        <v>120</v>
      </c>
      <c r="H163" s="4" t="s">
        <v>529</v>
      </c>
      <c r="I163" s="4">
        <v>23028.14</v>
      </c>
      <c r="J163" s="4">
        <v>2763377.19</v>
      </c>
      <c r="K163" s="4" t="s">
        <v>20</v>
      </c>
      <c r="L163" s="4" t="s">
        <v>155</v>
      </c>
      <c r="M163" s="4">
        <v>604</v>
      </c>
    </row>
    <row r="164" spans="1:13" x14ac:dyDescent="0.3">
      <c r="A164" s="5" t="s">
        <v>530</v>
      </c>
      <c r="B164" s="5" t="s">
        <v>531</v>
      </c>
      <c r="C164" s="5">
        <v>64</v>
      </c>
      <c r="D164" s="5" t="s">
        <v>18</v>
      </c>
      <c r="E164" s="5">
        <v>600000</v>
      </c>
      <c r="F164" s="35">
        <v>0.1</v>
      </c>
      <c r="G164" s="5">
        <v>180</v>
      </c>
      <c r="H164" s="5" t="s">
        <v>532</v>
      </c>
      <c r="I164" s="5">
        <v>6447.63</v>
      </c>
      <c r="J164" s="5">
        <v>1160573.53</v>
      </c>
      <c r="K164" s="5" t="s">
        <v>16</v>
      </c>
      <c r="L164" s="5" t="s">
        <v>191</v>
      </c>
      <c r="M164" s="5">
        <v>680</v>
      </c>
    </row>
    <row r="165" spans="1:13" x14ac:dyDescent="0.3">
      <c r="A165" s="4" t="s">
        <v>533</v>
      </c>
      <c r="B165" s="4" t="s">
        <v>534</v>
      </c>
      <c r="C165" s="4">
        <v>40</v>
      </c>
      <c r="D165" s="4" t="s">
        <v>37</v>
      </c>
      <c r="E165" s="4">
        <v>930000</v>
      </c>
      <c r="F165" s="3">
        <v>7.4999999999999997E-2</v>
      </c>
      <c r="G165" s="4">
        <v>12</v>
      </c>
      <c r="H165" s="4" t="s">
        <v>535</v>
      </c>
      <c r="I165" s="4">
        <v>80684.399999999994</v>
      </c>
      <c r="J165" s="4">
        <v>968212.77</v>
      </c>
      <c r="K165" s="4" t="s">
        <v>20</v>
      </c>
      <c r="L165" s="4" t="s">
        <v>326</v>
      </c>
      <c r="M165" s="4">
        <v>837</v>
      </c>
    </row>
    <row r="166" spans="1:13" x14ac:dyDescent="0.3">
      <c r="A166" s="5" t="s">
        <v>536</v>
      </c>
      <c r="B166" s="5" t="s">
        <v>537</v>
      </c>
      <c r="C166" s="5">
        <v>50</v>
      </c>
      <c r="D166" s="5" t="s">
        <v>32</v>
      </c>
      <c r="E166" s="5">
        <v>190000</v>
      </c>
      <c r="F166" s="35">
        <v>0.125</v>
      </c>
      <c r="G166" s="5">
        <v>24</v>
      </c>
      <c r="H166" s="5" t="s">
        <v>538</v>
      </c>
      <c r="I166" s="5">
        <v>8988.39</v>
      </c>
      <c r="J166" s="5">
        <v>215721.33</v>
      </c>
      <c r="K166" s="5" t="s">
        <v>60</v>
      </c>
      <c r="L166" s="5" t="s">
        <v>29</v>
      </c>
      <c r="M166" s="5">
        <v>815</v>
      </c>
    </row>
    <row r="167" spans="1:13" x14ac:dyDescent="0.3">
      <c r="A167" s="4" t="s">
        <v>539</v>
      </c>
      <c r="B167" s="4" t="s">
        <v>540</v>
      </c>
      <c r="C167" s="4">
        <v>31</v>
      </c>
      <c r="D167" s="4" t="s">
        <v>18</v>
      </c>
      <c r="E167" s="4">
        <v>990000</v>
      </c>
      <c r="F167" s="3">
        <v>0.105</v>
      </c>
      <c r="G167" s="4">
        <v>60</v>
      </c>
      <c r="H167" s="4" t="s">
        <v>541</v>
      </c>
      <c r="I167" s="4">
        <v>21278.959999999999</v>
      </c>
      <c r="J167" s="4">
        <v>1276737.68</v>
      </c>
      <c r="K167" s="4" t="s">
        <v>20</v>
      </c>
      <c r="L167" s="4" t="s">
        <v>201</v>
      </c>
      <c r="M167" s="4">
        <v>711</v>
      </c>
    </row>
    <row r="168" spans="1:13" x14ac:dyDescent="0.3">
      <c r="A168" s="5" t="s">
        <v>542</v>
      </c>
      <c r="B168" s="5" t="s">
        <v>543</v>
      </c>
      <c r="C168" s="5">
        <v>48</v>
      </c>
      <c r="D168" s="5" t="s">
        <v>27</v>
      </c>
      <c r="E168" s="5">
        <v>810000</v>
      </c>
      <c r="F168" s="35">
        <v>0.13</v>
      </c>
      <c r="G168" s="5">
        <v>84</v>
      </c>
      <c r="H168" s="5" t="s">
        <v>544</v>
      </c>
      <c r="I168" s="5">
        <v>14735.49</v>
      </c>
      <c r="J168" s="5">
        <v>1237781.19</v>
      </c>
      <c r="K168" s="5" t="s">
        <v>20</v>
      </c>
      <c r="L168" s="5" t="s">
        <v>56</v>
      </c>
      <c r="M168" s="5">
        <v>636</v>
      </c>
    </row>
    <row r="169" spans="1:13" x14ac:dyDescent="0.3">
      <c r="A169" s="4" t="s">
        <v>545</v>
      </c>
      <c r="B169" s="4" t="s">
        <v>546</v>
      </c>
      <c r="C169" s="4">
        <v>45</v>
      </c>
      <c r="D169" s="4" t="s">
        <v>23</v>
      </c>
      <c r="E169" s="4">
        <v>1660000</v>
      </c>
      <c r="F169" s="3">
        <v>0.13</v>
      </c>
      <c r="G169" s="4">
        <v>12</v>
      </c>
      <c r="H169" s="4" t="s">
        <v>547</v>
      </c>
      <c r="I169" s="4">
        <v>148266.68</v>
      </c>
      <c r="J169" s="4">
        <v>1779200.13</v>
      </c>
      <c r="K169" s="4" t="s">
        <v>16</v>
      </c>
      <c r="L169" s="4" t="s">
        <v>82</v>
      </c>
      <c r="M169" s="4">
        <v>604</v>
      </c>
    </row>
    <row r="170" spans="1:13" x14ac:dyDescent="0.3">
      <c r="A170" s="5" t="s">
        <v>548</v>
      </c>
      <c r="B170" s="5" t="s">
        <v>549</v>
      </c>
      <c r="C170" s="5">
        <v>59</v>
      </c>
      <c r="D170" s="5" t="s">
        <v>15</v>
      </c>
      <c r="E170" s="5">
        <v>350000</v>
      </c>
      <c r="F170" s="35">
        <v>9.5000000000000001E-2</v>
      </c>
      <c r="G170" s="5">
        <v>240</v>
      </c>
      <c r="H170" s="5" t="s">
        <v>550</v>
      </c>
      <c r="I170" s="5">
        <v>3262.46</v>
      </c>
      <c r="J170" s="5">
        <v>782990.2</v>
      </c>
      <c r="K170" s="5" t="s">
        <v>16</v>
      </c>
      <c r="L170" s="5" t="s">
        <v>39</v>
      </c>
      <c r="M170" s="5">
        <v>837</v>
      </c>
    </row>
    <row r="171" spans="1:13" x14ac:dyDescent="0.3">
      <c r="A171" s="4" t="s">
        <v>551</v>
      </c>
      <c r="B171" s="4" t="s">
        <v>552</v>
      </c>
      <c r="C171" s="4">
        <v>53</v>
      </c>
      <c r="D171" s="4" t="s">
        <v>27</v>
      </c>
      <c r="E171" s="4">
        <v>300000</v>
      </c>
      <c r="F171" s="3">
        <v>0.08</v>
      </c>
      <c r="G171" s="4">
        <v>48</v>
      </c>
      <c r="H171" s="4" t="s">
        <v>553</v>
      </c>
      <c r="I171" s="4">
        <v>7323.88</v>
      </c>
      <c r="J171" s="4">
        <v>351546.08</v>
      </c>
      <c r="K171" s="4" t="s">
        <v>16</v>
      </c>
      <c r="L171" s="4" t="s">
        <v>82</v>
      </c>
      <c r="M171" s="4">
        <v>727</v>
      </c>
    </row>
    <row r="172" spans="1:13" x14ac:dyDescent="0.3">
      <c r="A172" s="5" t="s">
        <v>554</v>
      </c>
      <c r="B172" s="5" t="s">
        <v>555</v>
      </c>
      <c r="C172" s="5">
        <v>21</v>
      </c>
      <c r="D172" s="5" t="s">
        <v>37</v>
      </c>
      <c r="E172" s="5">
        <v>2320000</v>
      </c>
      <c r="F172" s="35">
        <v>0.09</v>
      </c>
      <c r="G172" s="5">
        <v>84</v>
      </c>
      <c r="H172" s="5" t="s">
        <v>556</v>
      </c>
      <c r="I172" s="5">
        <v>37326.660000000003</v>
      </c>
      <c r="J172" s="5">
        <v>3135439.57</v>
      </c>
      <c r="K172" s="5" t="s">
        <v>16</v>
      </c>
      <c r="L172" s="5" t="s">
        <v>191</v>
      </c>
      <c r="M172" s="5">
        <v>898</v>
      </c>
    </row>
    <row r="173" spans="1:13" x14ac:dyDescent="0.3">
      <c r="A173" s="4" t="s">
        <v>557</v>
      </c>
      <c r="B173" s="4" t="s">
        <v>558</v>
      </c>
      <c r="C173" s="4">
        <v>47</v>
      </c>
      <c r="D173" s="4" t="s">
        <v>27</v>
      </c>
      <c r="E173" s="4">
        <v>600000</v>
      </c>
      <c r="F173" s="3">
        <v>0.115</v>
      </c>
      <c r="G173" s="4">
        <v>240</v>
      </c>
      <c r="H173" s="4" t="s">
        <v>559</v>
      </c>
      <c r="I173" s="4">
        <v>6398.58</v>
      </c>
      <c r="J173" s="4">
        <v>1535658.67</v>
      </c>
      <c r="K173" s="4" t="s">
        <v>16</v>
      </c>
      <c r="L173" s="4" t="s">
        <v>21</v>
      </c>
      <c r="M173" s="4">
        <v>557</v>
      </c>
    </row>
    <row r="174" spans="1:13" x14ac:dyDescent="0.3">
      <c r="A174" s="5" t="s">
        <v>560</v>
      </c>
      <c r="B174" s="5" t="s">
        <v>561</v>
      </c>
      <c r="C174" s="5">
        <v>33</v>
      </c>
      <c r="D174" s="5" t="s">
        <v>18</v>
      </c>
      <c r="E174" s="5">
        <v>640000</v>
      </c>
      <c r="F174" s="35">
        <v>0.09</v>
      </c>
      <c r="G174" s="5">
        <v>240</v>
      </c>
      <c r="H174" s="5" t="s">
        <v>562</v>
      </c>
      <c r="I174" s="5">
        <v>5758.25</v>
      </c>
      <c r="J174" s="5">
        <v>1381979.07</v>
      </c>
      <c r="K174" s="5" t="s">
        <v>16</v>
      </c>
      <c r="L174" s="5" t="s">
        <v>155</v>
      </c>
      <c r="M174" s="5">
        <v>870</v>
      </c>
    </row>
    <row r="175" spans="1:13" x14ac:dyDescent="0.3">
      <c r="A175" s="4" t="s">
        <v>563</v>
      </c>
      <c r="B175" s="4" t="s">
        <v>564</v>
      </c>
      <c r="C175" s="4">
        <v>61</v>
      </c>
      <c r="D175" s="4" t="s">
        <v>32</v>
      </c>
      <c r="E175" s="4">
        <v>220000</v>
      </c>
      <c r="F175" s="3">
        <v>0.105</v>
      </c>
      <c r="G175" s="4">
        <v>24</v>
      </c>
      <c r="H175" s="4" t="s">
        <v>565</v>
      </c>
      <c r="I175" s="4">
        <v>10202.73</v>
      </c>
      <c r="J175" s="4">
        <v>244865.5</v>
      </c>
      <c r="K175" s="4" t="s">
        <v>312</v>
      </c>
      <c r="L175" s="4" t="s">
        <v>222</v>
      </c>
      <c r="M175" s="4">
        <v>862</v>
      </c>
    </row>
    <row r="176" spans="1:13" x14ac:dyDescent="0.3">
      <c r="A176" s="5" t="s">
        <v>566</v>
      </c>
      <c r="B176" s="5" t="s">
        <v>567</v>
      </c>
      <c r="C176" s="5">
        <v>23</v>
      </c>
      <c r="D176" s="5" t="s">
        <v>23</v>
      </c>
      <c r="E176" s="5">
        <v>6090000</v>
      </c>
      <c r="F176" s="35">
        <v>0.11</v>
      </c>
      <c r="G176" s="5">
        <v>120</v>
      </c>
      <c r="H176" s="5" t="s">
        <v>150</v>
      </c>
      <c r="I176" s="5">
        <v>83889.76</v>
      </c>
      <c r="J176" s="5">
        <v>10066770.83</v>
      </c>
      <c r="K176" s="5" t="s">
        <v>16</v>
      </c>
      <c r="L176" s="5" t="s">
        <v>212</v>
      </c>
      <c r="M176" s="5">
        <v>796</v>
      </c>
    </row>
    <row r="177" spans="1:13" x14ac:dyDescent="0.3">
      <c r="A177" s="4" t="s">
        <v>568</v>
      </c>
      <c r="B177" s="4" t="s">
        <v>569</v>
      </c>
      <c r="C177" s="4">
        <v>59</v>
      </c>
      <c r="D177" s="4" t="s">
        <v>18</v>
      </c>
      <c r="E177" s="4">
        <v>230000</v>
      </c>
      <c r="F177" s="3">
        <v>7.4999999999999997E-2</v>
      </c>
      <c r="G177" s="4">
        <v>48</v>
      </c>
      <c r="H177" s="4" t="s">
        <v>570</v>
      </c>
      <c r="I177" s="4">
        <v>5561.15</v>
      </c>
      <c r="J177" s="4">
        <v>266935.08</v>
      </c>
      <c r="K177" s="4" t="s">
        <v>16</v>
      </c>
      <c r="L177" s="4" t="s">
        <v>68</v>
      </c>
      <c r="M177" s="4">
        <v>872</v>
      </c>
    </row>
    <row r="178" spans="1:13" x14ac:dyDescent="0.3">
      <c r="A178" s="5" t="s">
        <v>571</v>
      </c>
      <c r="B178" s="5" t="s">
        <v>572</v>
      </c>
      <c r="C178" s="5">
        <v>26</v>
      </c>
      <c r="D178" s="5" t="s">
        <v>18</v>
      </c>
      <c r="E178" s="5">
        <v>640000</v>
      </c>
      <c r="F178" s="35">
        <v>8.5000000000000006E-2</v>
      </c>
      <c r="G178" s="5">
        <v>180</v>
      </c>
      <c r="H178" s="5" t="s">
        <v>573</v>
      </c>
      <c r="I178" s="5">
        <v>6302.33</v>
      </c>
      <c r="J178" s="5">
        <v>1134419.97</v>
      </c>
      <c r="K178" s="5" t="s">
        <v>16</v>
      </c>
      <c r="L178" s="5" t="s">
        <v>29</v>
      </c>
      <c r="M178" s="5">
        <v>804</v>
      </c>
    </row>
    <row r="179" spans="1:13" x14ac:dyDescent="0.3">
      <c r="A179" s="4" t="s">
        <v>574</v>
      </c>
      <c r="B179" s="4" t="s">
        <v>575</v>
      </c>
      <c r="C179" s="4">
        <v>28</v>
      </c>
      <c r="D179" s="4" t="s">
        <v>32</v>
      </c>
      <c r="E179" s="4">
        <v>150000</v>
      </c>
      <c r="F179" s="3">
        <v>0.13</v>
      </c>
      <c r="G179" s="4">
        <v>84</v>
      </c>
      <c r="H179" s="4" t="s">
        <v>576</v>
      </c>
      <c r="I179" s="4">
        <v>2728.79</v>
      </c>
      <c r="J179" s="4">
        <v>229218.74</v>
      </c>
      <c r="K179" s="4" t="s">
        <v>20</v>
      </c>
      <c r="L179" s="4" t="s">
        <v>155</v>
      </c>
      <c r="M179" s="4">
        <v>877</v>
      </c>
    </row>
    <row r="180" spans="1:13" x14ac:dyDescent="0.3">
      <c r="A180" s="5" t="s">
        <v>577</v>
      </c>
      <c r="B180" s="5" t="s">
        <v>578</v>
      </c>
      <c r="C180" s="5">
        <v>47</v>
      </c>
      <c r="D180" s="5" t="s">
        <v>42</v>
      </c>
      <c r="E180" s="5">
        <v>550000</v>
      </c>
      <c r="F180" s="35">
        <v>9.5000000000000001E-2</v>
      </c>
      <c r="G180" s="5">
        <v>120</v>
      </c>
      <c r="H180" s="5" t="s">
        <v>579</v>
      </c>
      <c r="I180" s="5">
        <v>7116.87</v>
      </c>
      <c r="J180" s="5">
        <v>854023.88</v>
      </c>
      <c r="K180" s="5" t="s">
        <v>20</v>
      </c>
      <c r="L180" s="5" t="s">
        <v>64</v>
      </c>
      <c r="M180" s="5">
        <v>603</v>
      </c>
    </row>
    <row r="181" spans="1:13" x14ac:dyDescent="0.3">
      <c r="A181" s="4" t="s">
        <v>580</v>
      </c>
      <c r="B181" s="4" t="s">
        <v>581</v>
      </c>
      <c r="C181" s="4">
        <v>29</v>
      </c>
      <c r="D181" s="4" t="s">
        <v>32</v>
      </c>
      <c r="E181" s="4">
        <v>440000</v>
      </c>
      <c r="F181" s="3">
        <v>0.08</v>
      </c>
      <c r="G181" s="4">
        <v>36</v>
      </c>
      <c r="H181" s="4" t="s">
        <v>582</v>
      </c>
      <c r="I181" s="4">
        <v>13788</v>
      </c>
      <c r="J181" s="4">
        <v>496368.03</v>
      </c>
      <c r="K181" s="4" t="s">
        <v>60</v>
      </c>
      <c r="L181" s="4" t="s">
        <v>249</v>
      </c>
      <c r="M181" s="4">
        <v>798</v>
      </c>
    </row>
    <row r="182" spans="1:13" x14ac:dyDescent="0.3">
      <c r="A182" s="5" t="s">
        <v>583</v>
      </c>
      <c r="B182" s="5" t="s">
        <v>584</v>
      </c>
      <c r="C182" s="5">
        <v>57</v>
      </c>
      <c r="D182" s="5" t="s">
        <v>42</v>
      </c>
      <c r="E182" s="5">
        <v>1300000</v>
      </c>
      <c r="F182" s="35">
        <v>7.4999999999999997E-2</v>
      </c>
      <c r="G182" s="5">
        <v>240</v>
      </c>
      <c r="H182" s="5" t="s">
        <v>585</v>
      </c>
      <c r="I182" s="5">
        <v>10472.709999999999</v>
      </c>
      <c r="J182" s="5">
        <v>2513450.7599999998</v>
      </c>
      <c r="K182" s="5" t="s">
        <v>16</v>
      </c>
      <c r="L182" s="5" t="s">
        <v>201</v>
      </c>
      <c r="M182" s="5">
        <v>788</v>
      </c>
    </row>
    <row r="183" spans="1:13" x14ac:dyDescent="0.3">
      <c r="A183" s="4" t="s">
        <v>586</v>
      </c>
      <c r="B183" s="4" t="s">
        <v>587</v>
      </c>
      <c r="C183" s="4">
        <v>53</v>
      </c>
      <c r="D183" s="4" t="s">
        <v>32</v>
      </c>
      <c r="E183" s="4">
        <v>180000</v>
      </c>
      <c r="F183" s="3">
        <v>0.09</v>
      </c>
      <c r="G183" s="4">
        <v>12</v>
      </c>
      <c r="H183" s="4" t="s">
        <v>588</v>
      </c>
      <c r="I183" s="4">
        <v>15741.27</v>
      </c>
      <c r="J183" s="4">
        <v>188895.19</v>
      </c>
      <c r="K183" s="4" t="s">
        <v>16</v>
      </c>
      <c r="L183" s="4" t="s">
        <v>212</v>
      </c>
      <c r="M183" s="4">
        <v>778</v>
      </c>
    </row>
    <row r="184" spans="1:13" x14ac:dyDescent="0.3">
      <c r="A184" s="5" t="s">
        <v>589</v>
      </c>
      <c r="B184" s="5" t="s">
        <v>590</v>
      </c>
      <c r="C184" s="5">
        <v>62</v>
      </c>
      <c r="D184" s="5" t="s">
        <v>23</v>
      </c>
      <c r="E184" s="5">
        <v>4430000</v>
      </c>
      <c r="F184" s="35">
        <v>0.115</v>
      </c>
      <c r="G184" s="5">
        <v>12</v>
      </c>
      <c r="H184" s="5" t="s">
        <v>591</v>
      </c>
      <c r="I184" s="5">
        <v>392564.69</v>
      </c>
      <c r="J184" s="5">
        <v>4710776.26</v>
      </c>
      <c r="K184" s="5" t="s">
        <v>16</v>
      </c>
      <c r="L184" s="5" t="s">
        <v>205</v>
      </c>
      <c r="M184" s="5">
        <v>616</v>
      </c>
    </row>
    <row r="185" spans="1:13" x14ac:dyDescent="0.3">
      <c r="A185" s="4" t="s">
        <v>592</v>
      </c>
      <c r="B185" s="4" t="s">
        <v>593</v>
      </c>
      <c r="C185" s="4">
        <v>64</v>
      </c>
      <c r="D185" s="4" t="s">
        <v>18</v>
      </c>
      <c r="E185" s="4">
        <v>1030000</v>
      </c>
      <c r="F185" s="3">
        <v>0.105</v>
      </c>
      <c r="G185" s="4">
        <v>36</v>
      </c>
      <c r="H185" s="4" t="s">
        <v>594</v>
      </c>
      <c r="I185" s="4">
        <v>33477.519999999997</v>
      </c>
      <c r="J185" s="4">
        <v>1205190.6100000001</v>
      </c>
      <c r="K185" s="4" t="s">
        <v>20</v>
      </c>
      <c r="L185" s="4" t="s">
        <v>90</v>
      </c>
      <c r="M185" s="4">
        <v>600</v>
      </c>
    </row>
    <row r="186" spans="1:13" x14ac:dyDescent="0.3">
      <c r="A186" s="5" t="s">
        <v>595</v>
      </c>
      <c r="B186" s="5" t="s">
        <v>596</v>
      </c>
      <c r="C186" s="5">
        <v>44</v>
      </c>
      <c r="D186" s="5" t="s">
        <v>23</v>
      </c>
      <c r="E186" s="5">
        <v>5020000</v>
      </c>
      <c r="F186" s="35">
        <v>0.13</v>
      </c>
      <c r="G186" s="5">
        <v>240</v>
      </c>
      <c r="H186" s="5" t="s">
        <v>597</v>
      </c>
      <c r="I186" s="5">
        <v>58813.1</v>
      </c>
      <c r="J186" s="5">
        <v>14115144.17</v>
      </c>
      <c r="K186" s="5" t="s">
        <v>16</v>
      </c>
      <c r="L186" s="5" t="s">
        <v>56</v>
      </c>
      <c r="M186" s="5">
        <v>646</v>
      </c>
    </row>
    <row r="187" spans="1:13" x14ac:dyDescent="0.3">
      <c r="A187" s="4" t="s">
        <v>598</v>
      </c>
      <c r="B187" s="4" t="s">
        <v>599</v>
      </c>
      <c r="C187" s="4">
        <v>35</v>
      </c>
      <c r="D187" s="4" t="s">
        <v>15</v>
      </c>
      <c r="E187" s="4">
        <v>1360000</v>
      </c>
      <c r="F187" s="3">
        <v>0.1</v>
      </c>
      <c r="G187" s="4">
        <v>180</v>
      </c>
      <c r="H187" s="4" t="s">
        <v>600</v>
      </c>
      <c r="I187" s="4">
        <v>14614.63</v>
      </c>
      <c r="J187" s="4">
        <v>2630633.33</v>
      </c>
      <c r="K187" s="4" t="s">
        <v>60</v>
      </c>
      <c r="L187" s="4" t="s">
        <v>82</v>
      </c>
      <c r="M187" s="4">
        <v>641</v>
      </c>
    </row>
    <row r="188" spans="1:13" x14ac:dyDescent="0.3">
      <c r="A188" s="5" t="s">
        <v>601</v>
      </c>
      <c r="B188" s="5" t="s">
        <v>602</v>
      </c>
      <c r="C188" s="5">
        <v>52</v>
      </c>
      <c r="D188" s="5" t="s">
        <v>32</v>
      </c>
      <c r="E188" s="5">
        <v>220000</v>
      </c>
      <c r="F188" s="35">
        <v>0.11</v>
      </c>
      <c r="G188" s="5">
        <v>180</v>
      </c>
      <c r="H188" s="5" t="s">
        <v>603</v>
      </c>
      <c r="I188" s="5">
        <v>2500.5100000000002</v>
      </c>
      <c r="J188" s="5">
        <v>450092.39</v>
      </c>
      <c r="K188" s="5" t="s">
        <v>20</v>
      </c>
      <c r="L188" s="5" t="s">
        <v>108</v>
      </c>
      <c r="M188" s="5">
        <v>813</v>
      </c>
    </row>
    <row r="189" spans="1:13" x14ac:dyDescent="0.3">
      <c r="A189" s="4" t="s">
        <v>604</v>
      </c>
      <c r="B189" s="4" t="s">
        <v>605</v>
      </c>
      <c r="C189" s="4">
        <v>52</v>
      </c>
      <c r="D189" s="4" t="s">
        <v>18</v>
      </c>
      <c r="E189" s="4">
        <v>1830000</v>
      </c>
      <c r="F189" s="3">
        <v>0.13</v>
      </c>
      <c r="G189" s="4">
        <v>36</v>
      </c>
      <c r="H189" s="4" t="s">
        <v>606</v>
      </c>
      <c r="I189" s="4">
        <v>61659.93</v>
      </c>
      <c r="J189" s="4">
        <v>2219757.56</v>
      </c>
      <c r="K189" s="4" t="s">
        <v>20</v>
      </c>
      <c r="L189" s="4" t="s">
        <v>151</v>
      </c>
      <c r="M189" s="4">
        <v>840</v>
      </c>
    </row>
    <row r="190" spans="1:13" x14ac:dyDescent="0.3">
      <c r="A190" s="5" t="s">
        <v>607</v>
      </c>
      <c r="B190" s="5" t="s">
        <v>608</v>
      </c>
      <c r="C190" s="5">
        <v>44</v>
      </c>
      <c r="D190" s="5" t="s">
        <v>42</v>
      </c>
      <c r="E190" s="5">
        <v>890000</v>
      </c>
      <c r="F190" s="35">
        <v>0.08</v>
      </c>
      <c r="G190" s="5">
        <v>24</v>
      </c>
      <c r="H190" s="5" t="s">
        <v>609</v>
      </c>
      <c r="I190" s="5">
        <v>40252.29</v>
      </c>
      <c r="J190" s="5">
        <v>966054.95</v>
      </c>
      <c r="K190" s="5" t="s">
        <v>20</v>
      </c>
      <c r="L190" s="5" t="s">
        <v>64</v>
      </c>
      <c r="M190" s="5">
        <v>645</v>
      </c>
    </row>
    <row r="191" spans="1:13" x14ac:dyDescent="0.3">
      <c r="A191" s="4" t="s">
        <v>610</v>
      </c>
      <c r="B191" s="4" t="s">
        <v>611</v>
      </c>
      <c r="C191" s="4">
        <v>61</v>
      </c>
      <c r="D191" s="4" t="s">
        <v>15</v>
      </c>
      <c r="E191" s="4">
        <v>1000000</v>
      </c>
      <c r="F191" s="3">
        <v>0.12</v>
      </c>
      <c r="G191" s="4">
        <v>180</v>
      </c>
      <c r="H191" s="4" t="s">
        <v>612</v>
      </c>
      <c r="I191" s="4">
        <v>12001.68</v>
      </c>
      <c r="J191" s="4">
        <v>2160302.5099999998</v>
      </c>
      <c r="K191" s="4" t="s">
        <v>16</v>
      </c>
      <c r="L191" s="4" t="s">
        <v>326</v>
      </c>
      <c r="M191" s="4">
        <v>637</v>
      </c>
    </row>
    <row r="192" spans="1:13" x14ac:dyDescent="0.3">
      <c r="A192" s="5" t="s">
        <v>613</v>
      </c>
      <c r="B192" s="5" t="s">
        <v>614</v>
      </c>
      <c r="C192" s="5">
        <v>32</v>
      </c>
      <c r="D192" s="5" t="s">
        <v>27</v>
      </c>
      <c r="E192" s="5">
        <v>590000</v>
      </c>
      <c r="F192" s="35">
        <v>0.08</v>
      </c>
      <c r="G192" s="5">
        <v>84</v>
      </c>
      <c r="H192" s="5" t="s">
        <v>615</v>
      </c>
      <c r="I192" s="5">
        <v>9195.8700000000008</v>
      </c>
      <c r="J192" s="5">
        <v>772452.79</v>
      </c>
      <c r="K192" s="5" t="s">
        <v>60</v>
      </c>
      <c r="L192" s="5" t="s">
        <v>29</v>
      </c>
      <c r="M192" s="5">
        <v>627</v>
      </c>
    </row>
    <row r="193" spans="1:13" x14ac:dyDescent="0.3">
      <c r="A193" s="4" t="s">
        <v>616</v>
      </c>
      <c r="B193" s="4" t="s">
        <v>617</v>
      </c>
      <c r="C193" s="4">
        <v>59</v>
      </c>
      <c r="D193" s="4" t="s">
        <v>23</v>
      </c>
      <c r="E193" s="4">
        <v>9950000</v>
      </c>
      <c r="F193" s="3">
        <v>0.115</v>
      </c>
      <c r="G193" s="4">
        <v>48</v>
      </c>
      <c r="H193" s="4" t="s">
        <v>618</v>
      </c>
      <c r="I193" s="4">
        <v>259585.64</v>
      </c>
      <c r="J193" s="4">
        <v>12460110.65</v>
      </c>
      <c r="K193" s="4" t="s">
        <v>20</v>
      </c>
      <c r="L193" s="4" t="s">
        <v>226</v>
      </c>
      <c r="M193" s="4">
        <v>837</v>
      </c>
    </row>
    <row r="194" spans="1:13" x14ac:dyDescent="0.3">
      <c r="A194" s="5" t="s">
        <v>619</v>
      </c>
      <c r="B194" s="5" t="s">
        <v>620</v>
      </c>
      <c r="C194" s="5">
        <v>22</v>
      </c>
      <c r="D194" s="5" t="s">
        <v>15</v>
      </c>
      <c r="E194" s="5">
        <v>1560000</v>
      </c>
      <c r="F194" s="35">
        <v>8.5000000000000006E-2</v>
      </c>
      <c r="G194" s="5">
        <v>84</v>
      </c>
      <c r="H194" s="5" t="s">
        <v>621</v>
      </c>
      <c r="I194" s="5">
        <v>24704.92</v>
      </c>
      <c r="J194" s="5">
        <v>2075213.05</v>
      </c>
      <c r="K194" s="5" t="s">
        <v>60</v>
      </c>
      <c r="L194" s="5" t="s">
        <v>316</v>
      </c>
      <c r="M194" s="5">
        <v>669</v>
      </c>
    </row>
    <row r="195" spans="1:13" x14ac:dyDescent="0.3">
      <c r="A195" s="4" t="s">
        <v>622</v>
      </c>
      <c r="B195" s="4" t="s">
        <v>623</v>
      </c>
      <c r="C195" s="4">
        <v>23</v>
      </c>
      <c r="D195" s="4" t="s">
        <v>18</v>
      </c>
      <c r="E195" s="4">
        <v>950000</v>
      </c>
      <c r="F195" s="3">
        <v>0.125</v>
      </c>
      <c r="G195" s="4">
        <v>60</v>
      </c>
      <c r="H195" s="4" t="s">
        <v>624</v>
      </c>
      <c r="I195" s="4">
        <v>21373.040000000001</v>
      </c>
      <c r="J195" s="4">
        <v>1282382.48</v>
      </c>
      <c r="K195" s="4" t="s">
        <v>20</v>
      </c>
      <c r="L195" s="4" t="s">
        <v>249</v>
      </c>
      <c r="M195" s="4">
        <v>851</v>
      </c>
    </row>
    <row r="196" spans="1:13" x14ac:dyDescent="0.3">
      <c r="A196" s="5" t="s">
        <v>625</v>
      </c>
      <c r="B196" s="5" t="s">
        <v>626</v>
      </c>
      <c r="C196" s="5">
        <v>57</v>
      </c>
      <c r="D196" s="5" t="s">
        <v>23</v>
      </c>
      <c r="E196" s="5">
        <v>6170000</v>
      </c>
      <c r="F196" s="35">
        <v>0.105</v>
      </c>
      <c r="G196" s="5">
        <v>12</v>
      </c>
      <c r="H196" s="5" t="s">
        <v>627</v>
      </c>
      <c r="I196" s="5">
        <v>543876.88</v>
      </c>
      <c r="J196" s="5">
        <v>6526522.5599999996</v>
      </c>
      <c r="K196" s="5" t="s">
        <v>16</v>
      </c>
      <c r="L196" s="5" t="s">
        <v>366</v>
      </c>
      <c r="M196" s="5">
        <v>714</v>
      </c>
    </row>
    <row r="197" spans="1:13" x14ac:dyDescent="0.3">
      <c r="A197" s="4" t="s">
        <v>628</v>
      </c>
      <c r="B197" s="4" t="s">
        <v>231</v>
      </c>
      <c r="C197" s="4">
        <v>37</v>
      </c>
      <c r="D197" s="4" t="s">
        <v>15</v>
      </c>
      <c r="E197" s="4">
        <v>750000</v>
      </c>
      <c r="F197" s="3">
        <v>0.08</v>
      </c>
      <c r="G197" s="4">
        <v>240</v>
      </c>
      <c r="H197" s="4" t="s">
        <v>629</v>
      </c>
      <c r="I197" s="4">
        <v>6273.3</v>
      </c>
      <c r="J197" s="4">
        <v>1505592.12</v>
      </c>
      <c r="K197" s="4" t="s">
        <v>20</v>
      </c>
      <c r="L197" s="4" t="s">
        <v>86</v>
      </c>
      <c r="M197" s="4">
        <v>731</v>
      </c>
    </row>
    <row r="198" spans="1:13" x14ac:dyDescent="0.3">
      <c r="A198" s="5" t="s">
        <v>630</v>
      </c>
      <c r="B198" s="5" t="s">
        <v>631</v>
      </c>
      <c r="C198" s="5">
        <v>22</v>
      </c>
      <c r="D198" s="5" t="s">
        <v>27</v>
      </c>
      <c r="E198" s="5">
        <v>480000</v>
      </c>
      <c r="F198" s="35">
        <v>0.12</v>
      </c>
      <c r="G198" s="5">
        <v>48</v>
      </c>
      <c r="H198" s="5" t="s">
        <v>632</v>
      </c>
      <c r="I198" s="5">
        <v>12640.24</v>
      </c>
      <c r="J198" s="5">
        <v>606731.56999999995</v>
      </c>
      <c r="K198" s="5" t="s">
        <v>16</v>
      </c>
      <c r="L198" s="5" t="s">
        <v>143</v>
      </c>
      <c r="M198" s="5">
        <v>772</v>
      </c>
    </row>
    <row r="199" spans="1:13" x14ac:dyDescent="0.3">
      <c r="A199" s="4" t="s">
        <v>633</v>
      </c>
      <c r="B199" s="4" t="s">
        <v>417</v>
      </c>
      <c r="C199" s="4">
        <v>22</v>
      </c>
      <c r="D199" s="4" t="s">
        <v>27</v>
      </c>
      <c r="E199" s="4">
        <v>640000</v>
      </c>
      <c r="F199" s="3">
        <v>0.12</v>
      </c>
      <c r="G199" s="4">
        <v>240</v>
      </c>
      <c r="H199" s="4" t="s">
        <v>634</v>
      </c>
      <c r="I199" s="4">
        <v>7046.95</v>
      </c>
      <c r="J199" s="4">
        <v>1691268.3</v>
      </c>
      <c r="K199" s="4" t="s">
        <v>20</v>
      </c>
      <c r="L199" s="4" t="s">
        <v>187</v>
      </c>
      <c r="M199" s="4">
        <v>860</v>
      </c>
    </row>
    <row r="200" spans="1:13" x14ac:dyDescent="0.3">
      <c r="A200" s="5" t="s">
        <v>635</v>
      </c>
      <c r="B200" s="5" t="s">
        <v>636</v>
      </c>
      <c r="C200" s="5">
        <v>48</v>
      </c>
      <c r="D200" s="5" t="s">
        <v>37</v>
      </c>
      <c r="E200" s="5">
        <v>4670000</v>
      </c>
      <c r="F200" s="35">
        <v>7.4999999999999997E-2</v>
      </c>
      <c r="G200" s="5">
        <v>120</v>
      </c>
      <c r="H200" s="5" t="s">
        <v>637</v>
      </c>
      <c r="I200" s="5">
        <v>55433.73</v>
      </c>
      <c r="J200" s="5">
        <v>6652047.1399999997</v>
      </c>
      <c r="K200" s="5" t="s">
        <v>20</v>
      </c>
      <c r="L200" s="5" t="s">
        <v>82</v>
      </c>
      <c r="M200" s="5">
        <v>556</v>
      </c>
    </row>
    <row r="201" spans="1:13" x14ac:dyDescent="0.3">
      <c r="A201" s="4" t="s">
        <v>638</v>
      </c>
      <c r="B201" s="4" t="s">
        <v>639</v>
      </c>
      <c r="C201" s="4">
        <v>43</v>
      </c>
      <c r="D201" s="4" t="s">
        <v>42</v>
      </c>
      <c r="E201" s="4">
        <v>1280000</v>
      </c>
      <c r="F201" s="3">
        <v>0.105</v>
      </c>
      <c r="G201" s="4">
        <v>120</v>
      </c>
      <c r="H201" s="4" t="s">
        <v>177</v>
      </c>
      <c r="I201" s="4">
        <v>17271.68</v>
      </c>
      <c r="J201" s="4">
        <v>2072601.55</v>
      </c>
      <c r="K201" s="4" t="s">
        <v>16</v>
      </c>
      <c r="L201" s="4" t="s">
        <v>249</v>
      </c>
      <c r="M201" s="4">
        <v>879</v>
      </c>
    </row>
    <row r="202" spans="1:13" x14ac:dyDescent="0.3">
      <c r="A202" s="5" t="s">
        <v>640</v>
      </c>
      <c r="B202" s="5" t="s">
        <v>641</v>
      </c>
      <c r="C202" s="5">
        <v>57</v>
      </c>
      <c r="D202" s="5" t="s">
        <v>18</v>
      </c>
      <c r="E202" s="5">
        <v>410000</v>
      </c>
      <c r="F202" s="35">
        <v>0.125</v>
      </c>
      <c r="G202" s="5">
        <v>48</v>
      </c>
      <c r="H202" s="5" t="s">
        <v>642</v>
      </c>
      <c r="I202" s="5">
        <v>10897.8</v>
      </c>
      <c r="J202" s="5">
        <v>523094.38</v>
      </c>
      <c r="K202" s="5" t="s">
        <v>60</v>
      </c>
      <c r="L202" s="5" t="s">
        <v>94</v>
      </c>
      <c r="M202" s="5">
        <v>812</v>
      </c>
    </row>
    <row r="203" spans="1:13" x14ac:dyDescent="0.3">
      <c r="A203" s="4" t="s">
        <v>643</v>
      </c>
      <c r="B203" s="4" t="s">
        <v>644</v>
      </c>
      <c r="C203" s="4">
        <v>52</v>
      </c>
      <c r="D203" s="4" t="s">
        <v>37</v>
      </c>
      <c r="E203" s="4">
        <v>4440000</v>
      </c>
      <c r="F203" s="3">
        <v>8.5000000000000006E-2</v>
      </c>
      <c r="G203" s="4">
        <v>24</v>
      </c>
      <c r="H203" s="4" t="s">
        <v>645</v>
      </c>
      <c r="I203" s="4">
        <v>201823.2</v>
      </c>
      <c r="J203" s="4">
        <v>4843756.72</v>
      </c>
      <c r="K203" s="4" t="s">
        <v>20</v>
      </c>
      <c r="L203" s="4" t="s">
        <v>151</v>
      </c>
      <c r="M203" s="4">
        <v>710</v>
      </c>
    </row>
    <row r="204" spans="1:13" x14ac:dyDescent="0.3">
      <c r="A204" s="5" t="s">
        <v>646</v>
      </c>
      <c r="B204" s="5" t="s">
        <v>647</v>
      </c>
      <c r="C204" s="5">
        <v>53</v>
      </c>
      <c r="D204" s="5" t="s">
        <v>42</v>
      </c>
      <c r="E204" s="5">
        <v>970000</v>
      </c>
      <c r="F204" s="35">
        <v>0.09</v>
      </c>
      <c r="G204" s="5">
        <v>180</v>
      </c>
      <c r="H204" s="5" t="s">
        <v>648</v>
      </c>
      <c r="I204" s="5">
        <v>9838.39</v>
      </c>
      <c r="J204" s="5">
        <v>1770909.46</v>
      </c>
      <c r="K204" s="5" t="s">
        <v>20</v>
      </c>
      <c r="L204" s="5" t="s">
        <v>86</v>
      </c>
      <c r="M204" s="5">
        <v>700</v>
      </c>
    </row>
    <row r="205" spans="1:13" x14ac:dyDescent="0.3">
      <c r="A205" s="4" t="s">
        <v>649</v>
      </c>
      <c r="B205" s="4" t="s">
        <v>650</v>
      </c>
      <c r="C205" s="4">
        <v>21</v>
      </c>
      <c r="D205" s="4" t="s">
        <v>27</v>
      </c>
      <c r="E205" s="4">
        <v>310000</v>
      </c>
      <c r="F205" s="3">
        <v>9.5000000000000001E-2</v>
      </c>
      <c r="G205" s="4">
        <v>180</v>
      </c>
      <c r="H205" s="4" t="s">
        <v>651</v>
      </c>
      <c r="I205" s="4">
        <v>3237.1</v>
      </c>
      <c r="J205" s="4">
        <v>582677.37</v>
      </c>
      <c r="K205" s="4" t="s">
        <v>16</v>
      </c>
      <c r="L205" s="4" t="s">
        <v>115</v>
      </c>
      <c r="M205" s="4">
        <v>634</v>
      </c>
    </row>
    <row r="206" spans="1:13" x14ac:dyDescent="0.3">
      <c r="A206" s="5" t="s">
        <v>652</v>
      </c>
      <c r="B206" s="5" t="s">
        <v>127</v>
      </c>
      <c r="C206" s="5">
        <v>39</v>
      </c>
      <c r="D206" s="5" t="s">
        <v>15</v>
      </c>
      <c r="E206" s="5">
        <v>980000</v>
      </c>
      <c r="F206" s="35">
        <v>9.5000000000000001E-2</v>
      </c>
      <c r="G206" s="5">
        <v>180</v>
      </c>
      <c r="H206" s="5" t="s">
        <v>653</v>
      </c>
      <c r="I206" s="5">
        <v>10233.4</v>
      </c>
      <c r="J206" s="5">
        <v>1842012.34</v>
      </c>
      <c r="K206" s="5" t="s">
        <v>16</v>
      </c>
      <c r="L206" s="5" t="s">
        <v>326</v>
      </c>
      <c r="M206" s="5">
        <v>696</v>
      </c>
    </row>
    <row r="207" spans="1:13" x14ac:dyDescent="0.3">
      <c r="A207" s="4" t="s">
        <v>654</v>
      </c>
      <c r="B207" s="4" t="s">
        <v>655</v>
      </c>
      <c r="C207" s="4">
        <v>22</v>
      </c>
      <c r="D207" s="4" t="s">
        <v>18</v>
      </c>
      <c r="E207" s="4">
        <v>860000</v>
      </c>
      <c r="F207" s="3">
        <v>0.1</v>
      </c>
      <c r="G207" s="4">
        <v>24</v>
      </c>
      <c r="H207" s="4" t="s">
        <v>656</v>
      </c>
      <c r="I207" s="4">
        <v>39684.639999999999</v>
      </c>
      <c r="J207" s="4">
        <v>952431.28</v>
      </c>
      <c r="K207" s="4" t="s">
        <v>16</v>
      </c>
      <c r="L207" s="4" t="s">
        <v>29</v>
      </c>
      <c r="M207" s="4">
        <v>661</v>
      </c>
    </row>
    <row r="208" spans="1:13" x14ac:dyDescent="0.3">
      <c r="A208" s="5" t="s">
        <v>657</v>
      </c>
      <c r="B208" s="5" t="s">
        <v>658</v>
      </c>
      <c r="C208" s="5">
        <v>64</v>
      </c>
      <c r="D208" s="5" t="s">
        <v>32</v>
      </c>
      <c r="E208" s="5">
        <v>270000</v>
      </c>
      <c r="F208" s="35">
        <v>0.105</v>
      </c>
      <c r="G208" s="5">
        <v>180</v>
      </c>
      <c r="H208" s="5" t="s">
        <v>659</v>
      </c>
      <c r="I208" s="5">
        <v>2984.58</v>
      </c>
      <c r="J208" s="5">
        <v>537223.88</v>
      </c>
      <c r="K208" s="5" t="s">
        <v>20</v>
      </c>
      <c r="L208" s="5" t="s">
        <v>316</v>
      </c>
      <c r="M208" s="5">
        <v>585</v>
      </c>
    </row>
    <row r="209" spans="1:13" x14ac:dyDescent="0.3">
      <c r="A209" s="4" t="s">
        <v>660</v>
      </c>
      <c r="B209" s="4" t="s">
        <v>575</v>
      </c>
      <c r="C209" s="4">
        <v>46</v>
      </c>
      <c r="D209" s="4" t="s">
        <v>23</v>
      </c>
      <c r="E209" s="4">
        <v>1770000</v>
      </c>
      <c r="F209" s="3">
        <v>0.13</v>
      </c>
      <c r="G209" s="4">
        <v>180</v>
      </c>
      <c r="H209" s="4" t="s">
        <v>430</v>
      </c>
      <c r="I209" s="4">
        <v>22394.79</v>
      </c>
      <c r="J209" s="4">
        <v>4031061.54</v>
      </c>
      <c r="K209" s="4" t="s">
        <v>20</v>
      </c>
      <c r="L209" s="4" t="s">
        <v>21</v>
      </c>
      <c r="M209" s="4">
        <v>834</v>
      </c>
    </row>
    <row r="210" spans="1:13" x14ac:dyDescent="0.3">
      <c r="A210" s="5" t="s">
        <v>661</v>
      </c>
      <c r="B210" s="5" t="s">
        <v>662</v>
      </c>
      <c r="C210" s="5">
        <v>52</v>
      </c>
      <c r="D210" s="5" t="s">
        <v>27</v>
      </c>
      <c r="E210" s="5">
        <v>690000</v>
      </c>
      <c r="F210" s="35">
        <v>0.13</v>
      </c>
      <c r="G210" s="5">
        <v>84</v>
      </c>
      <c r="H210" s="5" t="s">
        <v>663</v>
      </c>
      <c r="I210" s="5">
        <v>12552.45</v>
      </c>
      <c r="J210" s="5">
        <v>1054406.2</v>
      </c>
      <c r="K210" s="5" t="s">
        <v>16</v>
      </c>
      <c r="L210" s="5" t="s">
        <v>21</v>
      </c>
      <c r="M210" s="5">
        <v>737</v>
      </c>
    </row>
    <row r="211" spans="1:13" x14ac:dyDescent="0.3">
      <c r="A211" s="4" t="s">
        <v>664</v>
      </c>
      <c r="B211" s="4" t="s">
        <v>665</v>
      </c>
      <c r="C211" s="4">
        <v>26</v>
      </c>
      <c r="D211" s="4" t="s">
        <v>27</v>
      </c>
      <c r="E211" s="4">
        <v>330000</v>
      </c>
      <c r="F211" s="3">
        <v>0.1</v>
      </c>
      <c r="G211" s="4">
        <v>24</v>
      </c>
      <c r="H211" s="4" t="s">
        <v>666</v>
      </c>
      <c r="I211" s="4">
        <v>15227.83</v>
      </c>
      <c r="J211" s="4">
        <v>365467.82</v>
      </c>
      <c r="K211" s="4" t="s">
        <v>20</v>
      </c>
      <c r="L211" s="4" t="s">
        <v>34</v>
      </c>
      <c r="M211" s="4">
        <v>631</v>
      </c>
    </row>
    <row r="212" spans="1:13" x14ac:dyDescent="0.3">
      <c r="A212" s="5" t="s">
        <v>667</v>
      </c>
      <c r="B212" s="5" t="s">
        <v>668</v>
      </c>
      <c r="C212" s="5">
        <v>52</v>
      </c>
      <c r="D212" s="5" t="s">
        <v>18</v>
      </c>
      <c r="E212" s="5">
        <v>1750000</v>
      </c>
      <c r="F212" s="35">
        <v>0.1</v>
      </c>
      <c r="G212" s="5">
        <v>180</v>
      </c>
      <c r="H212" s="5" t="s">
        <v>669</v>
      </c>
      <c r="I212" s="5">
        <v>18805.59</v>
      </c>
      <c r="J212" s="5">
        <v>3385006.12</v>
      </c>
      <c r="K212" s="5" t="s">
        <v>16</v>
      </c>
      <c r="L212" s="5" t="s">
        <v>56</v>
      </c>
      <c r="M212" s="5">
        <v>551</v>
      </c>
    </row>
    <row r="213" spans="1:13" x14ac:dyDescent="0.3">
      <c r="A213" s="4" t="s">
        <v>670</v>
      </c>
      <c r="B213" s="4" t="s">
        <v>671</v>
      </c>
      <c r="C213" s="4">
        <v>24</v>
      </c>
      <c r="D213" s="4" t="s">
        <v>18</v>
      </c>
      <c r="E213" s="4">
        <v>510000</v>
      </c>
      <c r="F213" s="3">
        <v>0.11</v>
      </c>
      <c r="G213" s="4">
        <v>12</v>
      </c>
      <c r="H213" s="4" t="s">
        <v>288</v>
      </c>
      <c r="I213" s="4">
        <v>45074.65</v>
      </c>
      <c r="J213" s="4">
        <v>540895.75</v>
      </c>
      <c r="K213" s="4" t="s">
        <v>60</v>
      </c>
      <c r="L213" s="4" t="s">
        <v>108</v>
      </c>
      <c r="M213" s="4">
        <v>852</v>
      </c>
    </row>
    <row r="214" spans="1:13" x14ac:dyDescent="0.3">
      <c r="A214" s="5" t="s">
        <v>672</v>
      </c>
      <c r="B214" s="5" t="s">
        <v>673</v>
      </c>
      <c r="C214" s="5">
        <v>31</v>
      </c>
      <c r="D214" s="5" t="s">
        <v>15</v>
      </c>
      <c r="E214" s="5">
        <v>230000</v>
      </c>
      <c r="F214" s="35">
        <v>9.5000000000000001E-2</v>
      </c>
      <c r="G214" s="5">
        <v>24</v>
      </c>
      <c r="H214" s="5" t="s">
        <v>674</v>
      </c>
      <c r="I214" s="5">
        <v>10560.33</v>
      </c>
      <c r="J214" s="5">
        <v>253448</v>
      </c>
      <c r="K214" s="5" t="s">
        <v>16</v>
      </c>
      <c r="L214" s="5" t="s">
        <v>119</v>
      </c>
      <c r="M214" s="5">
        <v>746</v>
      </c>
    </row>
    <row r="215" spans="1:13" x14ac:dyDescent="0.3">
      <c r="A215" s="4" t="s">
        <v>675</v>
      </c>
      <c r="B215" s="4" t="s">
        <v>304</v>
      </c>
      <c r="C215" s="4">
        <v>37</v>
      </c>
      <c r="D215" s="4" t="s">
        <v>18</v>
      </c>
      <c r="E215" s="4">
        <v>750000</v>
      </c>
      <c r="F215" s="3">
        <v>0.09</v>
      </c>
      <c r="G215" s="4">
        <v>120</v>
      </c>
      <c r="H215" s="4" t="s">
        <v>676</v>
      </c>
      <c r="I215" s="4">
        <v>9500.68</v>
      </c>
      <c r="J215" s="4">
        <v>1140081.96</v>
      </c>
      <c r="K215" s="4" t="s">
        <v>16</v>
      </c>
      <c r="L215" s="4" t="s">
        <v>48</v>
      </c>
      <c r="M215" s="4">
        <v>560</v>
      </c>
    </row>
    <row r="216" spans="1:13" x14ac:dyDescent="0.3">
      <c r="A216" s="5" t="s">
        <v>677</v>
      </c>
      <c r="B216" s="5" t="s">
        <v>678</v>
      </c>
      <c r="C216" s="5">
        <v>58</v>
      </c>
      <c r="D216" s="5" t="s">
        <v>32</v>
      </c>
      <c r="E216" s="5">
        <v>340000</v>
      </c>
      <c r="F216" s="35">
        <v>0.08</v>
      </c>
      <c r="G216" s="5">
        <v>120</v>
      </c>
      <c r="H216" s="5" t="s">
        <v>679</v>
      </c>
      <c r="I216" s="5">
        <v>4125.1400000000003</v>
      </c>
      <c r="J216" s="5">
        <v>495016.58</v>
      </c>
      <c r="K216" s="5" t="s">
        <v>16</v>
      </c>
      <c r="L216" s="5" t="s">
        <v>48</v>
      </c>
      <c r="M216" s="5">
        <v>783</v>
      </c>
    </row>
    <row r="217" spans="1:13" x14ac:dyDescent="0.3">
      <c r="A217" s="4" t="s">
        <v>680</v>
      </c>
      <c r="B217" s="4" t="s">
        <v>681</v>
      </c>
      <c r="C217" s="4">
        <v>44</v>
      </c>
      <c r="D217" s="4" t="s">
        <v>27</v>
      </c>
      <c r="E217" s="4">
        <v>710000</v>
      </c>
      <c r="F217" s="3">
        <v>0.09</v>
      </c>
      <c r="G217" s="4">
        <v>12</v>
      </c>
      <c r="H217" s="4" t="s">
        <v>682</v>
      </c>
      <c r="I217" s="4">
        <v>62090.55</v>
      </c>
      <c r="J217" s="4">
        <v>745086.58</v>
      </c>
      <c r="K217" s="4" t="s">
        <v>16</v>
      </c>
      <c r="L217" s="4" t="s">
        <v>205</v>
      </c>
      <c r="M217" s="4">
        <v>744</v>
      </c>
    </row>
    <row r="218" spans="1:13" x14ac:dyDescent="0.3">
      <c r="A218" s="5" t="s">
        <v>683</v>
      </c>
      <c r="B218" s="5" t="s">
        <v>684</v>
      </c>
      <c r="C218" s="5">
        <v>25</v>
      </c>
      <c r="D218" s="5" t="s">
        <v>27</v>
      </c>
      <c r="E218" s="5">
        <v>710000</v>
      </c>
      <c r="F218" s="35">
        <v>8.5000000000000006E-2</v>
      </c>
      <c r="G218" s="5">
        <v>240</v>
      </c>
      <c r="H218" s="5" t="s">
        <v>685</v>
      </c>
      <c r="I218" s="5">
        <v>6161.54</v>
      </c>
      <c r="J218" s="5">
        <v>1478770.79</v>
      </c>
      <c r="K218" s="5" t="s">
        <v>16</v>
      </c>
      <c r="L218" s="5" t="s">
        <v>25</v>
      </c>
      <c r="M218" s="5">
        <v>668</v>
      </c>
    </row>
    <row r="219" spans="1:13" x14ac:dyDescent="0.3">
      <c r="A219" s="4" t="s">
        <v>686</v>
      </c>
      <c r="B219" s="4" t="s">
        <v>687</v>
      </c>
      <c r="C219" s="4">
        <v>54</v>
      </c>
      <c r="D219" s="4" t="s">
        <v>15</v>
      </c>
      <c r="E219" s="4">
        <v>1710000</v>
      </c>
      <c r="F219" s="3">
        <v>0.12</v>
      </c>
      <c r="G219" s="4">
        <v>240</v>
      </c>
      <c r="H219" s="4" t="s">
        <v>688</v>
      </c>
      <c r="I219" s="4">
        <v>18828.57</v>
      </c>
      <c r="J219" s="4">
        <v>4518857.49</v>
      </c>
      <c r="K219" s="4" t="s">
        <v>16</v>
      </c>
      <c r="L219" s="4" t="s">
        <v>82</v>
      </c>
      <c r="M219" s="4">
        <v>569</v>
      </c>
    </row>
    <row r="220" spans="1:13" x14ac:dyDescent="0.3">
      <c r="A220" s="5" t="s">
        <v>689</v>
      </c>
      <c r="B220" s="5" t="s">
        <v>690</v>
      </c>
      <c r="C220" s="5">
        <v>26</v>
      </c>
      <c r="D220" s="5" t="s">
        <v>18</v>
      </c>
      <c r="E220" s="5">
        <v>1080000</v>
      </c>
      <c r="F220" s="35">
        <v>0.08</v>
      </c>
      <c r="G220" s="5">
        <v>12</v>
      </c>
      <c r="H220" s="5" t="s">
        <v>691</v>
      </c>
      <c r="I220" s="5">
        <v>93947.5</v>
      </c>
      <c r="J220" s="5">
        <v>1127370.04</v>
      </c>
      <c r="K220" s="5" t="s">
        <v>16</v>
      </c>
      <c r="L220" s="5" t="s">
        <v>151</v>
      </c>
      <c r="M220" s="5">
        <v>810</v>
      </c>
    </row>
    <row r="221" spans="1:13" x14ac:dyDescent="0.3">
      <c r="A221" s="4" t="s">
        <v>692</v>
      </c>
      <c r="B221" s="4" t="s">
        <v>693</v>
      </c>
      <c r="C221" s="4">
        <v>42</v>
      </c>
      <c r="D221" s="4" t="s">
        <v>27</v>
      </c>
      <c r="E221" s="4">
        <v>410000</v>
      </c>
      <c r="F221" s="3">
        <v>8.5000000000000006E-2</v>
      </c>
      <c r="G221" s="4">
        <v>24</v>
      </c>
      <c r="H221" s="4" t="s">
        <v>694</v>
      </c>
      <c r="I221" s="4">
        <v>18636.830000000002</v>
      </c>
      <c r="J221" s="4">
        <v>447283.84</v>
      </c>
      <c r="K221" s="4" t="s">
        <v>16</v>
      </c>
      <c r="L221" s="4" t="s">
        <v>34</v>
      </c>
      <c r="M221" s="4">
        <v>842</v>
      </c>
    </row>
    <row r="222" spans="1:13" x14ac:dyDescent="0.3">
      <c r="A222" s="5" t="s">
        <v>695</v>
      </c>
      <c r="B222" s="5" t="s">
        <v>696</v>
      </c>
      <c r="C222" s="5">
        <v>31</v>
      </c>
      <c r="D222" s="5" t="s">
        <v>42</v>
      </c>
      <c r="E222" s="5">
        <v>620000</v>
      </c>
      <c r="F222" s="35">
        <v>0.08</v>
      </c>
      <c r="G222" s="5">
        <v>60</v>
      </c>
      <c r="H222" s="5" t="s">
        <v>697</v>
      </c>
      <c r="I222" s="5">
        <v>12571.36</v>
      </c>
      <c r="J222" s="5">
        <v>754281.87</v>
      </c>
      <c r="K222" s="5" t="s">
        <v>16</v>
      </c>
      <c r="L222" s="5" t="s">
        <v>94</v>
      </c>
      <c r="M222" s="5">
        <v>805</v>
      </c>
    </row>
    <row r="223" spans="1:13" x14ac:dyDescent="0.3">
      <c r="A223" s="4" t="s">
        <v>698</v>
      </c>
      <c r="B223" s="4" t="s">
        <v>699</v>
      </c>
      <c r="C223" s="4">
        <v>36</v>
      </c>
      <c r="D223" s="4" t="s">
        <v>42</v>
      </c>
      <c r="E223" s="4">
        <v>710000</v>
      </c>
      <c r="F223" s="3">
        <v>8.5000000000000006E-2</v>
      </c>
      <c r="G223" s="4">
        <v>240</v>
      </c>
      <c r="H223" s="4" t="s">
        <v>700</v>
      </c>
      <c r="I223" s="4">
        <v>6161.54</v>
      </c>
      <c r="J223" s="4">
        <v>1478770.79</v>
      </c>
      <c r="K223" s="4" t="s">
        <v>20</v>
      </c>
      <c r="L223" s="4" t="s">
        <v>56</v>
      </c>
      <c r="M223" s="4">
        <v>771</v>
      </c>
    </row>
    <row r="224" spans="1:13" x14ac:dyDescent="0.3">
      <c r="A224" s="5" t="s">
        <v>701</v>
      </c>
      <c r="B224" s="5" t="s">
        <v>702</v>
      </c>
      <c r="C224" s="5">
        <v>53</v>
      </c>
      <c r="D224" s="5" t="s">
        <v>32</v>
      </c>
      <c r="E224" s="5">
        <v>220000</v>
      </c>
      <c r="F224" s="35">
        <v>0.11</v>
      </c>
      <c r="G224" s="5">
        <v>240</v>
      </c>
      <c r="H224" s="5" t="s">
        <v>703</v>
      </c>
      <c r="I224" s="5">
        <v>2270.81</v>
      </c>
      <c r="J224" s="5">
        <v>544995.47</v>
      </c>
      <c r="K224" s="5" t="s">
        <v>20</v>
      </c>
      <c r="L224" s="5" t="s">
        <v>90</v>
      </c>
      <c r="M224" s="5">
        <v>775</v>
      </c>
    </row>
    <row r="225" spans="1:13" x14ac:dyDescent="0.3">
      <c r="A225" s="4" t="s">
        <v>704</v>
      </c>
      <c r="B225" s="4" t="s">
        <v>705</v>
      </c>
      <c r="C225" s="4">
        <v>29</v>
      </c>
      <c r="D225" s="4" t="s">
        <v>42</v>
      </c>
      <c r="E225" s="4">
        <v>780000</v>
      </c>
      <c r="F225" s="3">
        <v>0.11</v>
      </c>
      <c r="G225" s="4">
        <v>48</v>
      </c>
      <c r="H225" s="4" t="s">
        <v>706</v>
      </c>
      <c r="I225" s="4">
        <v>20159.509999999998</v>
      </c>
      <c r="J225" s="4">
        <v>967656.37</v>
      </c>
      <c r="K225" s="4" t="s">
        <v>16</v>
      </c>
      <c r="L225" s="4" t="s">
        <v>147</v>
      </c>
      <c r="M225" s="4">
        <v>602</v>
      </c>
    </row>
    <row r="226" spans="1:13" x14ac:dyDescent="0.3">
      <c r="A226" s="5" t="s">
        <v>707</v>
      </c>
      <c r="B226" s="5" t="s">
        <v>417</v>
      </c>
      <c r="C226" s="5">
        <v>26</v>
      </c>
      <c r="D226" s="5" t="s">
        <v>42</v>
      </c>
      <c r="E226" s="5">
        <v>1100000</v>
      </c>
      <c r="F226" s="35">
        <v>0.1</v>
      </c>
      <c r="G226" s="5">
        <v>180</v>
      </c>
      <c r="H226" s="5" t="s">
        <v>708</v>
      </c>
      <c r="I226" s="5">
        <v>11820.66</v>
      </c>
      <c r="J226" s="5">
        <v>2127718.13</v>
      </c>
      <c r="K226" s="5" t="s">
        <v>16</v>
      </c>
      <c r="L226" s="5" t="s">
        <v>108</v>
      </c>
      <c r="M226" s="5">
        <v>891</v>
      </c>
    </row>
    <row r="227" spans="1:13" x14ac:dyDescent="0.3">
      <c r="A227" s="4" t="s">
        <v>709</v>
      </c>
      <c r="B227" s="4" t="s">
        <v>710</v>
      </c>
      <c r="C227" s="4">
        <v>36</v>
      </c>
      <c r="D227" s="4" t="s">
        <v>27</v>
      </c>
      <c r="E227" s="4">
        <v>700000</v>
      </c>
      <c r="F227" s="3">
        <v>0.105</v>
      </c>
      <c r="G227" s="4">
        <v>84</v>
      </c>
      <c r="H227" s="4" t="s">
        <v>711</v>
      </c>
      <c r="I227" s="4">
        <v>11802.47</v>
      </c>
      <c r="J227" s="4">
        <v>991407.58</v>
      </c>
      <c r="K227" s="4" t="s">
        <v>16</v>
      </c>
      <c r="L227" s="4" t="s">
        <v>115</v>
      </c>
      <c r="M227" s="4">
        <v>829</v>
      </c>
    </row>
    <row r="228" spans="1:13" x14ac:dyDescent="0.3">
      <c r="A228" s="5" t="s">
        <v>712</v>
      </c>
      <c r="B228" s="5" t="s">
        <v>713</v>
      </c>
      <c r="C228" s="5">
        <v>49</v>
      </c>
      <c r="D228" s="5" t="s">
        <v>23</v>
      </c>
      <c r="E228" s="5">
        <v>5120000</v>
      </c>
      <c r="F228" s="35">
        <v>0.08</v>
      </c>
      <c r="G228" s="5">
        <v>84</v>
      </c>
      <c r="H228" s="5" t="s">
        <v>714</v>
      </c>
      <c r="I228" s="5">
        <v>79801.42</v>
      </c>
      <c r="J228" s="5">
        <v>6703319.0899999999</v>
      </c>
      <c r="K228" s="5" t="s">
        <v>16</v>
      </c>
      <c r="L228" s="5" t="s">
        <v>25</v>
      </c>
      <c r="M228" s="5">
        <v>630</v>
      </c>
    </row>
    <row r="229" spans="1:13" x14ac:dyDescent="0.3">
      <c r="A229" s="4" t="s">
        <v>715</v>
      </c>
      <c r="B229" s="4" t="s">
        <v>134</v>
      </c>
      <c r="C229" s="4">
        <v>23</v>
      </c>
      <c r="D229" s="4" t="s">
        <v>42</v>
      </c>
      <c r="E229" s="4">
        <v>1350000</v>
      </c>
      <c r="F229" s="3">
        <v>0.115</v>
      </c>
      <c r="G229" s="4">
        <v>12</v>
      </c>
      <c r="H229" s="4" t="s">
        <v>716</v>
      </c>
      <c r="I229" s="4">
        <v>119630.32</v>
      </c>
      <c r="J229" s="4">
        <v>1435563.87</v>
      </c>
      <c r="K229" s="4" t="s">
        <v>20</v>
      </c>
      <c r="L229" s="4" t="s">
        <v>34</v>
      </c>
      <c r="M229" s="4">
        <v>751</v>
      </c>
    </row>
    <row r="230" spans="1:13" x14ac:dyDescent="0.3">
      <c r="A230" s="5" t="s">
        <v>717</v>
      </c>
      <c r="B230" s="5" t="s">
        <v>665</v>
      </c>
      <c r="C230" s="5">
        <v>40</v>
      </c>
      <c r="D230" s="5" t="s">
        <v>32</v>
      </c>
      <c r="E230" s="5">
        <v>340000</v>
      </c>
      <c r="F230" s="35">
        <v>0.1</v>
      </c>
      <c r="G230" s="5">
        <v>48</v>
      </c>
      <c r="H230" s="5" t="s">
        <v>718</v>
      </c>
      <c r="I230" s="5">
        <v>8623.2800000000007</v>
      </c>
      <c r="J230" s="5">
        <v>413917.36</v>
      </c>
      <c r="K230" s="5" t="s">
        <v>16</v>
      </c>
      <c r="L230" s="5" t="s">
        <v>132</v>
      </c>
      <c r="M230" s="5">
        <v>707</v>
      </c>
    </row>
    <row r="231" spans="1:13" x14ac:dyDescent="0.3">
      <c r="A231" s="4" t="s">
        <v>719</v>
      </c>
      <c r="B231" s="4" t="s">
        <v>720</v>
      </c>
      <c r="C231" s="4">
        <v>56</v>
      </c>
      <c r="D231" s="4" t="s">
        <v>42</v>
      </c>
      <c r="E231" s="4">
        <v>1010000</v>
      </c>
      <c r="F231" s="3">
        <v>0.09</v>
      </c>
      <c r="G231" s="4">
        <v>180</v>
      </c>
      <c r="H231" s="4" t="s">
        <v>721</v>
      </c>
      <c r="I231" s="4">
        <v>10244.09</v>
      </c>
      <c r="J231" s="4">
        <v>1843936.65</v>
      </c>
      <c r="K231" s="4" t="s">
        <v>16</v>
      </c>
      <c r="L231" s="4" t="s">
        <v>115</v>
      </c>
      <c r="M231" s="4">
        <v>669</v>
      </c>
    </row>
    <row r="232" spans="1:13" x14ac:dyDescent="0.3">
      <c r="A232" s="5" t="s">
        <v>722</v>
      </c>
      <c r="B232" s="5" t="s">
        <v>723</v>
      </c>
      <c r="C232" s="5">
        <v>39</v>
      </c>
      <c r="D232" s="5" t="s">
        <v>27</v>
      </c>
      <c r="E232" s="5">
        <v>370000</v>
      </c>
      <c r="F232" s="35">
        <v>0.11</v>
      </c>
      <c r="G232" s="5">
        <v>84</v>
      </c>
      <c r="H232" s="5" t="s">
        <v>724</v>
      </c>
      <c r="I232" s="5">
        <v>6335.3</v>
      </c>
      <c r="J232" s="5">
        <v>532165.31999999995</v>
      </c>
      <c r="K232" s="5" t="s">
        <v>16</v>
      </c>
      <c r="L232" s="5" t="s">
        <v>132</v>
      </c>
      <c r="M232" s="5">
        <v>608</v>
      </c>
    </row>
    <row r="233" spans="1:13" x14ac:dyDescent="0.3">
      <c r="A233" s="4" t="s">
        <v>725</v>
      </c>
      <c r="B233" s="4" t="s">
        <v>342</v>
      </c>
      <c r="C233" s="4">
        <v>46</v>
      </c>
      <c r="D233" s="4" t="s">
        <v>18</v>
      </c>
      <c r="E233" s="4">
        <v>1800000</v>
      </c>
      <c r="F233" s="3">
        <v>9.5000000000000001E-2</v>
      </c>
      <c r="G233" s="4">
        <v>240</v>
      </c>
      <c r="H233" s="4" t="s">
        <v>726</v>
      </c>
      <c r="I233" s="4">
        <v>16778.36</v>
      </c>
      <c r="J233" s="4">
        <v>4026806.73</v>
      </c>
      <c r="K233" s="4" t="s">
        <v>20</v>
      </c>
      <c r="L233" s="4" t="s">
        <v>201</v>
      </c>
      <c r="M233" s="4">
        <v>764</v>
      </c>
    </row>
    <row r="234" spans="1:13" x14ac:dyDescent="0.3">
      <c r="A234" s="5" t="s">
        <v>727</v>
      </c>
      <c r="B234" s="5" t="s">
        <v>728</v>
      </c>
      <c r="C234" s="5">
        <v>23</v>
      </c>
      <c r="D234" s="5" t="s">
        <v>37</v>
      </c>
      <c r="E234" s="5">
        <v>4600000</v>
      </c>
      <c r="F234" s="35">
        <v>0.11</v>
      </c>
      <c r="G234" s="5">
        <v>180</v>
      </c>
      <c r="H234" s="5" t="s">
        <v>729</v>
      </c>
      <c r="I234" s="5">
        <v>52283.46</v>
      </c>
      <c r="J234" s="5">
        <v>9411022.6199999992</v>
      </c>
      <c r="K234" s="5" t="s">
        <v>16</v>
      </c>
      <c r="L234" s="5" t="s">
        <v>366</v>
      </c>
      <c r="M234" s="5">
        <v>677</v>
      </c>
    </row>
    <row r="235" spans="1:13" x14ac:dyDescent="0.3">
      <c r="A235" s="4" t="s">
        <v>730</v>
      </c>
      <c r="B235" s="4" t="s">
        <v>731</v>
      </c>
      <c r="C235" s="4">
        <v>39</v>
      </c>
      <c r="D235" s="4" t="s">
        <v>27</v>
      </c>
      <c r="E235" s="4">
        <v>860000</v>
      </c>
      <c r="F235" s="3">
        <v>9.5000000000000001E-2</v>
      </c>
      <c r="G235" s="4">
        <v>84</v>
      </c>
      <c r="H235" s="4" t="s">
        <v>732</v>
      </c>
      <c r="I235" s="4">
        <v>14055.82</v>
      </c>
      <c r="J235" s="4">
        <v>1180689.24</v>
      </c>
      <c r="K235" s="4" t="s">
        <v>16</v>
      </c>
      <c r="L235" s="4" t="s">
        <v>68</v>
      </c>
      <c r="M235" s="4">
        <v>773</v>
      </c>
    </row>
    <row r="236" spans="1:13" x14ac:dyDescent="0.3">
      <c r="A236" s="5" t="s">
        <v>733</v>
      </c>
      <c r="B236" s="5" t="s">
        <v>734</v>
      </c>
      <c r="C236" s="5">
        <v>40</v>
      </c>
      <c r="D236" s="5" t="s">
        <v>18</v>
      </c>
      <c r="E236" s="5">
        <v>1550000</v>
      </c>
      <c r="F236" s="35">
        <v>0.08</v>
      </c>
      <c r="G236" s="5">
        <v>180</v>
      </c>
      <c r="H236" s="5" t="s">
        <v>735</v>
      </c>
      <c r="I236" s="5">
        <v>14812.61</v>
      </c>
      <c r="J236" s="5">
        <v>2666269.3199999998</v>
      </c>
      <c r="K236" s="5" t="s">
        <v>16</v>
      </c>
      <c r="L236" s="5" t="s">
        <v>44</v>
      </c>
      <c r="M236" s="5">
        <v>758</v>
      </c>
    </row>
    <row r="237" spans="1:13" x14ac:dyDescent="0.3">
      <c r="A237" s="4" t="s">
        <v>736</v>
      </c>
      <c r="B237" s="4" t="s">
        <v>102</v>
      </c>
      <c r="C237" s="4">
        <v>52</v>
      </c>
      <c r="D237" s="4" t="s">
        <v>15</v>
      </c>
      <c r="E237" s="4">
        <v>1750000</v>
      </c>
      <c r="F237" s="3">
        <v>0.08</v>
      </c>
      <c r="G237" s="4">
        <v>24</v>
      </c>
      <c r="H237" s="4" t="s">
        <v>737</v>
      </c>
      <c r="I237" s="4">
        <v>79147.759999999995</v>
      </c>
      <c r="J237" s="4">
        <v>1899546.24</v>
      </c>
      <c r="K237" s="4" t="s">
        <v>16</v>
      </c>
      <c r="L237" s="4" t="s">
        <v>108</v>
      </c>
      <c r="M237" s="4">
        <v>664</v>
      </c>
    </row>
    <row r="238" spans="1:13" x14ac:dyDescent="0.3">
      <c r="A238" s="5" t="s">
        <v>738</v>
      </c>
      <c r="B238" s="5" t="s">
        <v>739</v>
      </c>
      <c r="C238" s="5">
        <v>27</v>
      </c>
      <c r="D238" s="5" t="s">
        <v>32</v>
      </c>
      <c r="E238" s="5">
        <v>310000</v>
      </c>
      <c r="F238" s="35">
        <v>8.5000000000000006E-2</v>
      </c>
      <c r="G238" s="5">
        <v>24</v>
      </c>
      <c r="H238" s="5" t="s">
        <v>740</v>
      </c>
      <c r="I238" s="5">
        <v>14091.26</v>
      </c>
      <c r="J238" s="5">
        <v>338190.22</v>
      </c>
      <c r="K238" s="5" t="s">
        <v>20</v>
      </c>
      <c r="L238" s="5" t="s">
        <v>64</v>
      </c>
      <c r="M238" s="5">
        <v>758</v>
      </c>
    </row>
    <row r="239" spans="1:13" x14ac:dyDescent="0.3">
      <c r="A239" s="4" t="s">
        <v>741</v>
      </c>
      <c r="B239" s="4" t="s">
        <v>742</v>
      </c>
      <c r="C239" s="4">
        <v>61</v>
      </c>
      <c r="D239" s="4" t="s">
        <v>42</v>
      </c>
      <c r="E239" s="4">
        <v>1270000</v>
      </c>
      <c r="F239" s="3">
        <v>0.125</v>
      </c>
      <c r="G239" s="4">
        <v>48</v>
      </c>
      <c r="H239" s="4" t="s">
        <v>743</v>
      </c>
      <c r="I239" s="4">
        <v>33756.6</v>
      </c>
      <c r="J239" s="4">
        <v>1620316.73</v>
      </c>
      <c r="K239" s="4" t="s">
        <v>16</v>
      </c>
      <c r="L239" s="4" t="s">
        <v>155</v>
      </c>
      <c r="M239" s="4">
        <v>563</v>
      </c>
    </row>
    <row r="240" spans="1:13" x14ac:dyDescent="0.3">
      <c r="A240" s="5" t="s">
        <v>744</v>
      </c>
      <c r="B240" s="5" t="s">
        <v>745</v>
      </c>
      <c r="C240" s="5">
        <v>53</v>
      </c>
      <c r="D240" s="5" t="s">
        <v>15</v>
      </c>
      <c r="E240" s="5">
        <v>550000</v>
      </c>
      <c r="F240" s="35">
        <v>9.5000000000000001E-2</v>
      </c>
      <c r="G240" s="5">
        <v>12</v>
      </c>
      <c r="H240" s="5" t="s">
        <v>746</v>
      </c>
      <c r="I240" s="5">
        <v>48225.93</v>
      </c>
      <c r="J240" s="5">
        <v>578711.18000000005</v>
      </c>
      <c r="K240" s="5" t="s">
        <v>16</v>
      </c>
      <c r="L240" s="5" t="s">
        <v>222</v>
      </c>
      <c r="M240" s="5">
        <v>558</v>
      </c>
    </row>
    <row r="241" spans="1:13" x14ac:dyDescent="0.3">
      <c r="A241" s="4" t="s">
        <v>747</v>
      </c>
      <c r="B241" s="4" t="s">
        <v>748</v>
      </c>
      <c r="C241" s="4">
        <v>60</v>
      </c>
      <c r="D241" s="4" t="s">
        <v>42</v>
      </c>
      <c r="E241" s="4">
        <v>1040000</v>
      </c>
      <c r="F241" s="3">
        <v>0.13</v>
      </c>
      <c r="G241" s="4">
        <v>84</v>
      </c>
      <c r="H241" s="4" t="s">
        <v>749</v>
      </c>
      <c r="I241" s="4">
        <v>18919.64</v>
      </c>
      <c r="J241" s="4">
        <v>1589249.92</v>
      </c>
      <c r="K241" s="4" t="s">
        <v>16</v>
      </c>
      <c r="L241" s="4" t="s">
        <v>119</v>
      </c>
      <c r="M241" s="4">
        <v>589</v>
      </c>
    </row>
    <row r="242" spans="1:13" x14ac:dyDescent="0.3">
      <c r="A242" s="5" t="s">
        <v>750</v>
      </c>
      <c r="B242" s="5" t="s">
        <v>263</v>
      </c>
      <c r="C242" s="5">
        <v>59</v>
      </c>
      <c r="D242" s="5" t="s">
        <v>37</v>
      </c>
      <c r="E242" s="5">
        <v>1920000</v>
      </c>
      <c r="F242" s="35">
        <v>0.13</v>
      </c>
      <c r="G242" s="5">
        <v>84</v>
      </c>
      <c r="H242" s="5" t="s">
        <v>751</v>
      </c>
      <c r="I242" s="5">
        <v>34928.57</v>
      </c>
      <c r="J242" s="5">
        <v>2933999.85</v>
      </c>
      <c r="K242" s="5" t="s">
        <v>16</v>
      </c>
      <c r="L242" s="5" t="s">
        <v>75</v>
      </c>
      <c r="M242" s="5">
        <v>786</v>
      </c>
    </row>
    <row r="243" spans="1:13" x14ac:dyDescent="0.3">
      <c r="A243" s="4" t="s">
        <v>752</v>
      </c>
      <c r="B243" s="4" t="s">
        <v>753</v>
      </c>
      <c r="C243" s="4">
        <v>38</v>
      </c>
      <c r="D243" s="4" t="s">
        <v>18</v>
      </c>
      <c r="E243" s="4">
        <v>490000</v>
      </c>
      <c r="F243" s="3">
        <v>0.12</v>
      </c>
      <c r="G243" s="4">
        <v>60</v>
      </c>
      <c r="H243" s="4" t="s">
        <v>754</v>
      </c>
      <c r="I243" s="4">
        <v>10899.78</v>
      </c>
      <c r="J243" s="4">
        <v>653986.76</v>
      </c>
      <c r="K243" s="4" t="s">
        <v>20</v>
      </c>
      <c r="L243" s="4" t="s">
        <v>366</v>
      </c>
      <c r="M243" s="4">
        <v>830</v>
      </c>
    </row>
    <row r="244" spans="1:13" x14ac:dyDescent="0.3">
      <c r="A244" s="5" t="s">
        <v>755</v>
      </c>
      <c r="B244" s="5" t="s">
        <v>756</v>
      </c>
      <c r="C244" s="5">
        <v>60</v>
      </c>
      <c r="D244" s="5" t="s">
        <v>23</v>
      </c>
      <c r="E244" s="5">
        <v>9190000</v>
      </c>
      <c r="F244" s="35">
        <v>7.4999999999999997E-2</v>
      </c>
      <c r="G244" s="5">
        <v>240</v>
      </c>
      <c r="H244" s="5" t="s">
        <v>757</v>
      </c>
      <c r="I244" s="5">
        <v>74034.009999999995</v>
      </c>
      <c r="J244" s="5">
        <v>17768163.48</v>
      </c>
      <c r="K244" s="5" t="s">
        <v>20</v>
      </c>
      <c r="L244" s="5" t="s">
        <v>119</v>
      </c>
      <c r="M244" s="5">
        <v>750</v>
      </c>
    </row>
    <row r="245" spans="1:13" x14ac:dyDescent="0.3">
      <c r="A245" s="4" t="s">
        <v>758</v>
      </c>
      <c r="B245" s="4" t="s">
        <v>759</v>
      </c>
      <c r="C245" s="4">
        <v>21</v>
      </c>
      <c r="D245" s="4" t="s">
        <v>37</v>
      </c>
      <c r="E245" s="4">
        <v>2040000</v>
      </c>
      <c r="F245" s="3">
        <v>0.09</v>
      </c>
      <c r="G245" s="4">
        <v>240</v>
      </c>
      <c r="H245" s="4" t="s">
        <v>760</v>
      </c>
      <c r="I245" s="4">
        <v>18354.41</v>
      </c>
      <c r="J245" s="4">
        <v>4405058.28</v>
      </c>
      <c r="K245" s="4" t="s">
        <v>20</v>
      </c>
      <c r="L245" s="4" t="s">
        <v>155</v>
      </c>
      <c r="M245" s="4">
        <v>795</v>
      </c>
    </row>
    <row r="246" spans="1:13" x14ac:dyDescent="0.3">
      <c r="A246" s="5" t="s">
        <v>761</v>
      </c>
      <c r="B246" s="5" t="s">
        <v>471</v>
      </c>
      <c r="C246" s="5">
        <v>31</v>
      </c>
      <c r="D246" s="5" t="s">
        <v>27</v>
      </c>
      <c r="E246" s="5">
        <v>670000</v>
      </c>
      <c r="F246" s="35">
        <v>0.1</v>
      </c>
      <c r="G246" s="5">
        <v>84</v>
      </c>
      <c r="H246" s="5" t="s">
        <v>597</v>
      </c>
      <c r="I246" s="5">
        <v>11122.79</v>
      </c>
      <c r="J246" s="5">
        <v>934314.64</v>
      </c>
      <c r="K246" s="5" t="s">
        <v>20</v>
      </c>
      <c r="L246" s="5" t="s">
        <v>115</v>
      </c>
      <c r="M246" s="5">
        <v>827</v>
      </c>
    </row>
    <row r="247" spans="1:13" x14ac:dyDescent="0.3">
      <c r="A247" s="4" t="s">
        <v>762</v>
      </c>
      <c r="B247" s="4" t="s">
        <v>763</v>
      </c>
      <c r="C247" s="4">
        <v>48</v>
      </c>
      <c r="D247" s="4" t="s">
        <v>27</v>
      </c>
      <c r="E247" s="4">
        <v>770000</v>
      </c>
      <c r="F247" s="3">
        <v>8.5000000000000006E-2</v>
      </c>
      <c r="G247" s="4">
        <v>24</v>
      </c>
      <c r="H247" s="4" t="s">
        <v>764</v>
      </c>
      <c r="I247" s="4">
        <v>35000.870000000003</v>
      </c>
      <c r="J247" s="4">
        <v>840020.87</v>
      </c>
      <c r="K247" s="4" t="s">
        <v>20</v>
      </c>
      <c r="L247" s="4" t="s">
        <v>68</v>
      </c>
      <c r="M247" s="4">
        <v>784</v>
      </c>
    </row>
    <row r="248" spans="1:13" x14ac:dyDescent="0.3">
      <c r="A248" s="5" t="s">
        <v>765</v>
      </c>
      <c r="B248" s="5" t="s">
        <v>766</v>
      </c>
      <c r="C248" s="5">
        <v>45</v>
      </c>
      <c r="D248" s="5" t="s">
        <v>15</v>
      </c>
      <c r="E248" s="5">
        <v>320000</v>
      </c>
      <c r="F248" s="35">
        <v>0.08</v>
      </c>
      <c r="G248" s="5">
        <v>12</v>
      </c>
      <c r="H248" s="5" t="s">
        <v>767</v>
      </c>
      <c r="I248" s="5">
        <v>27836.3</v>
      </c>
      <c r="J248" s="5">
        <v>334035.57</v>
      </c>
      <c r="K248" s="5" t="s">
        <v>16</v>
      </c>
      <c r="L248" s="5" t="s">
        <v>147</v>
      </c>
      <c r="M248" s="5">
        <v>553</v>
      </c>
    </row>
    <row r="249" spans="1:13" x14ac:dyDescent="0.3">
      <c r="A249" s="4" t="s">
        <v>768</v>
      </c>
      <c r="B249" s="4" t="s">
        <v>263</v>
      </c>
      <c r="C249" s="4">
        <v>43</v>
      </c>
      <c r="D249" s="4" t="s">
        <v>15</v>
      </c>
      <c r="E249" s="4">
        <v>1300000</v>
      </c>
      <c r="F249" s="3">
        <v>0.13</v>
      </c>
      <c r="G249" s="4">
        <v>36</v>
      </c>
      <c r="H249" s="4" t="s">
        <v>769</v>
      </c>
      <c r="I249" s="4">
        <v>43802.14</v>
      </c>
      <c r="J249" s="4">
        <v>1576876.95</v>
      </c>
      <c r="K249" s="4" t="s">
        <v>20</v>
      </c>
      <c r="L249" s="4" t="s">
        <v>155</v>
      </c>
      <c r="M249" s="4">
        <v>703</v>
      </c>
    </row>
    <row r="250" spans="1:13" x14ac:dyDescent="0.3">
      <c r="A250" s="5" t="s">
        <v>770</v>
      </c>
      <c r="B250" s="5" t="s">
        <v>157</v>
      </c>
      <c r="C250" s="5">
        <v>51</v>
      </c>
      <c r="D250" s="5" t="s">
        <v>27</v>
      </c>
      <c r="E250" s="5">
        <v>140000</v>
      </c>
      <c r="F250" s="35">
        <v>0.09</v>
      </c>
      <c r="G250" s="5">
        <v>180</v>
      </c>
      <c r="H250" s="5" t="s">
        <v>771</v>
      </c>
      <c r="I250" s="5">
        <v>1419.97</v>
      </c>
      <c r="J250" s="5">
        <v>255595.18</v>
      </c>
      <c r="K250" s="5" t="s">
        <v>20</v>
      </c>
      <c r="L250" s="5" t="s">
        <v>86</v>
      </c>
      <c r="M250" s="5">
        <v>578</v>
      </c>
    </row>
    <row r="251" spans="1:13" x14ac:dyDescent="0.3">
      <c r="A251" s="4" t="s">
        <v>772</v>
      </c>
      <c r="B251" s="4" t="s">
        <v>420</v>
      </c>
      <c r="C251" s="4">
        <v>50</v>
      </c>
      <c r="D251" s="4" t="s">
        <v>32</v>
      </c>
      <c r="E251" s="4">
        <v>490000</v>
      </c>
      <c r="F251" s="3">
        <v>0.1</v>
      </c>
      <c r="G251" s="4">
        <v>36</v>
      </c>
      <c r="H251" s="4" t="s">
        <v>773</v>
      </c>
      <c r="I251" s="4">
        <v>15810.92</v>
      </c>
      <c r="J251" s="4">
        <v>569193.18000000005</v>
      </c>
      <c r="K251" s="4" t="s">
        <v>20</v>
      </c>
      <c r="L251" s="4" t="s">
        <v>136</v>
      </c>
      <c r="M251" s="4">
        <v>658</v>
      </c>
    </row>
    <row r="252" spans="1:13" x14ac:dyDescent="0.3">
      <c r="A252" s="5" t="s">
        <v>774</v>
      </c>
      <c r="B252" s="5" t="s">
        <v>441</v>
      </c>
      <c r="C252" s="5">
        <v>62</v>
      </c>
      <c r="D252" s="5" t="s">
        <v>27</v>
      </c>
      <c r="E252" s="5">
        <v>990000</v>
      </c>
      <c r="F252" s="35">
        <v>0.105</v>
      </c>
      <c r="G252" s="5">
        <v>120</v>
      </c>
      <c r="H252" s="5" t="s">
        <v>357</v>
      </c>
      <c r="I252" s="5">
        <v>13358.56</v>
      </c>
      <c r="J252" s="5">
        <v>1603027.76</v>
      </c>
      <c r="K252" s="5" t="s">
        <v>20</v>
      </c>
      <c r="L252" s="5" t="s">
        <v>82</v>
      </c>
      <c r="M252" s="5">
        <v>647</v>
      </c>
    </row>
    <row r="253" spans="1:13" x14ac:dyDescent="0.3">
      <c r="A253" s="4" t="s">
        <v>775</v>
      </c>
      <c r="B253" s="4" t="s">
        <v>776</v>
      </c>
      <c r="C253" s="4">
        <v>55</v>
      </c>
      <c r="D253" s="4" t="s">
        <v>27</v>
      </c>
      <c r="E253" s="4">
        <v>180000</v>
      </c>
      <c r="F253" s="3">
        <v>0.115</v>
      </c>
      <c r="G253" s="4">
        <v>24</v>
      </c>
      <c r="H253" s="4" t="s">
        <v>777</v>
      </c>
      <c r="I253" s="4">
        <v>8431.26</v>
      </c>
      <c r="J253" s="4">
        <v>202350.16</v>
      </c>
      <c r="K253" s="4" t="s">
        <v>312</v>
      </c>
      <c r="L253" s="4" t="s">
        <v>56</v>
      </c>
      <c r="M253" s="4">
        <v>764</v>
      </c>
    </row>
    <row r="254" spans="1:13" x14ac:dyDescent="0.3">
      <c r="A254" s="5" t="s">
        <v>778</v>
      </c>
      <c r="B254" s="5" t="s">
        <v>779</v>
      </c>
      <c r="C254" s="5">
        <v>27</v>
      </c>
      <c r="D254" s="5" t="s">
        <v>42</v>
      </c>
      <c r="E254" s="5">
        <v>400000</v>
      </c>
      <c r="F254" s="35">
        <v>7.4999999999999997E-2</v>
      </c>
      <c r="G254" s="5">
        <v>60</v>
      </c>
      <c r="H254" s="5" t="s">
        <v>780</v>
      </c>
      <c r="I254" s="5">
        <v>8015.18</v>
      </c>
      <c r="J254" s="5">
        <v>480910.77</v>
      </c>
      <c r="K254" s="5" t="s">
        <v>20</v>
      </c>
      <c r="L254" s="5" t="s">
        <v>201</v>
      </c>
      <c r="M254" s="5">
        <v>842</v>
      </c>
    </row>
    <row r="255" spans="1:13" x14ac:dyDescent="0.3">
      <c r="A255" s="4" t="s">
        <v>781</v>
      </c>
      <c r="B255" s="4" t="s">
        <v>314</v>
      </c>
      <c r="C255" s="4">
        <v>36</v>
      </c>
      <c r="D255" s="4" t="s">
        <v>37</v>
      </c>
      <c r="E255" s="4">
        <v>550000</v>
      </c>
      <c r="F255" s="3">
        <v>0.125</v>
      </c>
      <c r="G255" s="4">
        <v>48</v>
      </c>
      <c r="H255" s="4" t="s">
        <v>782</v>
      </c>
      <c r="I255" s="4">
        <v>14619</v>
      </c>
      <c r="J255" s="4">
        <v>701711.97</v>
      </c>
      <c r="K255" s="4" t="s">
        <v>16</v>
      </c>
      <c r="L255" s="4" t="s">
        <v>48</v>
      </c>
      <c r="M255" s="4">
        <v>624</v>
      </c>
    </row>
    <row r="256" spans="1:13" x14ac:dyDescent="0.3">
      <c r="A256" s="5" t="s">
        <v>783</v>
      </c>
      <c r="B256" s="5" t="s">
        <v>784</v>
      </c>
      <c r="C256" s="5">
        <v>46</v>
      </c>
      <c r="D256" s="5" t="s">
        <v>32</v>
      </c>
      <c r="E256" s="5">
        <v>270000</v>
      </c>
      <c r="F256" s="35">
        <v>9.5000000000000001E-2</v>
      </c>
      <c r="G256" s="5">
        <v>48</v>
      </c>
      <c r="H256" s="5" t="s">
        <v>785</v>
      </c>
      <c r="I256" s="5">
        <v>6783.25</v>
      </c>
      <c r="J256" s="5">
        <v>325595.84999999998</v>
      </c>
      <c r="K256" s="5" t="s">
        <v>16</v>
      </c>
      <c r="L256" s="5" t="s">
        <v>86</v>
      </c>
      <c r="M256" s="5">
        <v>875</v>
      </c>
    </row>
    <row r="257" spans="1:13" x14ac:dyDescent="0.3">
      <c r="A257" s="4" t="s">
        <v>786</v>
      </c>
      <c r="B257" s="4" t="s">
        <v>787</v>
      </c>
      <c r="C257" s="4">
        <v>22</v>
      </c>
      <c r="D257" s="4" t="s">
        <v>42</v>
      </c>
      <c r="E257" s="4">
        <v>590000</v>
      </c>
      <c r="F257" s="3">
        <v>9.5000000000000001E-2</v>
      </c>
      <c r="G257" s="4">
        <v>24</v>
      </c>
      <c r="H257" s="4" t="s">
        <v>788</v>
      </c>
      <c r="I257" s="4">
        <v>27089.55</v>
      </c>
      <c r="J257" s="4">
        <v>650149.22</v>
      </c>
      <c r="K257" s="4" t="s">
        <v>20</v>
      </c>
      <c r="L257" s="4" t="s">
        <v>187</v>
      </c>
      <c r="M257" s="4">
        <v>695</v>
      </c>
    </row>
    <row r="258" spans="1:13" x14ac:dyDescent="0.3">
      <c r="A258" s="5" t="s">
        <v>789</v>
      </c>
      <c r="B258" s="5" t="s">
        <v>790</v>
      </c>
      <c r="C258" s="5">
        <v>21</v>
      </c>
      <c r="D258" s="5" t="s">
        <v>23</v>
      </c>
      <c r="E258" s="5">
        <v>4880000</v>
      </c>
      <c r="F258" s="35">
        <v>8.5000000000000006E-2</v>
      </c>
      <c r="G258" s="5">
        <v>120</v>
      </c>
      <c r="H258" s="5" t="s">
        <v>791</v>
      </c>
      <c r="I258" s="5">
        <v>60505.02</v>
      </c>
      <c r="J258" s="5">
        <v>7260601.9400000004</v>
      </c>
      <c r="K258" s="5" t="s">
        <v>60</v>
      </c>
      <c r="L258" s="5" t="s">
        <v>21</v>
      </c>
      <c r="M258" s="5">
        <v>677</v>
      </c>
    </row>
    <row r="259" spans="1:13" x14ac:dyDescent="0.3">
      <c r="A259" s="4" t="s">
        <v>792</v>
      </c>
      <c r="B259" s="4" t="s">
        <v>793</v>
      </c>
      <c r="C259" s="4">
        <v>32</v>
      </c>
      <c r="D259" s="4" t="s">
        <v>32</v>
      </c>
      <c r="E259" s="4">
        <v>90000</v>
      </c>
      <c r="F259" s="3">
        <v>7.4999999999999997E-2</v>
      </c>
      <c r="G259" s="4">
        <v>48</v>
      </c>
      <c r="H259" s="4" t="s">
        <v>794</v>
      </c>
      <c r="I259" s="4">
        <v>2176.1</v>
      </c>
      <c r="J259" s="4">
        <v>104452.86</v>
      </c>
      <c r="K259" s="4" t="s">
        <v>16</v>
      </c>
      <c r="L259" s="4" t="s">
        <v>143</v>
      </c>
      <c r="M259" s="4">
        <v>890</v>
      </c>
    </row>
    <row r="260" spans="1:13" x14ac:dyDescent="0.3">
      <c r="A260" s="5" t="s">
        <v>795</v>
      </c>
      <c r="B260" s="5" t="s">
        <v>359</v>
      </c>
      <c r="C260" s="5">
        <v>25</v>
      </c>
      <c r="D260" s="5" t="s">
        <v>42</v>
      </c>
      <c r="E260" s="5">
        <v>620000</v>
      </c>
      <c r="F260" s="35">
        <v>0.105</v>
      </c>
      <c r="G260" s="5">
        <v>180</v>
      </c>
      <c r="H260" s="5" t="s">
        <v>796</v>
      </c>
      <c r="I260" s="5">
        <v>6853.47</v>
      </c>
      <c r="J260" s="5">
        <v>1233625.2</v>
      </c>
      <c r="K260" s="5" t="s">
        <v>16</v>
      </c>
      <c r="L260" s="5" t="s">
        <v>187</v>
      </c>
      <c r="M260" s="5">
        <v>591</v>
      </c>
    </row>
    <row r="261" spans="1:13" x14ac:dyDescent="0.3">
      <c r="A261" s="4" t="s">
        <v>797</v>
      </c>
      <c r="B261" s="4" t="s">
        <v>798</v>
      </c>
      <c r="C261" s="4">
        <v>57</v>
      </c>
      <c r="D261" s="4" t="s">
        <v>27</v>
      </c>
      <c r="E261" s="4">
        <v>110000</v>
      </c>
      <c r="F261" s="3">
        <v>0.11</v>
      </c>
      <c r="G261" s="4">
        <v>48</v>
      </c>
      <c r="H261" s="4" t="s">
        <v>799</v>
      </c>
      <c r="I261" s="4">
        <v>2843.01</v>
      </c>
      <c r="J261" s="4">
        <v>136464.35999999999</v>
      </c>
      <c r="K261" s="4" t="s">
        <v>20</v>
      </c>
      <c r="L261" s="4" t="s">
        <v>119</v>
      </c>
      <c r="M261" s="4">
        <v>590</v>
      </c>
    </row>
    <row r="262" spans="1:13" x14ac:dyDescent="0.3">
      <c r="A262" s="5" t="s">
        <v>800</v>
      </c>
      <c r="B262" s="5" t="s">
        <v>801</v>
      </c>
      <c r="C262" s="5">
        <v>52</v>
      </c>
      <c r="D262" s="5" t="s">
        <v>42</v>
      </c>
      <c r="E262" s="5">
        <v>760000</v>
      </c>
      <c r="F262" s="35">
        <v>0.115</v>
      </c>
      <c r="G262" s="5">
        <v>84</v>
      </c>
      <c r="H262" s="5" t="s">
        <v>802</v>
      </c>
      <c r="I262" s="5">
        <v>13213.71</v>
      </c>
      <c r="J262" s="5">
        <v>1109951.6599999999</v>
      </c>
      <c r="K262" s="5" t="s">
        <v>20</v>
      </c>
      <c r="L262" s="5" t="s">
        <v>212</v>
      </c>
      <c r="M262" s="5">
        <v>583</v>
      </c>
    </row>
    <row r="263" spans="1:13" x14ac:dyDescent="0.3">
      <c r="A263" s="4" t="s">
        <v>803</v>
      </c>
      <c r="B263" s="4" t="s">
        <v>804</v>
      </c>
      <c r="C263" s="4">
        <v>29</v>
      </c>
      <c r="D263" s="4" t="s">
        <v>15</v>
      </c>
      <c r="E263" s="4">
        <v>1260000</v>
      </c>
      <c r="F263" s="3">
        <v>0.13</v>
      </c>
      <c r="G263" s="4">
        <v>24</v>
      </c>
      <c r="H263" s="4" t="s">
        <v>805</v>
      </c>
      <c r="I263" s="4">
        <v>59902.7</v>
      </c>
      <c r="J263" s="4">
        <v>1437664.72</v>
      </c>
      <c r="K263" s="4" t="s">
        <v>16</v>
      </c>
      <c r="L263" s="4" t="s">
        <v>39</v>
      </c>
      <c r="M263" s="4">
        <v>566</v>
      </c>
    </row>
    <row r="264" spans="1:13" x14ac:dyDescent="0.3">
      <c r="A264" s="5" t="s">
        <v>806</v>
      </c>
      <c r="B264" s="5" t="s">
        <v>339</v>
      </c>
      <c r="C264" s="5">
        <v>61</v>
      </c>
      <c r="D264" s="5" t="s">
        <v>32</v>
      </c>
      <c r="E264" s="5">
        <v>290000</v>
      </c>
      <c r="F264" s="35">
        <v>0.115</v>
      </c>
      <c r="G264" s="5">
        <v>120</v>
      </c>
      <c r="H264" s="5" t="s">
        <v>807</v>
      </c>
      <c r="I264" s="5">
        <v>4077.27</v>
      </c>
      <c r="J264" s="5">
        <v>489272.15</v>
      </c>
      <c r="K264" s="5" t="s">
        <v>16</v>
      </c>
      <c r="L264" s="5" t="s">
        <v>151</v>
      </c>
      <c r="M264" s="5">
        <v>714</v>
      </c>
    </row>
    <row r="265" spans="1:13" x14ac:dyDescent="0.3">
      <c r="A265" s="4" t="s">
        <v>808</v>
      </c>
      <c r="B265" s="4" t="s">
        <v>696</v>
      </c>
      <c r="C265" s="4">
        <v>55</v>
      </c>
      <c r="D265" s="4" t="s">
        <v>18</v>
      </c>
      <c r="E265" s="4">
        <v>980000</v>
      </c>
      <c r="F265" s="3">
        <v>0.09</v>
      </c>
      <c r="G265" s="4">
        <v>12</v>
      </c>
      <c r="H265" s="4" t="s">
        <v>809</v>
      </c>
      <c r="I265" s="4">
        <v>85702.45</v>
      </c>
      <c r="J265" s="4">
        <v>1028429.37</v>
      </c>
      <c r="K265" s="4" t="s">
        <v>16</v>
      </c>
      <c r="L265" s="4" t="s">
        <v>326</v>
      </c>
      <c r="M265" s="4">
        <v>702</v>
      </c>
    </row>
    <row r="266" spans="1:13" x14ac:dyDescent="0.3">
      <c r="A266" s="5" t="s">
        <v>810</v>
      </c>
      <c r="B266" s="5" t="s">
        <v>73</v>
      </c>
      <c r="C266" s="5">
        <v>39</v>
      </c>
      <c r="D266" s="5" t="s">
        <v>27</v>
      </c>
      <c r="E266" s="5">
        <v>160000</v>
      </c>
      <c r="F266" s="35">
        <v>0.08</v>
      </c>
      <c r="G266" s="5">
        <v>24</v>
      </c>
      <c r="H266" s="5" t="s">
        <v>811</v>
      </c>
      <c r="I266" s="5">
        <v>7236.37</v>
      </c>
      <c r="J266" s="5">
        <v>173672.8</v>
      </c>
      <c r="K266" s="5" t="s">
        <v>60</v>
      </c>
      <c r="L266" s="5" t="s">
        <v>201</v>
      </c>
      <c r="M266" s="5">
        <v>625</v>
      </c>
    </row>
    <row r="267" spans="1:13" x14ac:dyDescent="0.3">
      <c r="A267" s="4" t="s">
        <v>812</v>
      </c>
      <c r="B267" s="4" t="s">
        <v>813</v>
      </c>
      <c r="C267" s="4">
        <v>36</v>
      </c>
      <c r="D267" s="4" t="s">
        <v>37</v>
      </c>
      <c r="E267" s="4">
        <v>4550000</v>
      </c>
      <c r="F267" s="3">
        <v>0.11</v>
      </c>
      <c r="G267" s="4">
        <v>180</v>
      </c>
      <c r="H267" s="4" t="s">
        <v>814</v>
      </c>
      <c r="I267" s="4">
        <v>51715.16</v>
      </c>
      <c r="J267" s="4">
        <v>9308728.8900000006</v>
      </c>
      <c r="K267" s="4" t="s">
        <v>20</v>
      </c>
      <c r="L267" s="4" t="s">
        <v>205</v>
      </c>
      <c r="M267" s="4">
        <v>636</v>
      </c>
    </row>
    <row r="268" spans="1:13" x14ac:dyDescent="0.3">
      <c r="A268" s="5" t="s">
        <v>815</v>
      </c>
      <c r="B268" s="5" t="s">
        <v>377</v>
      </c>
      <c r="C268" s="5">
        <v>23</v>
      </c>
      <c r="D268" s="5" t="s">
        <v>42</v>
      </c>
      <c r="E268" s="5">
        <v>1320000</v>
      </c>
      <c r="F268" s="35">
        <v>0.08</v>
      </c>
      <c r="G268" s="5">
        <v>180</v>
      </c>
      <c r="H268" s="5" t="s">
        <v>252</v>
      </c>
      <c r="I268" s="5">
        <v>12614.61</v>
      </c>
      <c r="J268" s="5">
        <v>2270629.35</v>
      </c>
      <c r="K268" s="5" t="s">
        <v>60</v>
      </c>
      <c r="L268" s="5" t="s">
        <v>187</v>
      </c>
      <c r="M268" s="5">
        <v>666</v>
      </c>
    </row>
    <row r="269" spans="1:13" x14ac:dyDescent="0.3">
      <c r="A269" s="4" t="s">
        <v>816</v>
      </c>
      <c r="B269" s="4" t="s">
        <v>817</v>
      </c>
      <c r="C269" s="4">
        <v>40</v>
      </c>
      <c r="D269" s="4" t="s">
        <v>27</v>
      </c>
      <c r="E269" s="4">
        <v>120000</v>
      </c>
      <c r="F269" s="3">
        <v>8.5000000000000006E-2</v>
      </c>
      <c r="G269" s="4">
        <v>240</v>
      </c>
      <c r="H269" s="4" t="s">
        <v>818</v>
      </c>
      <c r="I269" s="4">
        <v>1041.3900000000001</v>
      </c>
      <c r="J269" s="4">
        <v>249933.09</v>
      </c>
      <c r="K269" s="4" t="s">
        <v>16</v>
      </c>
      <c r="L269" s="4" t="s">
        <v>82</v>
      </c>
      <c r="M269" s="4">
        <v>891</v>
      </c>
    </row>
    <row r="270" spans="1:13" x14ac:dyDescent="0.3">
      <c r="A270" s="5" t="s">
        <v>819</v>
      </c>
      <c r="B270" s="5" t="s">
        <v>820</v>
      </c>
      <c r="C270" s="5">
        <v>44</v>
      </c>
      <c r="D270" s="5" t="s">
        <v>32</v>
      </c>
      <c r="E270" s="5">
        <v>50000</v>
      </c>
      <c r="F270" s="35">
        <v>0.08</v>
      </c>
      <c r="G270" s="5">
        <v>36</v>
      </c>
      <c r="H270" s="5" t="s">
        <v>821</v>
      </c>
      <c r="I270" s="5">
        <v>1566.82</v>
      </c>
      <c r="J270" s="5">
        <v>56405.46</v>
      </c>
      <c r="K270" s="5" t="s">
        <v>20</v>
      </c>
      <c r="L270" s="5" t="s">
        <v>39</v>
      </c>
      <c r="M270" s="5">
        <v>576</v>
      </c>
    </row>
    <row r="271" spans="1:13" x14ac:dyDescent="0.3">
      <c r="A271" s="4" t="s">
        <v>822</v>
      </c>
      <c r="B271" s="4" t="s">
        <v>823</v>
      </c>
      <c r="C271" s="4">
        <v>53</v>
      </c>
      <c r="D271" s="4" t="s">
        <v>18</v>
      </c>
      <c r="E271" s="4">
        <v>1320000</v>
      </c>
      <c r="F271" s="3">
        <v>7.4999999999999997E-2</v>
      </c>
      <c r="G271" s="4">
        <v>180</v>
      </c>
      <c r="H271" s="4" t="s">
        <v>824</v>
      </c>
      <c r="I271" s="4">
        <v>12236.56</v>
      </c>
      <c r="J271" s="4">
        <v>2202581.37</v>
      </c>
      <c r="K271" s="4" t="s">
        <v>20</v>
      </c>
      <c r="L271" s="4" t="s">
        <v>29</v>
      </c>
      <c r="M271" s="4">
        <v>862</v>
      </c>
    </row>
    <row r="272" spans="1:13" x14ac:dyDescent="0.3">
      <c r="A272" s="5" t="s">
        <v>825</v>
      </c>
      <c r="B272" s="5" t="s">
        <v>826</v>
      </c>
      <c r="C272" s="5">
        <v>44</v>
      </c>
      <c r="D272" s="5" t="s">
        <v>15</v>
      </c>
      <c r="E272" s="5">
        <v>1360000</v>
      </c>
      <c r="F272" s="35">
        <v>7.4999999999999997E-2</v>
      </c>
      <c r="G272" s="5">
        <v>12</v>
      </c>
      <c r="H272" s="5" t="s">
        <v>827</v>
      </c>
      <c r="I272" s="5">
        <v>117990.09</v>
      </c>
      <c r="J272" s="5">
        <v>1415881.04</v>
      </c>
      <c r="K272" s="5" t="s">
        <v>20</v>
      </c>
      <c r="L272" s="5" t="s">
        <v>222</v>
      </c>
      <c r="M272" s="5">
        <v>836</v>
      </c>
    </row>
    <row r="273" spans="1:13" x14ac:dyDescent="0.3">
      <c r="A273" s="4" t="s">
        <v>828</v>
      </c>
      <c r="B273" s="4" t="s">
        <v>829</v>
      </c>
      <c r="C273" s="4">
        <v>31</v>
      </c>
      <c r="D273" s="4" t="s">
        <v>15</v>
      </c>
      <c r="E273" s="4">
        <v>1060000</v>
      </c>
      <c r="F273" s="3">
        <v>0.09</v>
      </c>
      <c r="G273" s="4">
        <v>240</v>
      </c>
      <c r="H273" s="4" t="s">
        <v>830</v>
      </c>
      <c r="I273" s="4">
        <v>9537.1</v>
      </c>
      <c r="J273" s="4">
        <v>2288902.83</v>
      </c>
      <c r="K273" s="4" t="s">
        <v>60</v>
      </c>
      <c r="L273" s="4" t="s">
        <v>75</v>
      </c>
      <c r="M273" s="4">
        <v>683</v>
      </c>
    </row>
    <row r="274" spans="1:13" x14ac:dyDescent="0.3">
      <c r="A274" s="5" t="s">
        <v>831</v>
      </c>
      <c r="B274" s="5" t="s">
        <v>832</v>
      </c>
      <c r="C274" s="5">
        <v>28</v>
      </c>
      <c r="D274" s="5" t="s">
        <v>32</v>
      </c>
      <c r="E274" s="5">
        <v>60000</v>
      </c>
      <c r="F274" s="35">
        <v>8.5000000000000006E-2</v>
      </c>
      <c r="G274" s="5">
        <v>12</v>
      </c>
      <c r="H274" s="5" t="s">
        <v>833</v>
      </c>
      <c r="I274" s="5">
        <v>5233.1899999999996</v>
      </c>
      <c r="J274" s="5">
        <v>62798.239999999998</v>
      </c>
      <c r="K274" s="5" t="s">
        <v>16</v>
      </c>
      <c r="L274" s="5" t="s">
        <v>201</v>
      </c>
      <c r="M274" s="5">
        <v>768</v>
      </c>
    </row>
    <row r="275" spans="1:13" x14ac:dyDescent="0.3">
      <c r="A275" s="4" t="s">
        <v>834</v>
      </c>
      <c r="B275" s="4" t="s">
        <v>835</v>
      </c>
      <c r="C275" s="4">
        <v>56</v>
      </c>
      <c r="D275" s="4" t="s">
        <v>32</v>
      </c>
      <c r="E275" s="4">
        <v>60000</v>
      </c>
      <c r="F275" s="3">
        <v>0.09</v>
      </c>
      <c r="G275" s="4">
        <v>240</v>
      </c>
      <c r="H275" s="4" t="s">
        <v>836</v>
      </c>
      <c r="I275" s="4">
        <v>539.84</v>
      </c>
      <c r="J275" s="4">
        <v>129560.54</v>
      </c>
      <c r="K275" s="4" t="s">
        <v>16</v>
      </c>
      <c r="L275" s="4" t="s">
        <v>147</v>
      </c>
      <c r="M275" s="4">
        <v>717</v>
      </c>
    </row>
    <row r="276" spans="1:13" x14ac:dyDescent="0.3">
      <c r="A276" s="5" t="s">
        <v>837</v>
      </c>
      <c r="B276" s="5" t="s">
        <v>330</v>
      </c>
      <c r="C276" s="5">
        <v>58</v>
      </c>
      <c r="D276" s="5" t="s">
        <v>42</v>
      </c>
      <c r="E276" s="5">
        <v>1410000</v>
      </c>
      <c r="F276" s="35">
        <v>0.105</v>
      </c>
      <c r="G276" s="5">
        <v>120</v>
      </c>
      <c r="H276" s="5" t="s">
        <v>838</v>
      </c>
      <c r="I276" s="5">
        <v>19025.830000000002</v>
      </c>
      <c r="J276" s="5">
        <v>2283100.15</v>
      </c>
      <c r="K276" s="5" t="s">
        <v>16</v>
      </c>
      <c r="L276" s="5" t="s">
        <v>147</v>
      </c>
      <c r="M276" s="5">
        <v>647</v>
      </c>
    </row>
    <row r="277" spans="1:13" x14ac:dyDescent="0.3">
      <c r="A277" s="4" t="s">
        <v>839</v>
      </c>
      <c r="B277" s="4" t="s">
        <v>840</v>
      </c>
      <c r="C277" s="4">
        <v>60</v>
      </c>
      <c r="D277" s="4" t="s">
        <v>27</v>
      </c>
      <c r="E277" s="4">
        <v>860000</v>
      </c>
      <c r="F277" s="3">
        <v>0.1</v>
      </c>
      <c r="G277" s="4">
        <v>180</v>
      </c>
      <c r="H277" s="4" t="s">
        <v>285</v>
      </c>
      <c r="I277" s="4">
        <v>9241.6</v>
      </c>
      <c r="J277" s="4">
        <v>1663488.72</v>
      </c>
      <c r="K277" s="4" t="s">
        <v>16</v>
      </c>
      <c r="L277" s="4" t="s">
        <v>94</v>
      </c>
      <c r="M277" s="4">
        <v>817</v>
      </c>
    </row>
    <row r="278" spans="1:13" x14ac:dyDescent="0.3">
      <c r="A278" s="5" t="s">
        <v>841</v>
      </c>
      <c r="B278" s="5" t="s">
        <v>842</v>
      </c>
      <c r="C278" s="5">
        <v>40</v>
      </c>
      <c r="D278" s="5" t="s">
        <v>37</v>
      </c>
      <c r="E278" s="5">
        <v>2800000</v>
      </c>
      <c r="F278" s="35">
        <v>0.125</v>
      </c>
      <c r="G278" s="5">
        <v>240</v>
      </c>
      <c r="H278" s="5" t="s">
        <v>843</v>
      </c>
      <c r="I278" s="5">
        <v>31811.94</v>
      </c>
      <c r="J278" s="5">
        <v>7634864.4900000002</v>
      </c>
      <c r="K278" s="5" t="s">
        <v>16</v>
      </c>
      <c r="L278" s="5" t="s">
        <v>366</v>
      </c>
      <c r="M278" s="5">
        <v>786</v>
      </c>
    </row>
    <row r="279" spans="1:13" x14ac:dyDescent="0.3">
      <c r="A279" s="4" t="s">
        <v>844</v>
      </c>
      <c r="B279" s="4" t="s">
        <v>845</v>
      </c>
      <c r="C279" s="4">
        <v>55</v>
      </c>
      <c r="D279" s="4" t="s">
        <v>18</v>
      </c>
      <c r="E279" s="4">
        <v>1320000</v>
      </c>
      <c r="F279" s="3">
        <v>0.125</v>
      </c>
      <c r="G279" s="4">
        <v>36</v>
      </c>
      <c r="H279" s="4" t="s">
        <v>846</v>
      </c>
      <c r="I279" s="4">
        <v>44158.79</v>
      </c>
      <c r="J279" s="4">
        <v>1589716.29</v>
      </c>
      <c r="K279" s="4" t="s">
        <v>16</v>
      </c>
      <c r="L279" s="4" t="s">
        <v>151</v>
      </c>
      <c r="M279" s="4">
        <v>858</v>
      </c>
    </row>
    <row r="280" spans="1:13" x14ac:dyDescent="0.3">
      <c r="A280" s="5" t="s">
        <v>847</v>
      </c>
      <c r="B280" s="5" t="s">
        <v>848</v>
      </c>
      <c r="C280" s="5">
        <v>45</v>
      </c>
      <c r="D280" s="5" t="s">
        <v>32</v>
      </c>
      <c r="E280" s="5">
        <v>200000</v>
      </c>
      <c r="F280" s="35">
        <v>0.125</v>
      </c>
      <c r="G280" s="5">
        <v>36</v>
      </c>
      <c r="H280" s="5" t="s">
        <v>849</v>
      </c>
      <c r="I280" s="5">
        <v>6690.73</v>
      </c>
      <c r="J280" s="5">
        <v>240866.1</v>
      </c>
      <c r="K280" s="5" t="s">
        <v>20</v>
      </c>
      <c r="L280" s="5" t="s">
        <v>29</v>
      </c>
      <c r="M280" s="5">
        <v>722</v>
      </c>
    </row>
    <row r="281" spans="1:13" x14ac:dyDescent="0.3">
      <c r="A281" s="4" t="s">
        <v>850</v>
      </c>
      <c r="B281" s="4" t="s">
        <v>851</v>
      </c>
      <c r="C281" s="4">
        <v>55</v>
      </c>
      <c r="D281" s="4" t="s">
        <v>32</v>
      </c>
      <c r="E281" s="4">
        <v>60000</v>
      </c>
      <c r="F281" s="3">
        <v>0.08</v>
      </c>
      <c r="G281" s="4">
        <v>36</v>
      </c>
      <c r="H281" s="4" t="s">
        <v>852</v>
      </c>
      <c r="I281" s="4">
        <v>1880.18</v>
      </c>
      <c r="J281" s="4">
        <v>67686.55</v>
      </c>
      <c r="K281" s="4" t="s">
        <v>20</v>
      </c>
      <c r="L281" s="4" t="s">
        <v>151</v>
      </c>
      <c r="M281" s="4">
        <v>739</v>
      </c>
    </row>
    <row r="282" spans="1:13" x14ac:dyDescent="0.3">
      <c r="A282" s="5" t="s">
        <v>853</v>
      </c>
      <c r="B282" s="5" t="s">
        <v>854</v>
      </c>
      <c r="C282" s="5">
        <v>45</v>
      </c>
      <c r="D282" s="5" t="s">
        <v>23</v>
      </c>
      <c r="E282" s="5">
        <v>9430000</v>
      </c>
      <c r="F282" s="35">
        <v>0.12</v>
      </c>
      <c r="G282" s="5">
        <v>24</v>
      </c>
      <c r="H282" s="5" t="s">
        <v>855</v>
      </c>
      <c r="I282" s="5">
        <v>443902.84</v>
      </c>
      <c r="J282" s="5">
        <v>10653668.23</v>
      </c>
      <c r="K282" s="5" t="s">
        <v>16</v>
      </c>
      <c r="L282" s="5" t="s">
        <v>34</v>
      </c>
      <c r="M282" s="5">
        <v>671</v>
      </c>
    </row>
    <row r="283" spans="1:13" x14ac:dyDescent="0.3">
      <c r="A283" s="4" t="s">
        <v>856</v>
      </c>
      <c r="B283" s="4" t="s">
        <v>857</v>
      </c>
      <c r="C283" s="4">
        <v>49</v>
      </c>
      <c r="D283" s="4" t="s">
        <v>15</v>
      </c>
      <c r="E283" s="4">
        <v>1910000</v>
      </c>
      <c r="F283" s="3">
        <v>0.12</v>
      </c>
      <c r="G283" s="4">
        <v>120</v>
      </c>
      <c r="H283" s="4" t="s">
        <v>858</v>
      </c>
      <c r="I283" s="4">
        <v>27402.95</v>
      </c>
      <c r="J283" s="4">
        <v>3288354.14</v>
      </c>
      <c r="K283" s="4" t="s">
        <v>16</v>
      </c>
      <c r="L283" s="4" t="s">
        <v>191</v>
      </c>
      <c r="M283" s="4">
        <v>595</v>
      </c>
    </row>
    <row r="284" spans="1:13" x14ac:dyDescent="0.3">
      <c r="A284" s="5" t="s">
        <v>859</v>
      </c>
      <c r="B284" s="5" t="s">
        <v>860</v>
      </c>
      <c r="C284" s="5">
        <v>38</v>
      </c>
      <c r="D284" s="5" t="s">
        <v>23</v>
      </c>
      <c r="E284" s="5">
        <v>8220000</v>
      </c>
      <c r="F284" s="35">
        <v>9.5000000000000001E-2</v>
      </c>
      <c r="G284" s="5">
        <v>84</v>
      </c>
      <c r="H284" s="5" t="s">
        <v>861</v>
      </c>
      <c r="I284" s="5">
        <v>134347.53</v>
      </c>
      <c r="J284" s="5">
        <v>11285192.470000001</v>
      </c>
      <c r="K284" s="5" t="s">
        <v>20</v>
      </c>
      <c r="L284" s="5" t="s">
        <v>68</v>
      </c>
      <c r="M284" s="5">
        <v>613</v>
      </c>
    </row>
    <row r="285" spans="1:13" x14ac:dyDescent="0.3">
      <c r="A285" s="4" t="s">
        <v>862</v>
      </c>
      <c r="B285" s="4" t="s">
        <v>863</v>
      </c>
      <c r="C285" s="4">
        <v>38</v>
      </c>
      <c r="D285" s="4" t="s">
        <v>18</v>
      </c>
      <c r="E285" s="4">
        <v>1890000</v>
      </c>
      <c r="F285" s="3">
        <v>0.08</v>
      </c>
      <c r="G285" s="4">
        <v>240</v>
      </c>
      <c r="H285" s="4" t="s">
        <v>864</v>
      </c>
      <c r="I285" s="4">
        <v>15808.72</v>
      </c>
      <c r="J285" s="4">
        <v>3794092.15</v>
      </c>
      <c r="K285" s="4" t="s">
        <v>20</v>
      </c>
      <c r="L285" s="4" t="s">
        <v>52</v>
      </c>
      <c r="M285" s="4">
        <v>679</v>
      </c>
    </row>
    <row r="286" spans="1:13" x14ac:dyDescent="0.3">
      <c r="A286" s="5" t="s">
        <v>865</v>
      </c>
      <c r="B286" s="5" t="s">
        <v>866</v>
      </c>
      <c r="C286" s="5">
        <v>22</v>
      </c>
      <c r="D286" s="5" t="s">
        <v>37</v>
      </c>
      <c r="E286" s="5">
        <v>2000000</v>
      </c>
      <c r="F286" s="35">
        <v>7.4999999999999997E-2</v>
      </c>
      <c r="G286" s="5">
        <v>120</v>
      </c>
      <c r="H286" s="5" t="s">
        <v>867</v>
      </c>
      <c r="I286" s="5">
        <v>23740.35</v>
      </c>
      <c r="J286" s="5">
        <v>2848842.46</v>
      </c>
      <c r="K286" s="5" t="s">
        <v>16</v>
      </c>
      <c r="L286" s="5" t="s">
        <v>222</v>
      </c>
      <c r="M286" s="5">
        <v>859</v>
      </c>
    </row>
    <row r="287" spans="1:13" x14ac:dyDescent="0.3">
      <c r="A287" s="4" t="s">
        <v>868</v>
      </c>
      <c r="B287" s="4" t="s">
        <v>869</v>
      </c>
      <c r="C287" s="4">
        <v>55</v>
      </c>
      <c r="D287" s="4" t="s">
        <v>32</v>
      </c>
      <c r="E287" s="4">
        <v>110000</v>
      </c>
      <c r="F287" s="3">
        <v>0.08</v>
      </c>
      <c r="G287" s="4">
        <v>120</v>
      </c>
      <c r="H287" s="4" t="s">
        <v>870</v>
      </c>
      <c r="I287" s="4">
        <v>1334.6</v>
      </c>
      <c r="J287" s="4">
        <v>160152.42000000001</v>
      </c>
      <c r="K287" s="4" t="s">
        <v>20</v>
      </c>
      <c r="L287" s="4" t="s">
        <v>48</v>
      </c>
      <c r="M287" s="4">
        <v>742</v>
      </c>
    </row>
    <row r="288" spans="1:13" x14ac:dyDescent="0.3">
      <c r="A288" s="5" t="s">
        <v>871</v>
      </c>
      <c r="B288" s="5" t="s">
        <v>872</v>
      </c>
      <c r="C288" s="5">
        <v>36</v>
      </c>
      <c r="D288" s="5" t="s">
        <v>18</v>
      </c>
      <c r="E288" s="5">
        <v>400000</v>
      </c>
      <c r="F288" s="35">
        <v>0.09</v>
      </c>
      <c r="G288" s="5">
        <v>48</v>
      </c>
      <c r="H288" s="5" t="s">
        <v>873</v>
      </c>
      <c r="I288" s="5">
        <v>9954.02</v>
      </c>
      <c r="J288" s="5">
        <v>477792.81</v>
      </c>
      <c r="K288" s="5" t="s">
        <v>20</v>
      </c>
      <c r="L288" s="5" t="s">
        <v>48</v>
      </c>
      <c r="M288" s="5">
        <v>856</v>
      </c>
    </row>
    <row r="289" spans="1:13" x14ac:dyDescent="0.3">
      <c r="A289" s="4" t="s">
        <v>874</v>
      </c>
      <c r="B289" s="4" t="s">
        <v>875</v>
      </c>
      <c r="C289" s="4">
        <v>61</v>
      </c>
      <c r="D289" s="4" t="s">
        <v>42</v>
      </c>
      <c r="E289" s="4">
        <v>1400000</v>
      </c>
      <c r="F289" s="3">
        <v>0.125</v>
      </c>
      <c r="G289" s="4">
        <v>60</v>
      </c>
      <c r="H289" s="4" t="s">
        <v>876</v>
      </c>
      <c r="I289" s="4">
        <v>31497.11</v>
      </c>
      <c r="J289" s="4">
        <v>1889826.81</v>
      </c>
      <c r="K289" s="4" t="s">
        <v>20</v>
      </c>
      <c r="L289" s="4" t="s">
        <v>104</v>
      </c>
      <c r="M289" s="4">
        <v>730</v>
      </c>
    </row>
    <row r="290" spans="1:13" x14ac:dyDescent="0.3">
      <c r="A290" s="5" t="s">
        <v>877</v>
      </c>
      <c r="B290" s="5" t="s">
        <v>878</v>
      </c>
      <c r="C290" s="5">
        <v>56</v>
      </c>
      <c r="D290" s="5" t="s">
        <v>15</v>
      </c>
      <c r="E290" s="5">
        <v>510000</v>
      </c>
      <c r="F290" s="35">
        <v>0.11</v>
      </c>
      <c r="G290" s="5">
        <v>120</v>
      </c>
      <c r="H290" s="5" t="s">
        <v>879</v>
      </c>
      <c r="I290" s="5">
        <v>7025.25</v>
      </c>
      <c r="J290" s="5">
        <v>843030.07</v>
      </c>
      <c r="K290" s="5" t="s">
        <v>16</v>
      </c>
      <c r="L290" s="5" t="s">
        <v>68</v>
      </c>
      <c r="M290" s="5">
        <v>841</v>
      </c>
    </row>
    <row r="291" spans="1:13" x14ac:dyDescent="0.3">
      <c r="A291" s="4" t="s">
        <v>880</v>
      </c>
      <c r="B291" s="4" t="s">
        <v>881</v>
      </c>
      <c r="C291" s="4">
        <v>53</v>
      </c>
      <c r="D291" s="4" t="s">
        <v>23</v>
      </c>
      <c r="E291" s="4">
        <v>5040000</v>
      </c>
      <c r="F291" s="3">
        <v>8.5000000000000006E-2</v>
      </c>
      <c r="G291" s="4">
        <v>84</v>
      </c>
      <c r="H291" s="4" t="s">
        <v>882</v>
      </c>
      <c r="I291" s="4">
        <v>79815.89</v>
      </c>
      <c r="J291" s="4">
        <v>6704534.4699999997</v>
      </c>
      <c r="K291" s="4" t="s">
        <v>16</v>
      </c>
      <c r="L291" s="4" t="s">
        <v>52</v>
      </c>
      <c r="M291" s="4">
        <v>831</v>
      </c>
    </row>
    <row r="292" spans="1:13" x14ac:dyDescent="0.3">
      <c r="A292" s="5" t="s">
        <v>883</v>
      </c>
      <c r="B292" s="5" t="s">
        <v>884</v>
      </c>
      <c r="C292" s="5">
        <v>24</v>
      </c>
      <c r="D292" s="5" t="s">
        <v>15</v>
      </c>
      <c r="E292" s="5">
        <v>600000</v>
      </c>
      <c r="F292" s="35">
        <v>0.08</v>
      </c>
      <c r="G292" s="5">
        <v>60</v>
      </c>
      <c r="H292" s="5" t="s">
        <v>885</v>
      </c>
      <c r="I292" s="5">
        <v>12165.84</v>
      </c>
      <c r="J292" s="5">
        <v>729950.19</v>
      </c>
      <c r="K292" s="5" t="s">
        <v>20</v>
      </c>
      <c r="L292" s="5" t="s">
        <v>143</v>
      </c>
      <c r="M292" s="5">
        <v>578</v>
      </c>
    </row>
    <row r="293" spans="1:13" x14ac:dyDescent="0.3">
      <c r="A293" s="4" t="s">
        <v>886</v>
      </c>
      <c r="B293" s="4" t="s">
        <v>887</v>
      </c>
      <c r="C293" s="4">
        <v>53</v>
      </c>
      <c r="D293" s="4" t="s">
        <v>23</v>
      </c>
      <c r="E293" s="4">
        <v>9830000</v>
      </c>
      <c r="F293" s="3">
        <v>0.1</v>
      </c>
      <c r="G293" s="4">
        <v>180</v>
      </c>
      <c r="H293" s="4" t="s">
        <v>888</v>
      </c>
      <c r="I293" s="4">
        <v>105633.68</v>
      </c>
      <c r="J293" s="4">
        <v>19014062.949999999</v>
      </c>
      <c r="K293" s="4" t="s">
        <v>20</v>
      </c>
      <c r="L293" s="4" t="s">
        <v>212</v>
      </c>
      <c r="M293" s="4">
        <v>698</v>
      </c>
    </row>
    <row r="294" spans="1:13" x14ac:dyDescent="0.3">
      <c r="A294" s="5" t="s">
        <v>889</v>
      </c>
      <c r="B294" s="5" t="s">
        <v>890</v>
      </c>
      <c r="C294" s="5">
        <v>34</v>
      </c>
      <c r="D294" s="5" t="s">
        <v>18</v>
      </c>
      <c r="E294" s="5">
        <v>730000</v>
      </c>
      <c r="F294" s="35">
        <v>0.08</v>
      </c>
      <c r="G294" s="5">
        <v>36</v>
      </c>
      <c r="H294" s="5" t="s">
        <v>891</v>
      </c>
      <c r="I294" s="5">
        <v>22875.55</v>
      </c>
      <c r="J294" s="5">
        <v>823519.68</v>
      </c>
      <c r="K294" s="5" t="s">
        <v>312</v>
      </c>
      <c r="L294" s="5" t="s">
        <v>25</v>
      </c>
      <c r="M294" s="5">
        <v>816</v>
      </c>
    </row>
    <row r="295" spans="1:13" x14ac:dyDescent="0.3">
      <c r="A295" s="4" t="s">
        <v>892</v>
      </c>
      <c r="B295" s="4" t="s">
        <v>893</v>
      </c>
      <c r="C295" s="4">
        <v>41</v>
      </c>
      <c r="D295" s="4" t="s">
        <v>32</v>
      </c>
      <c r="E295" s="4">
        <v>480000</v>
      </c>
      <c r="F295" s="3">
        <v>7.4999999999999997E-2</v>
      </c>
      <c r="G295" s="4">
        <v>36</v>
      </c>
      <c r="H295" s="4" t="s">
        <v>894</v>
      </c>
      <c r="I295" s="4">
        <v>14930.98</v>
      </c>
      <c r="J295" s="4">
        <v>537515.44999999995</v>
      </c>
      <c r="K295" s="4" t="s">
        <v>16</v>
      </c>
      <c r="L295" s="4" t="s">
        <v>201</v>
      </c>
      <c r="M295" s="4">
        <v>845</v>
      </c>
    </row>
    <row r="296" spans="1:13" x14ac:dyDescent="0.3">
      <c r="A296" s="5" t="s">
        <v>895</v>
      </c>
      <c r="B296" s="5" t="s">
        <v>896</v>
      </c>
      <c r="C296" s="5">
        <v>40</v>
      </c>
      <c r="D296" s="5" t="s">
        <v>27</v>
      </c>
      <c r="E296" s="5">
        <v>470000</v>
      </c>
      <c r="F296" s="35">
        <v>0.11</v>
      </c>
      <c r="G296" s="5">
        <v>120</v>
      </c>
      <c r="H296" s="5" t="s">
        <v>897</v>
      </c>
      <c r="I296" s="5">
        <v>6474.25</v>
      </c>
      <c r="J296" s="5">
        <v>776910.06</v>
      </c>
      <c r="K296" s="5" t="s">
        <v>16</v>
      </c>
      <c r="L296" s="5" t="s">
        <v>191</v>
      </c>
      <c r="M296" s="5">
        <v>560</v>
      </c>
    </row>
    <row r="297" spans="1:13" x14ac:dyDescent="0.3">
      <c r="A297" s="4" t="s">
        <v>898</v>
      </c>
      <c r="B297" s="4" t="s">
        <v>581</v>
      </c>
      <c r="C297" s="4">
        <v>28</v>
      </c>
      <c r="D297" s="4" t="s">
        <v>27</v>
      </c>
      <c r="E297" s="4">
        <v>380000</v>
      </c>
      <c r="F297" s="3">
        <v>7.4999999999999997E-2</v>
      </c>
      <c r="G297" s="4">
        <v>240</v>
      </c>
      <c r="H297" s="4" t="s">
        <v>899</v>
      </c>
      <c r="I297" s="4">
        <v>3061.25</v>
      </c>
      <c r="J297" s="4">
        <v>734700.99</v>
      </c>
      <c r="K297" s="4" t="s">
        <v>20</v>
      </c>
      <c r="L297" s="4" t="s">
        <v>39</v>
      </c>
      <c r="M297" s="4">
        <v>713</v>
      </c>
    </row>
    <row r="298" spans="1:13" x14ac:dyDescent="0.3">
      <c r="A298" s="5" t="s">
        <v>900</v>
      </c>
      <c r="B298" s="5" t="s">
        <v>901</v>
      </c>
      <c r="C298" s="5">
        <v>27</v>
      </c>
      <c r="D298" s="5" t="s">
        <v>42</v>
      </c>
      <c r="E298" s="5">
        <v>1130000</v>
      </c>
      <c r="F298" s="35">
        <v>8.5000000000000006E-2</v>
      </c>
      <c r="G298" s="5">
        <v>60</v>
      </c>
      <c r="H298" s="5" t="s">
        <v>902</v>
      </c>
      <c r="I298" s="5">
        <v>23183.68</v>
      </c>
      <c r="J298" s="5">
        <v>1391020.82</v>
      </c>
      <c r="K298" s="5" t="s">
        <v>20</v>
      </c>
      <c r="L298" s="5" t="s">
        <v>201</v>
      </c>
      <c r="M298" s="5">
        <v>662</v>
      </c>
    </row>
    <row r="299" spans="1:13" x14ac:dyDescent="0.3">
      <c r="A299" s="4" t="s">
        <v>903</v>
      </c>
      <c r="B299" s="4" t="s">
        <v>904</v>
      </c>
      <c r="C299" s="4">
        <v>23</v>
      </c>
      <c r="D299" s="4" t="s">
        <v>37</v>
      </c>
      <c r="E299" s="4">
        <v>1160000</v>
      </c>
      <c r="F299" s="3">
        <v>0.12</v>
      </c>
      <c r="G299" s="4">
        <v>240</v>
      </c>
      <c r="H299" s="4" t="s">
        <v>905</v>
      </c>
      <c r="I299" s="4">
        <v>12772.6</v>
      </c>
      <c r="J299" s="4">
        <v>3065423.8</v>
      </c>
      <c r="K299" s="4" t="s">
        <v>20</v>
      </c>
      <c r="L299" s="4" t="s">
        <v>119</v>
      </c>
      <c r="M299" s="4">
        <v>736</v>
      </c>
    </row>
    <row r="300" spans="1:13" x14ac:dyDescent="0.3">
      <c r="A300" s="5" t="s">
        <v>906</v>
      </c>
      <c r="B300" s="5" t="s">
        <v>626</v>
      </c>
      <c r="C300" s="5">
        <v>37</v>
      </c>
      <c r="D300" s="5" t="s">
        <v>15</v>
      </c>
      <c r="E300" s="5">
        <v>980000</v>
      </c>
      <c r="F300" s="35">
        <v>0.105</v>
      </c>
      <c r="G300" s="5">
        <v>84</v>
      </c>
      <c r="H300" s="5" t="s">
        <v>907</v>
      </c>
      <c r="I300" s="5">
        <v>16523.46</v>
      </c>
      <c r="J300" s="5">
        <v>1387970.61</v>
      </c>
      <c r="K300" s="5" t="s">
        <v>16</v>
      </c>
      <c r="L300" s="5" t="s">
        <v>187</v>
      </c>
      <c r="M300" s="5">
        <v>844</v>
      </c>
    </row>
    <row r="301" spans="1:13" x14ac:dyDescent="0.3">
      <c r="A301" s="4" t="s">
        <v>908</v>
      </c>
      <c r="B301" s="4" t="s">
        <v>444</v>
      </c>
      <c r="C301" s="4">
        <v>53</v>
      </c>
      <c r="D301" s="4" t="s">
        <v>37</v>
      </c>
      <c r="E301" s="4">
        <v>3910000</v>
      </c>
      <c r="F301" s="3">
        <v>0.13</v>
      </c>
      <c r="G301" s="4">
        <v>240</v>
      </c>
      <c r="H301" s="4" t="s">
        <v>909</v>
      </c>
      <c r="I301" s="4">
        <v>45808.61</v>
      </c>
      <c r="J301" s="4">
        <v>10994066.470000001</v>
      </c>
      <c r="K301" s="4" t="s">
        <v>20</v>
      </c>
      <c r="L301" s="4" t="s">
        <v>119</v>
      </c>
      <c r="M301" s="4">
        <v>781</v>
      </c>
    </row>
    <row r="302" spans="1:13" x14ac:dyDescent="0.3">
      <c r="A302" s="5" t="s">
        <v>910</v>
      </c>
      <c r="B302" s="5" t="s">
        <v>911</v>
      </c>
      <c r="C302" s="5">
        <v>32</v>
      </c>
      <c r="D302" s="5" t="s">
        <v>23</v>
      </c>
      <c r="E302" s="5">
        <v>8700000</v>
      </c>
      <c r="F302" s="35">
        <v>0.105</v>
      </c>
      <c r="G302" s="5">
        <v>48</v>
      </c>
      <c r="H302" s="5" t="s">
        <v>912</v>
      </c>
      <c r="I302" s="5">
        <v>222749.4</v>
      </c>
      <c r="J302" s="5">
        <v>10691971.380000001</v>
      </c>
      <c r="K302" s="5" t="s">
        <v>20</v>
      </c>
      <c r="L302" s="5" t="s">
        <v>159</v>
      </c>
      <c r="M302" s="5">
        <v>776</v>
      </c>
    </row>
    <row r="303" spans="1:13" x14ac:dyDescent="0.3">
      <c r="A303" s="4" t="s">
        <v>913</v>
      </c>
      <c r="B303" s="4" t="s">
        <v>914</v>
      </c>
      <c r="C303" s="4">
        <v>42</v>
      </c>
      <c r="D303" s="4" t="s">
        <v>32</v>
      </c>
      <c r="E303" s="4">
        <v>350000</v>
      </c>
      <c r="F303" s="3">
        <v>0.11</v>
      </c>
      <c r="G303" s="4">
        <v>48</v>
      </c>
      <c r="H303" s="4" t="s">
        <v>915</v>
      </c>
      <c r="I303" s="4">
        <v>9045.93</v>
      </c>
      <c r="J303" s="4">
        <v>434204.78</v>
      </c>
      <c r="K303" s="4" t="s">
        <v>16</v>
      </c>
      <c r="L303" s="4" t="s">
        <v>29</v>
      </c>
      <c r="M303" s="4">
        <v>859</v>
      </c>
    </row>
    <row r="304" spans="1:13" x14ac:dyDescent="0.3">
      <c r="A304" s="5" t="s">
        <v>916</v>
      </c>
      <c r="B304" s="5" t="s">
        <v>917</v>
      </c>
      <c r="C304" s="5">
        <v>42</v>
      </c>
      <c r="D304" s="5" t="s">
        <v>42</v>
      </c>
      <c r="E304" s="5">
        <v>810000</v>
      </c>
      <c r="F304" s="35">
        <v>7.4999999999999997E-2</v>
      </c>
      <c r="G304" s="5">
        <v>48</v>
      </c>
      <c r="H304" s="5" t="s">
        <v>918</v>
      </c>
      <c r="I304" s="5">
        <v>19584.91</v>
      </c>
      <c r="J304" s="5">
        <v>940075.71</v>
      </c>
      <c r="K304" s="5" t="s">
        <v>20</v>
      </c>
      <c r="L304" s="5" t="s">
        <v>249</v>
      </c>
      <c r="M304" s="5">
        <v>647</v>
      </c>
    </row>
    <row r="305" spans="1:13" x14ac:dyDescent="0.3">
      <c r="A305" s="4" t="s">
        <v>919</v>
      </c>
      <c r="B305" s="4" t="s">
        <v>920</v>
      </c>
      <c r="C305" s="4">
        <v>50</v>
      </c>
      <c r="D305" s="4" t="s">
        <v>27</v>
      </c>
      <c r="E305" s="4">
        <v>830000</v>
      </c>
      <c r="F305" s="3">
        <v>0.105</v>
      </c>
      <c r="G305" s="4">
        <v>60</v>
      </c>
      <c r="H305" s="4" t="s">
        <v>921</v>
      </c>
      <c r="I305" s="4">
        <v>17839.939999999999</v>
      </c>
      <c r="J305" s="4">
        <v>1070396.24</v>
      </c>
      <c r="K305" s="4" t="s">
        <v>16</v>
      </c>
      <c r="L305" s="4" t="s">
        <v>34</v>
      </c>
      <c r="M305" s="4">
        <v>604</v>
      </c>
    </row>
    <row r="306" spans="1:13" x14ac:dyDescent="0.3">
      <c r="A306" s="5" t="s">
        <v>922</v>
      </c>
      <c r="B306" s="5" t="s">
        <v>923</v>
      </c>
      <c r="C306" s="5">
        <v>58</v>
      </c>
      <c r="D306" s="5" t="s">
        <v>27</v>
      </c>
      <c r="E306" s="5">
        <v>340000</v>
      </c>
      <c r="F306" s="35">
        <v>0.125</v>
      </c>
      <c r="G306" s="5">
        <v>84</v>
      </c>
      <c r="H306" s="5" t="s">
        <v>924</v>
      </c>
      <c r="I306" s="5">
        <v>6093.22</v>
      </c>
      <c r="J306" s="5">
        <v>511830.57</v>
      </c>
      <c r="K306" s="5" t="s">
        <v>60</v>
      </c>
      <c r="L306" s="5" t="s">
        <v>222</v>
      </c>
      <c r="M306" s="5">
        <v>660</v>
      </c>
    </row>
    <row r="307" spans="1:13" x14ac:dyDescent="0.3">
      <c r="A307" s="4" t="s">
        <v>925</v>
      </c>
      <c r="B307" s="4" t="s">
        <v>734</v>
      </c>
      <c r="C307" s="4">
        <v>58</v>
      </c>
      <c r="D307" s="4" t="s">
        <v>42</v>
      </c>
      <c r="E307" s="4">
        <v>930000</v>
      </c>
      <c r="F307" s="3">
        <v>0.105</v>
      </c>
      <c r="G307" s="4">
        <v>36</v>
      </c>
      <c r="H307" s="4" t="s">
        <v>926</v>
      </c>
      <c r="I307" s="4">
        <v>30227.27</v>
      </c>
      <c r="J307" s="4">
        <v>1088181.81</v>
      </c>
      <c r="K307" s="4" t="s">
        <v>20</v>
      </c>
      <c r="L307" s="4" t="s">
        <v>104</v>
      </c>
      <c r="M307" s="4">
        <v>701</v>
      </c>
    </row>
    <row r="308" spans="1:13" x14ac:dyDescent="0.3">
      <c r="A308" s="5" t="s">
        <v>927</v>
      </c>
      <c r="B308" s="5" t="s">
        <v>345</v>
      </c>
      <c r="C308" s="5">
        <v>28</v>
      </c>
      <c r="D308" s="5" t="s">
        <v>18</v>
      </c>
      <c r="E308" s="5">
        <v>1630000</v>
      </c>
      <c r="F308" s="35">
        <v>8.5000000000000006E-2</v>
      </c>
      <c r="G308" s="5">
        <v>36</v>
      </c>
      <c r="H308" s="5" t="s">
        <v>340</v>
      </c>
      <c r="I308" s="5">
        <v>51455.09</v>
      </c>
      <c r="J308" s="5">
        <v>1852383.1</v>
      </c>
      <c r="K308" s="5" t="s">
        <v>16</v>
      </c>
      <c r="L308" s="5" t="s">
        <v>75</v>
      </c>
      <c r="M308" s="5">
        <v>795</v>
      </c>
    </row>
    <row r="309" spans="1:13" x14ac:dyDescent="0.3">
      <c r="A309" s="4" t="s">
        <v>928</v>
      </c>
      <c r="B309" s="4" t="s">
        <v>321</v>
      </c>
      <c r="C309" s="4">
        <v>47</v>
      </c>
      <c r="D309" s="4" t="s">
        <v>15</v>
      </c>
      <c r="E309" s="4">
        <v>1940000</v>
      </c>
      <c r="F309" s="3">
        <v>0.1</v>
      </c>
      <c r="G309" s="4">
        <v>240</v>
      </c>
      <c r="H309" s="4" t="s">
        <v>929</v>
      </c>
      <c r="I309" s="4">
        <v>18721.419999999998</v>
      </c>
      <c r="J309" s="4">
        <v>4493140.78</v>
      </c>
      <c r="K309" s="4" t="s">
        <v>20</v>
      </c>
      <c r="L309" s="4" t="s">
        <v>64</v>
      </c>
      <c r="M309" s="4">
        <v>618</v>
      </c>
    </row>
    <row r="310" spans="1:13" x14ac:dyDescent="0.3">
      <c r="A310" s="5" t="s">
        <v>930</v>
      </c>
      <c r="B310" s="5" t="s">
        <v>931</v>
      </c>
      <c r="C310" s="5">
        <v>47</v>
      </c>
      <c r="D310" s="5" t="s">
        <v>37</v>
      </c>
      <c r="E310" s="5">
        <v>1180000</v>
      </c>
      <c r="F310" s="35">
        <v>0.09</v>
      </c>
      <c r="G310" s="5">
        <v>240</v>
      </c>
      <c r="H310" s="5" t="s">
        <v>932</v>
      </c>
      <c r="I310" s="5">
        <v>10616.77</v>
      </c>
      <c r="J310" s="5">
        <v>2548023.91</v>
      </c>
      <c r="K310" s="5" t="s">
        <v>16</v>
      </c>
      <c r="L310" s="5" t="s">
        <v>155</v>
      </c>
      <c r="M310" s="5">
        <v>861</v>
      </c>
    </row>
    <row r="311" spans="1:13" x14ac:dyDescent="0.3">
      <c r="A311" s="4" t="s">
        <v>933</v>
      </c>
      <c r="B311" s="4" t="s">
        <v>934</v>
      </c>
      <c r="C311" s="4">
        <v>54</v>
      </c>
      <c r="D311" s="4" t="s">
        <v>23</v>
      </c>
      <c r="E311" s="4">
        <v>1530000</v>
      </c>
      <c r="F311" s="3">
        <v>8.5000000000000006E-2</v>
      </c>
      <c r="G311" s="4">
        <v>84</v>
      </c>
      <c r="H311" s="4" t="s">
        <v>935</v>
      </c>
      <c r="I311" s="4">
        <v>24229.82</v>
      </c>
      <c r="J311" s="4">
        <v>2035305.11</v>
      </c>
      <c r="K311" s="4" t="s">
        <v>20</v>
      </c>
      <c r="L311" s="4" t="s">
        <v>39</v>
      </c>
      <c r="M311" s="4">
        <v>838</v>
      </c>
    </row>
    <row r="312" spans="1:13" x14ac:dyDescent="0.3">
      <c r="A312" s="5" t="s">
        <v>936</v>
      </c>
      <c r="B312" s="5" t="s">
        <v>937</v>
      </c>
      <c r="C312" s="5">
        <v>41</v>
      </c>
      <c r="D312" s="5" t="s">
        <v>37</v>
      </c>
      <c r="E312" s="5">
        <v>1280000</v>
      </c>
      <c r="F312" s="35">
        <v>9.5000000000000001E-2</v>
      </c>
      <c r="G312" s="5">
        <v>24</v>
      </c>
      <c r="H312" s="5" t="s">
        <v>938</v>
      </c>
      <c r="I312" s="5">
        <v>58770.55</v>
      </c>
      <c r="J312" s="5">
        <v>1410493.22</v>
      </c>
      <c r="K312" s="5" t="s">
        <v>20</v>
      </c>
      <c r="L312" s="5" t="s">
        <v>25</v>
      </c>
      <c r="M312" s="5">
        <v>799</v>
      </c>
    </row>
    <row r="313" spans="1:13" x14ac:dyDescent="0.3">
      <c r="A313" s="4" t="s">
        <v>939</v>
      </c>
      <c r="B313" s="4" t="s">
        <v>491</v>
      </c>
      <c r="C313" s="4">
        <v>50</v>
      </c>
      <c r="D313" s="4" t="s">
        <v>27</v>
      </c>
      <c r="E313" s="4">
        <v>520000</v>
      </c>
      <c r="F313" s="3">
        <v>9.5000000000000001E-2</v>
      </c>
      <c r="G313" s="4">
        <v>84</v>
      </c>
      <c r="H313" s="4" t="s">
        <v>940</v>
      </c>
      <c r="I313" s="4">
        <v>8498.8700000000008</v>
      </c>
      <c r="J313" s="4">
        <v>713905.12</v>
      </c>
      <c r="K313" s="4" t="s">
        <v>16</v>
      </c>
      <c r="L313" s="4" t="s">
        <v>316</v>
      </c>
      <c r="M313" s="4">
        <v>585</v>
      </c>
    </row>
    <row r="314" spans="1:13" x14ac:dyDescent="0.3">
      <c r="A314" s="5" t="s">
        <v>941</v>
      </c>
      <c r="B314" s="5" t="s">
        <v>942</v>
      </c>
      <c r="C314" s="5">
        <v>53</v>
      </c>
      <c r="D314" s="5" t="s">
        <v>42</v>
      </c>
      <c r="E314" s="5">
        <v>1100000</v>
      </c>
      <c r="F314" s="35">
        <v>0.11</v>
      </c>
      <c r="G314" s="5">
        <v>240</v>
      </c>
      <c r="H314" s="5" t="s">
        <v>943</v>
      </c>
      <c r="I314" s="5">
        <v>11354.07</v>
      </c>
      <c r="J314" s="5">
        <v>2724977.36</v>
      </c>
      <c r="K314" s="5" t="s">
        <v>312</v>
      </c>
      <c r="L314" s="5" t="s">
        <v>44</v>
      </c>
      <c r="M314" s="5">
        <v>788</v>
      </c>
    </row>
    <row r="315" spans="1:13" x14ac:dyDescent="0.3">
      <c r="A315" s="4" t="s">
        <v>944</v>
      </c>
      <c r="B315" s="4" t="s">
        <v>829</v>
      </c>
      <c r="C315" s="4">
        <v>48</v>
      </c>
      <c r="D315" s="4" t="s">
        <v>27</v>
      </c>
      <c r="E315" s="4">
        <v>500000</v>
      </c>
      <c r="F315" s="3">
        <v>8.5000000000000006E-2</v>
      </c>
      <c r="G315" s="4">
        <v>180</v>
      </c>
      <c r="H315" s="4" t="s">
        <v>945</v>
      </c>
      <c r="I315" s="4">
        <v>4923.7</v>
      </c>
      <c r="J315" s="4">
        <v>886265.6</v>
      </c>
      <c r="K315" s="4" t="s">
        <v>16</v>
      </c>
      <c r="L315" s="4" t="s">
        <v>115</v>
      </c>
      <c r="M315" s="4">
        <v>697</v>
      </c>
    </row>
    <row r="316" spans="1:13" x14ac:dyDescent="0.3">
      <c r="A316" s="5" t="s">
        <v>946</v>
      </c>
      <c r="B316" s="5" t="s">
        <v>947</v>
      </c>
      <c r="C316" s="5">
        <v>53</v>
      </c>
      <c r="D316" s="5" t="s">
        <v>32</v>
      </c>
      <c r="E316" s="5">
        <v>340000</v>
      </c>
      <c r="F316" s="35">
        <v>7.4999999999999997E-2</v>
      </c>
      <c r="G316" s="5">
        <v>120</v>
      </c>
      <c r="H316" s="5" t="s">
        <v>948</v>
      </c>
      <c r="I316" s="5">
        <v>4035.86</v>
      </c>
      <c r="J316" s="5">
        <v>484303.22</v>
      </c>
      <c r="K316" s="5" t="s">
        <v>16</v>
      </c>
      <c r="L316" s="5" t="s">
        <v>205</v>
      </c>
      <c r="M316" s="5">
        <v>776</v>
      </c>
    </row>
    <row r="317" spans="1:13" x14ac:dyDescent="0.3">
      <c r="A317" s="4" t="s">
        <v>949</v>
      </c>
      <c r="B317" s="4" t="s">
        <v>950</v>
      </c>
      <c r="C317" s="4">
        <v>25</v>
      </c>
      <c r="D317" s="4" t="s">
        <v>27</v>
      </c>
      <c r="E317" s="4">
        <v>600000</v>
      </c>
      <c r="F317" s="3">
        <v>0.12</v>
      </c>
      <c r="G317" s="4">
        <v>240</v>
      </c>
      <c r="H317" s="4" t="s">
        <v>951</v>
      </c>
      <c r="I317" s="4">
        <v>6606.52</v>
      </c>
      <c r="J317" s="4">
        <v>1585564.03</v>
      </c>
      <c r="K317" s="4" t="s">
        <v>20</v>
      </c>
      <c r="L317" s="4" t="s">
        <v>52</v>
      </c>
      <c r="M317" s="4">
        <v>793</v>
      </c>
    </row>
    <row r="318" spans="1:13" x14ac:dyDescent="0.3">
      <c r="A318" s="5" t="s">
        <v>952</v>
      </c>
      <c r="B318" s="5" t="s">
        <v>953</v>
      </c>
      <c r="C318" s="5">
        <v>39</v>
      </c>
      <c r="D318" s="5" t="s">
        <v>23</v>
      </c>
      <c r="E318" s="5">
        <v>1940000</v>
      </c>
      <c r="F318" s="35">
        <v>0.12</v>
      </c>
      <c r="G318" s="5">
        <v>60</v>
      </c>
      <c r="H318" s="5" t="s">
        <v>954</v>
      </c>
      <c r="I318" s="5">
        <v>43154.23</v>
      </c>
      <c r="J318" s="5">
        <v>2589253.71</v>
      </c>
      <c r="K318" s="5" t="s">
        <v>20</v>
      </c>
      <c r="L318" s="5" t="s">
        <v>201</v>
      </c>
      <c r="M318" s="5">
        <v>886</v>
      </c>
    </row>
    <row r="319" spans="1:13" x14ac:dyDescent="0.3">
      <c r="A319" s="4" t="s">
        <v>955</v>
      </c>
      <c r="B319" s="4" t="s">
        <v>956</v>
      </c>
      <c r="C319" s="4">
        <v>24</v>
      </c>
      <c r="D319" s="4" t="s">
        <v>15</v>
      </c>
      <c r="E319" s="4">
        <v>1540000</v>
      </c>
      <c r="F319" s="3">
        <v>0.12</v>
      </c>
      <c r="G319" s="4">
        <v>120</v>
      </c>
      <c r="H319" s="4" t="s">
        <v>957</v>
      </c>
      <c r="I319" s="4">
        <v>22094.53</v>
      </c>
      <c r="J319" s="4">
        <v>2651343.13</v>
      </c>
      <c r="K319" s="4" t="s">
        <v>16</v>
      </c>
      <c r="L319" s="4" t="s">
        <v>201</v>
      </c>
      <c r="M319" s="4">
        <v>750</v>
      </c>
    </row>
    <row r="320" spans="1:13" x14ac:dyDescent="0.3">
      <c r="A320" s="5" t="s">
        <v>958</v>
      </c>
      <c r="B320" s="5" t="s">
        <v>959</v>
      </c>
      <c r="C320" s="5">
        <v>55</v>
      </c>
      <c r="D320" s="5" t="s">
        <v>15</v>
      </c>
      <c r="E320" s="5">
        <v>220000</v>
      </c>
      <c r="F320" s="35">
        <v>0.09</v>
      </c>
      <c r="G320" s="5">
        <v>12</v>
      </c>
      <c r="H320" s="5" t="s">
        <v>960</v>
      </c>
      <c r="I320" s="5">
        <v>19239.32</v>
      </c>
      <c r="J320" s="5">
        <v>230871.9</v>
      </c>
      <c r="K320" s="5" t="s">
        <v>16</v>
      </c>
      <c r="L320" s="5" t="s">
        <v>205</v>
      </c>
      <c r="M320" s="5">
        <v>703</v>
      </c>
    </row>
    <row r="321" spans="1:13" x14ac:dyDescent="0.3">
      <c r="A321" s="4" t="s">
        <v>961</v>
      </c>
      <c r="B321" s="4" t="s">
        <v>962</v>
      </c>
      <c r="C321" s="4">
        <v>37</v>
      </c>
      <c r="D321" s="4" t="s">
        <v>32</v>
      </c>
      <c r="E321" s="4">
        <v>420000</v>
      </c>
      <c r="F321" s="3">
        <v>0.125</v>
      </c>
      <c r="G321" s="4">
        <v>240</v>
      </c>
      <c r="H321" s="4" t="s">
        <v>963</v>
      </c>
      <c r="I321" s="4">
        <v>4771.79</v>
      </c>
      <c r="J321" s="4">
        <v>1145229.67</v>
      </c>
      <c r="K321" s="4" t="s">
        <v>20</v>
      </c>
      <c r="L321" s="4" t="s">
        <v>94</v>
      </c>
      <c r="M321" s="4">
        <v>622</v>
      </c>
    </row>
    <row r="322" spans="1:13" x14ac:dyDescent="0.3">
      <c r="A322" s="5" t="s">
        <v>964</v>
      </c>
      <c r="B322" s="5" t="s">
        <v>965</v>
      </c>
      <c r="C322" s="5">
        <v>64</v>
      </c>
      <c r="D322" s="5" t="s">
        <v>23</v>
      </c>
      <c r="E322" s="5">
        <v>3880000</v>
      </c>
      <c r="F322" s="35">
        <v>9.5000000000000001E-2</v>
      </c>
      <c r="G322" s="5">
        <v>24</v>
      </c>
      <c r="H322" s="5" t="s">
        <v>966</v>
      </c>
      <c r="I322" s="5">
        <v>178148.23</v>
      </c>
      <c r="J322" s="5">
        <v>4275557.59</v>
      </c>
      <c r="K322" s="5" t="s">
        <v>16</v>
      </c>
      <c r="L322" s="5" t="s">
        <v>56</v>
      </c>
      <c r="M322" s="5">
        <v>750</v>
      </c>
    </row>
    <row r="323" spans="1:13" x14ac:dyDescent="0.3">
      <c r="A323" s="4" t="s">
        <v>967</v>
      </c>
      <c r="B323" s="4" t="s">
        <v>392</v>
      </c>
      <c r="C323" s="4">
        <v>48</v>
      </c>
      <c r="D323" s="4" t="s">
        <v>42</v>
      </c>
      <c r="E323" s="4">
        <v>470000</v>
      </c>
      <c r="F323" s="3">
        <v>0.11</v>
      </c>
      <c r="G323" s="4">
        <v>12</v>
      </c>
      <c r="H323" s="4" t="s">
        <v>968</v>
      </c>
      <c r="I323" s="4">
        <v>41539.379999999997</v>
      </c>
      <c r="J323" s="4">
        <v>498472.55</v>
      </c>
      <c r="K323" s="4" t="s">
        <v>20</v>
      </c>
      <c r="L323" s="4" t="s">
        <v>136</v>
      </c>
      <c r="M323" s="4">
        <v>845</v>
      </c>
    </row>
    <row r="324" spans="1:13" x14ac:dyDescent="0.3">
      <c r="A324" s="5" t="s">
        <v>969</v>
      </c>
      <c r="B324" s="5" t="s">
        <v>970</v>
      </c>
      <c r="C324" s="5">
        <v>50</v>
      </c>
      <c r="D324" s="5" t="s">
        <v>37</v>
      </c>
      <c r="E324" s="5">
        <v>4690000</v>
      </c>
      <c r="F324" s="35">
        <v>0.105</v>
      </c>
      <c r="G324" s="5">
        <v>120</v>
      </c>
      <c r="H324" s="5" t="s">
        <v>971</v>
      </c>
      <c r="I324" s="5">
        <v>63284.51</v>
      </c>
      <c r="J324" s="5">
        <v>7594141.6200000001</v>
      </c>
      <c r="K324" s="5" t="s">
        <v>60</v>
      </c>
      <c r="L324" s="5" t="s">
        <v>86</v>
      </c>
      <c r="M324" s="5">
        <v>566</v>
      </c>
    </row>
    <row r="325" spans="1:13" x14ac:dyDescent="0.3">
      <c r="A325" s="4" t="s">
        <v>972</v>
      </c>
      <c r="B325" s="4" t="s">
        <v>973</v>
      </c>
      <c r="C325" s="4">
        <v>49</v>
      </c>
      <c r="D325" s="4" t="s">
        <v>42</v>
      </c>
      <c r="E325" s="4">
        <v>1210000</v>
      </c>
      <c r="F325" s="3">
        <v>0.115</v>
      </c>
      <c r="G325" s="4">
        <v>36</v>
      </c>
      <c r="H325" s="4" t="s">
        <v>348</v>
      </c>
      <c r="I325" s="4">
        <v>39900.97</v>
      </c>
      <c r="J325" s="4">
        <v>1436434.84</v>
      </c>
      <c r="K325" s="4" t="s">
        <v>60</v>
      </c>
      <c r="L325" s="4" t="s">
        <v>143</v>
      </c>
      <c r="M325" s="4">
        <v>678</v>
      </c>
    </row>
    <row r="326" spans="1:13" x14ac:dyDescent="0.3">
      <c r="A326" s="5" t="s">
        <v>974</v>
      </c>
      <c r="B326" s="5" t="s">
        <v>975</v>
      </c>
      <c r="C326" s="5">
        <v>26</v>
      </c>
      <c r="D326" s="5" t="s">
        <v>37</v>
      </c>
      <c r="E326" s="5">
        <v>3280000</v>
      </c>
      <c r="F326" s="35">
        <v>0.11</v>
      </c>
      <c r="G326" s="5">
        <v>12</v>
      </c>
      <c r="H326" s="5" t="s">
        <v>976</v>
      </c>
      <c r="I326" s="5">
        <v>289891.84000000003</v>
      </c>
      <c r="J326" s="5">
        <v>3478702.0800000001</v>
      </c>
      <c r="K326" s="5" t="s">
        <v>20</v>
      </c>
      <c r="L326" s="5" t="s">
        <v>86</v>
      </c>
      <c r="M326" s="5">
        <v>766</v>
      </c>
    </row>
    <row r="327" spans="1:13" x14ac:dyDescent="0.3">
      <c r="A327" s="4" t="s">
        <v>977</v>
      </c>
      <c r="B327" s="4" t="s">
        <v>978</v>
      </c>
      <c r="C327" s="4">
        <v>55</v>
      </c>
      <c r="D327" s="4" t="s">
        <v>15</v>
      </c>
      <c r="E327" s="4">
        <v>1390000</v>
      </c>
      <c r="F327" s="3">
        <v>7.4999999999999997E-2</v>
      </c>
      <c r="G327" s="4">
        <v>12</v>
      </c>
      <c r="H327" s="4" t="s">
        <v>979</v>
      </c>
      <c r="I327" s="4">
        <v>120592.81</v>
      </c>
      <c r="J327" s="4">
        <v>1447113.71</v>
      </c>
      <c r="K327" s="4" t="s">
        <v>16</v>
      </c>
      <c r="L327" s="4" t="s">
        <v>21</v>
      </c>
      <c r="M327" s="4">
        <v>610</v>
      </c>
    </row>
    <row r="328" spans="1:13" x14ac:dyDescent="0.3">
      <c r="A328" s="5" t="s">
        <v>980</v>
      </c>
      <c r="B328" s="5" t="s">
        <v>981</v>
      </c>
      <c r="C328" s="5">
        <v>61</v>
      </c>
      <c r="D328" s="5" t="s">
        <v>27</v>
      </c>
      <c r="E328" s="5">
        <v>1000000</v>
      </c>
      <c r="F328" s="35">
        <v>0.08</v>
      </c>
      <c r="G328" s="5">
        <v>48</v>
      </c>
      <c r="H328" s="5" t="s">
        <v>982</v>
      </c>
      <c r="I328" s="5">
        <v>24412.92</v>
      </c>
      <c r="J328" s="5">
        <v>1171820.27</v>
      </c>
      <c r="K328" s="5" t="s">
        <v>16</v>
      </c>
      <c r="L328" s="5" t="s">
        <v>226</v>
      </c>
      <c r="M328" s="5">
        <v>653</v>
      </c>
    </row>
    <row r="329" spans="1:13" x14ac:dyDescent="0.3">
      <c r="A329" s="4" t="s">
        <v>983</v>
      </c>
      <c r="B329" s="4" t="s">
        <v>984</v>
      </c>
      <c r="C329" s="4">
        <v>57</v>
      </c>
      <c r="D329" s="4" t="s">
        <v>18</v>
      </c>
      <c r="E329" s="4">
        <v>400000</v>
      </c>
      <c r="F329" s="3">
        <v>9.5000000000000001E-2</v>
      </c>
      <c r="G329" s="4">
        <v>60</v>
      </c>
      <c r="H329" s="4" t="s">
        <v>985</v>
      </c>
      <c r="I329" s="4">
        <v>8400.74</v>
      </c>
      <c r="J329" s="4">
        <v>504044.67</v>
      </c>
      <c r="K329" s="4" t="s">
        <v>16</v>
      </c>
      <c r="L329" s="4" t="s">
        <v>249</v>
      </c>
      <c r="M329" s="4">
        <v>591</v>
      </c>
    </row>
    <row r="330" spans="1:13" x14ac:dyDescent="0.3">
      <c r="A330" s="5" t="s">
        <v>986</v>
      </c>
      <c r="B330" s="5" t="s">
        <v>987</v>
      </c>
      <c r="C330" s="5">
        <v>44</v>
      </c>
      <c r="D330" s="5" t="s">
        <v>27</v>
      </c>
      <c r="E330" s="5">
        <v>650000</v>
      </c>
      <c r="F330" s="35">
        <v>0.105</v>
      </c>
      <c r="G330" s="5">
        <v>36</v>
      </c>
      <c r="H330" s="5" t="s">
        <v>988</v>
      </c>
      <c r="I330" s="5">
        <v>21126.59</v>
      </c>
      <c r="J330" s="5">
        <v>760557.18</v>
      </c>
      <c r="K330" s="5" t="s">
        <v>20</v>
      </c>
      <c r="L330" s="5" t="s">
        <v>201</v>
      </c>
      <c r="M330" s="5">
        <v>574</v>
      </c>
    </row>
    <row r="331" spans="1:13" x14ac:dyDescent="0.3">
      <c r="A331" s="4" t="s">
        <v>989</v>
      </c>
      <c r="B331" s="4" t="s">
        <v>990</v>
      </c>
      <c r="C331" s="4">
        <v>49</v>
      </c>
      <c r="D331" s="4" t="s">
        <v>32</v>
      </c>
      <c r="E331" s="4">
        <v>70000</v>
      </c>
      <c r="F331" s="3">
        <v>8.5000000000000006E-2</v>
      </c>
      <c r="G331" s="4">
        <v>60</v>
      </c>
      <c r="H331" s="4" t="s">
        <v>991</v>
      </c>
      <c r="I331" s="4">
        <v>1436.16</v>
      </c>
      <c r="J331" s="4">
        <v>86169.43</v>
      </c>
      <c r="K331" s="4" t="s">
        <v>16</v>
      </c>
      <c r="L331" s="4" t="s">
        <v>48</v>
      </c>
      <c r="M331" s="4">
        <v>588</v>
      </c>
    </row>
    <row r="332" spans="1:13" x14ac:dyDescent="0.3">
      <c r="A332" s="5" t="s">
        <v>992</v>
      </c>
      <c r="B332" s="5" t="s">
        <v>993</v>
      </c>
      <c r="C332" s="5">
        <v>51</v>
      </c>
      <c r="D332" s="5" t="s">
        <v>42</v>
      </c>
      <c r="E332" s="5">
        <v>780000</v>
      </c>
      <c r="F332" s="35">
        <v>0.105</v>
      </c>
      <c r="G332" s="5">
        <v>60</v>
      </c>
      <c r="H332" s="5" t="s">
        <v>924</v>
      </c>
      <c r="I332" s="5">
        <v>16765.240000000002</v>
      </c>
      <c r="J332" s="5">
        <v>1005914.54</v>
      </c>
      <c r="K332" s="5" t="s">
        <v>20</v>
      </c>
      <c r="L332" s="5" t="s">
        <v>155</v>
      </c>
      <c r="M332" s="5">
        <v>840</v>
      </c>
    </row>
    <row r="333" spans="1:13" x14ac:dyDescent="0.3">
      <c r="A333" s="4" t="s">
        <v>994</v>
      </c>
      <c r="B333" s="4" t="s">
        <v>995</v>
      </c>
      <c r="C333" s="4">
        <v>55</v>
      </c>
      <c r="D333" s="4" t="s">
        <v>23</v>
      </c>
      <c r="E333" s="4">
        <v>4550000</v>
      </c>
      <c r="F333" s="3">
        <v>0.09</v>
      </c>
      <c r="G333" s="4">
        <v>36</v>
      </c>
      <c r="H333" s="4" t="s">
        <v>996</v>
      </c>
      <c r="I333" s="4">
        <v>144688.78</v>
      </c>
      <c r="J333" s="4">
        <v>5208796.21</v>
      </c>
      <c r="K333" s="4" t="s">
        <v>16</v>
      </c>
      <c r="L333" s="4" t="s">
        <v>326</v>
      </c>
      <c r="M333" s="4">
        <v>680</v>
      </c>
    </row>
    <row r="334" spans="1:13" x14ac:dyDescent="0.3">
      <c r="A334" s="5" t="s">
        <v>997</v>
      </c>
      <c r="B334" s="5" t="s">
        <v>998</v>
      </c>
      <c r="C334" s="5">
        <v>53</v>
      </c>
      <c r="D334" s="5" t="s">
        <v>37</v>
      </c>
      <c r="E334" s="5">
        <v>4490000</v>
      </c>
      <c r="F334" s="35">
        <v>0.125</v>
      </c>
      <c r="G334" s="5">
        <v>12</v>
      </c>
      <c r="H334" s="5" t="s">
        <v>999</v>
      </c>
      <c r="I334" s="5">
        <v>399982.05</v>
      </c>
      <c r="J334" s="5">
        <v>4799784.6399999997</v>
      </c>
      <c r="K334" s="5" t="s">
        <v>20</v>
      </c>
      <c r="L334" s="5" t="s">
        <v>151</v>
      </c>
      <c r="M334" s="5">
        <v>778</v>
      </c>
    </row>
    <row r="335" spans="1:13" x14ac:dyDescent="0.3">
      <c r="A335" s="4" t="s">
        <v>1000</v>
      </c>
      <c r="B335" s="4" t="s">
        <v>1001</v>
      </c>
      <c r="C335" s="4">
        <v>41</v>
      </c>
      <c r="D335" s="4" t="s">
        <v>27</v>
      </c>
      <c r="E335" s="4">
        <v>380000</v>
      </c>
      <c r="F335" s="3">
        <v>0.115</v>
      </c>
      <c r="G335" s="4">
        <v>60</v>
      </c>
      <c r="H335" s="4" t="s">
        <v>1002</v>
      </c>
      <c r="I335" s="4">
        <v>8357.19</v>
      </c>
      <c r="J335" s="4">
        <v>501431.45</v>
      </c>
      <c r="K335" s="4" t="s">
        <v>16</v>
      </c>
      <c r="L335" s="4" t="s">
        <v>326</v>
      </c>
      <c r="M335" s="4">
        <v>657</v>
      </c>
    </row>
    <row r="336" spans="1:13" x14ac:dyDescent="0.3">
      <c r="A336" s="5" t="s">
        <v>1003</v>
      </c>
      <c r="B336" s="5" t="s">
        <v>1004</v>
      </c>
      <c r="C336" s="5">
        <v>52</v>
      </c>
      <c r="D336" s="5" t="s">
        <v>32</v>
      </c>
      <c r="E336" s="5">
        <v>70000</v>
      </c>
      <c r="F336" s="35">
        <v>0.09</v>
      </c>
      <c r="G336" s="5">
        <v>48</v>
      </c>
      <c r="H336" s="5" t="s">
        <v>1005</v>
      </c>
      <c r="I336" s="5">
        <v>1741.95</v>
      </c>
      <c r="J336" s="5">
        <v>83613.740000000005</v>
      </c>
      <c r="K336" s="5" t="s">
        <v>20</v>
      </c>
      <c r="L336" s="5" t="s">
        <v>326</v>
      </c>
      <c r="M336" s="5">
        <v>721</v>
      </c>
    </row>
    <row r="337" spans="1:13" x14ac:dyDescent="0.3">
      <c r="A337" s="4" t="s">
        <v>1006</v>
      </c>
      <c r="B337" s="4" t="s">
        <v>1007</v>
      </c>
      <c r="C337" s="4">
        <v>43</v>
      </c>
      <c r="D337" s="4" t="s">
        <v>42</v>
      </c>
      <c r="E337" s="4">
        <v>460000</v>
      </c>
      <c r="F337" s="3">
        <v>0.125</v>
      </c>
      <c r="G337" s="4">
        <v>240</v>
      </c>
      <c r="H337" s="4" t="s">
        <v>1008</v>
      </c>
      <c r="I337" s="4">
        <v>5226.25</v>
      </c>
      <c r="J337" s="4">
        <v>1254299.17</v>
      </c>
      <c r="K337" s="4" t="s">
        <v>60</v>
      </c>
      <c r="L337" s="4" t="s">
        <v>222</v>
      </c>
      <c r="M337" s="4">
        <v>651</v>
      </c>
    </row>
    <row r="338" spans="1:13" x14ac:dyDescent="0.3">
      <c r="A338" s="5" t="s">
        <v>1009</v>
      </c>
      <c r="B338" s="5" t="s">
        <v>290</v>
      </c>
      <c r="C338" s="5">
        <v>53</v>
      </c>
      <c r="D338" s="5" t="s">
        <v>23</v>
      </c>
      <c r="E338" s="5">
        <v>5700000</v>
      </c>
      <c r="F338" s="35">
        <v>0.115</v>
      </c>
      <c r="G338" s="5">
        <v>12</v>
      </c>
      <c r="H338" s="5" t="s">
        <v>1010</v>
      </c>
      <c r="I338" s="5">
        <v>505105.81</v>
      </c>
      <c r="J338" s="5">
        <v>6061269.6799999997</v>
      </c>
      <c r="K338" s="5" t="s">
        <v>16</v>
      </c>
      <c r="L338" s="5" t="s">
        <v>75</v>
      </c>
      <c r="M338" s="5">
        <v>561</v>
      </c>
    </row>
    <row r="339" spans="1:13" x14ac:dyDescent="0.3">
      <c r="A339" s="4" t="s">
        <v>1011</v>
      </c>
      <c r="B339" s="4" t="s">
        <v>1012</v>
      </c>
      <c r="C339" s="4">
        <v>23</v>
      </c>
      <c r="D339" s="4" t="s">
        <v>15</v>
      </c>
      <c r="E339" s="4">
        <v>1340000</v>
      </c>
      <c r="F339" s="3">
        <v>7.4999999999999997E-2</v>
      </c>
      <c r="G339" s="4">
        <v>84</v>
      </c>
      <c r="H339" s="4" t="s">
        <v>814</v>
      </c>
      <c r="I339" s="4">
        <v>20553.29</v>
      </c>
      <c r="J339" s="4">
        <v>1726476.33</v>
      </c>
      <c r="K339" s="4" t="s">
        <v>60</v>
      </c>
      <c r="L339" s="4" t="s">
        <v>159</v>
      </c>
      <c r="M339" s="4">
        <v>824</v>
      </c>
    </row>
    <row r="340" spans="1:13" x14ac:dyDescent="0.3">
      <c r="A340" s="5" t="s">
        <v>1013</v>
      </c>
      <c r="B340" s="5" t="s">
        <v>766</v>
      </c>
      <c r="C340" s="5">
        <v>38</v>
      </c>
      <c r="D340" s="5" t="s">
        <v>23</v>
      </c>
      <c r="E340" s="5">
        <v>1550000</v>
      </c>
      <c r="F340" s="35">
        <v>0.105</v>
      </c>
      <c r="G340" s="5">
        <v>180</v>
      </c>
      <c r="H340" s="5" t="s">
        <v>553</v>
      </c>
      <c r="I340" s="5">
        <v>17133.68</v>
      </c>
      <c r="J340" s="5">
        <v>3084063</v>
      </c>
      <c r="K340" s="5" t="s">
        <v>16</v>
      </c>
      <c r="L340" s="5" t="s">
        <v>366</v>
      </c>
      <c r="M340" s="5">
        <v>650</v>
      </c>
    </row>
    <row r="341" spans="1:13" x14ac:dyDescent="0.3">
      <c r="A341" s="4" t="s">
        <v>1014</v>
      </c>
      <c r="B341" s="4" t="s">
        <v>1015</v>
      </c>
      <c r="C341" s="4">
        <v>45</v>
      </c>
      <c r="D341" s="4" t="s">
        <v>18</v>
      </c>
      <c r="E341" s="4">
        <v>580000</v>
      </c>
      <c r="F341" s="3">
        <v>0.13</v>
      </c>
      <c r="G341" s="4">
        <v>24</v>
      </c>
      <c r="H341" s="4" t="s">
        <v>1016</v>
      </c>
      <c r="I341" s="4">
        <v>27574.26</v>
      </c>
      <c r="J341" s="4">
        <v>661782.17000000004</v>
      </c>
      <c r="K341" s="4" t="s">
        <v>312</v>
      </c>
      <c r="L341" s="4" t="s">
        <v>143</v>
      </c>
      <c r="M341" s="4">
        <v>593</v>
      </c>
    </row>
    <row r="342" spans="1:13" x14ac:dyDescent="0.3">
      <c r="A342" s="5" t="s">
        <v>1017</v>
      </c>
      <c r="B342" s="5" t="s">
        <v>1018</v>
      </c>
      <c r="C342" s="5">
        <v>62</v>
      </c>
      <c r="D342" s="5" t="s">
        <v>15</v>
      </c>
      <c r="E342" s="5">
        <v>1980000</v>
      </c>
      <c r="F342" s="35">
        <v>0.1</v>
      </c>
      <c r="G342" s="5">
        <v>240</v>
      </c>
      <c r="H342" s="5" t="s">
        <v>1019</v>
      </c>
      <c r="I342" s="5">
        <v>19107.43</v>
      </c>
      <c r="J342" s="5">
        <v>4585782.8600000003</v>
      </c>
      <c r="K342" s="5" t="s">
        <v>16</v>
      </c>
      <c r="L342" s="5" t="s">
        <v>191</v>
      </c>
      <c r="M342" s="5">
        <v>854</v>
      </c>
    </row>
    <row r="343" spans="1:13" x14ac:dyDescent="0.3">
      <c r="A343" s="4" t="s">
        <v>1020</v>
      </c>
      <c r="B343" s="4" t="s">
        <v>1021</v>
      </c>
      <c r="C343" s="4">
        <v>51</v>
      </c>
      <c r="D343" s="4" t="s">
        <v>42</v>
      </c>
      <c r="E343" s="4">
        <v>960000</v>
      </c>
      <c r="F343" s="3">
        <v>0.11</v>
      </c>
      <c r="G343" s="4">
        <v>48</v>
      </c>
      <c r="H343" s="4" t="s">
        <v>1022</v>
      </c>
      <c r="I343" s="4">
        <v>24811.7</v>
      </c>
      <c r="J343" s="4">
        <v>1190961.68</v>
      </c>
      <c r="K343" s="4" t="s">
        <v>16</v>
      </c>
      <c r="L343" s="4" t="s">
        <v>201</v>
      </c>
      <c r="M343" s="4">
        <v>566</v>
      </c>
    </row>
    <row r="344" spans="1:13" x14ac:dyDescent="0.3">
      <c r="A344" s="5" t="s">
        <v>1023</v>
      </c>
      <c r="B344" s="5" t="s">
        <v>1024</v>
      </c>
      <c r="C344" s="5">
        <v>23</v>
      </c>
      <c r="D344" s="5" t="s">
        <v>23</v>
      </c>
      <c r="E344" s="5">
        <v>1260000</v>
      </c>
      <c r="F344" s="35">
        <v>0.115</v>
      </c>
      <c r="G344" s="5">
        <v>240</v>
      </c>
      <c r="H344" s="5" t="s">
        <v>1025</v>
      </c>
      <c r="I344" s="5">
        <v>13437.01</v>
      </c>
      <c r="J344" s="5">
        <v>3224883.21</v>
      </c>
      <c r="K344" s="5" t="s">
        <v>16</v>
      </c>
      <c r="L344" s="5" t="s">
        <v>136</v>
      </c>
      <c r="M344" s="5">
        <v>879</v>
      </c>
    </row>
    <row r="345" spans="1:13" x14ac:dyDescent="0.3">
      <c r="A345" s="4" t="s">
        <v>1026</v>
      </c>
      <c r="B345" s="4" t="s">
        <v>36</v>
      </c>
      <c r="C345" s="4">
        <v>60</v>
      </c>
      <c r="D345" s="4" t="s">
        <v>32</v>
      </c>
      <c r="E345" s="4">
        <v>160000</v>
      </c>
      <c r="F345" s="3">
        <v>0.11</v>
      </c>
      <c r="G345" s="4">
        <v>120</v>
      </c>
      <c r="H345" s="4" t="s">
        <v>1027</v>
      </c>
      <c r="I345" s="4">
        <v>2204</v>
      </c>
      <c r="J345" s="4">
        <v>264480.02</v>
      </c>
      <c r="K345" s="4" t="s">
        <v>312</v>
      </c>
      <c r="L345" s="4" t="s">
        <v>119</v>
      </c>
      <c r="M345" s="4">
        <v>606</v>
      </c>
    </row>
    <row r="346" spans="1:13" x14ac:dyDescent="0.3">
      <c r="A346" s="5" t="s">
        <v>1028</v>
      </c>
      <c r="B346" s="5" t="s">
        <v>364</v>
      </c>
      <c r="C346" s="5">
        <v>44</v>
      </c>
      <c r="D346" s="5" t="s">
        <v>42</v>
      </c>
      <c r="E346" s="5">
        <v>600000</v>
      </c>
      <c r="F346" s="35">
        <v>0.1</v>
      </c>
      <c r="G346" s="5">
        <v>48</v>
      </c>
      <c r="H346" s="5" t="s">
        <v>1029</v>
      </c>
      <c r="I346" s="5">
        <v>15217.55</v>
      </c>
      <c r="J346" s="5">
        <v>730442.4</v>
      </c>
      <c r="K346" s="5" t="s">
        <v>16</v>
      </c>
      <c r="L346" s="5" t="s">
        <v>136</v>
      </c>
      <c r="M346" s="5">
        <v>860</v>
      </c>
    </row>
    <row r="347" spans="1:13" x14ac:dyDescent="0.3">
      <c r="A347" s="4" t="s">
        <v>1030</v>
      </c>
      <c r="B347" s="4" t="s">
        <v>1031</v>
      </c>
      <c r="C347" s="4">
        <v>52</v>
      </c>
      <c r="D347" s="4" t="s">
        <v>15</v>
      </c>
      <c r="E347" s="4">
        <v>1780000</v>
      </c>
      <c r="F347" s="3">
        <v>0.12</v>
      </c>
      <c r="G347" s="4">
        <v>240</v>
      </c>
      <c r="H347" s="4" t="s">
        <v>1032</v>
      </c>
      <c r="I347" s="4">
        <v>19599.330000000002</v>
      </c>
      <c r="J347" s="4">
        <v>4703839.96</v>
      </c>
      <c r="K347" s="4" t="s">
        <v>16</v>
      </c>
      <c r="L347" s="4" t="s">
        <v>143</v>
      </c>
      <c r="M347" s="4">
        <v>852</v>
      </c>
    </row>
    <row r="348" spans="1:13" x14ac:dyDescent="0.3">
      <c r="A348" s="5" t="s">
        <v>1033</v>
      </c>
      <c r="B348" s="5" t="s">
        <v>1034</v>
      </c>
      <c r="C348" s="5">
        <v>42</v>
      </c>
      <c r="D348" s="5" t="s">
        <v>18</v>
      </c>
      <c r="E348" s="5">
        <v>1920000</v>
      </c>
      <c r="F348" s="35">
        <v>0.115</v>
      </c>
      <c r="G348" s="5">
        <v>60</v>
      </c>
      <c r="H348" s="5" t="s">
        <v>1035</v>
      </c>
      <c r="I348" s="5">
        <v>42225.81</v>
      </c>
      <c r="J348" s="5">
        <v>2533548.37</v>
      </c>
      <c r="K348" s="5" t="s">
        <v>16</v>
      </c>
      <c r="L348" s="5" t="s">
        <v>25</v>
      </c>
      <c r="M348" s="5">
        <v>561</v>
      </c>
    </row>
    <row r="349" spans="1:13" x14ac:dyDescent="0.3">
      <c r="A349" s="4" t="s">
        <v>1036</v>
      </c>
      <c r="B349" s="4" t="s">
        <v>1037</v>
      </c>
      <c r="C349" s="4">
        <v>43</v>
      </c>
      <c r="D349" s="4" t="s">
        <v>32</v>
      </c>
      <c r="E349" s="4">
        <v>420000</v>
      </c>
      <c r="F349" s="3">
        <v>0.1</v>
      </c>
      <c r="G349" s="4">
        <v>12</v>
      </c>
      <c r="H349" s="4" t="s">
        <v>122</v>
      </c>
      <c r="I349" s="4">
        <v>36924.67</v>
      </c>
      <c r="J349" s="4">
        <v>443096.07</v>
      </c>
      <c r="K349" s="4" t="s">
        <v>16</v>
      </c>
      <c r="L349" s="4" t="s">
        <v>147</v>
      </c>
      <c r="M349" s="4">
        <v>867</v>
      </c>
    </row>
    <row r="350" spans="1:13" x14ac:dyDescent="0.3">
      <c r="A350" s="5" t="s">
        <v>1038</v>
      </c>
      <c r="B350" s="5" t="s">
        <v>1039</v>
      </c>
      <c r="C350" s="5">
        <v>22</v>
      </c>
      <c r="D350" s="5" t="s">
        <v>18</v>
      </c>
      <c r="E350" s="5">
        <v>1920000</v>
      </c>
      <c r="F350" s="35">
        <v>0.105</v>
      </c>
      <c r="G350" s="5">
        <v>120</v>
      </c>
      <c r="H350" s="5" t="s">
        <v>1040</v>
      </c>
      <c r="I350" s="5">
        <v>25907.52</v>
      </c>
      <c r="J350" s="5">
        <v>3108902.33</v>
      </c>
      <c r="K350" s="5" t="s">
        <v>20</v>
      </c>
      <c r="L350" s="5" t="s">
        <v>39</v>
      </c>
      <c r="M350" s="5">
        <v>629</v>
      </c>
    </row>
    <row r="351" spans="1:13" x14ac:dyDescent="0.3">
      <c r="A351" s="4" t="s">
        <v>1041</v>
      </c>
      <c r="B351" s="4" t="s">
        <v>1042</v>
      </c>
      <c r="C351" s="4">
        <v>47</v>
      </c>
      <c r="D351" s="4" t="s">
        <v>27</v>
      </c>
      <c r="E351" s="4">
        <v>520000</v>
      </c>
      <c r="F351" s="3">
        <v>9.5000000000000001E-2</v>
      </c>
      <c r="G351" s="4">
        <v>120</v>
      </c>
      <c r="H351" s="4" t="s">
        <v>1043</v>
      </c>
      <c r="I351" s="4">
        <v>6728.67</v>
      </c>
      <c r="J351" s="4">
        <v>807440.76</v>
      </c>
      <c r="K351" s="4" t="s">
        <v>16</v>
      </c>
      <c r="L351" s="4" t="s">
        <v>151</v>
      </c>
      <c r="M351" s="4">
        <v>765</v>
      </c>
    </row>
    <row r="352" spans="1:13" x14ac:dyDescent="0.3">
      <c r="A352" s="5" t="s">
        <v>1044</v>
      </c>
      <c r="B352" s="5" t="s">
        <v>1045</v>
      </c>
      <c r="C352" s="5">
        <v>62</v>
      </c>
      <c r="D352" s="5" t="s">
        <v>32</v>
      </c>
      <c r="E352" s="5">
        <v>90000</v>
      </c>
      <c r="F352" s="35">
        <v>8.5000000000000006E-2</v>
      </c>
      <c r="G352" s="5">
        <v>120</v>
      </c>
      <c r="H352" s="5" t="s">
        <v>322</v>
      </c>
      <c r="I352" s="5">
        <v>1115.8699999999999</v>
      </c>
      <c r="J352" s="5">
        <v>133904.54</v>
      </c>
      <c r="K352" s="5" t="s">
        <v>20</v>
      </c>
      <c r="L352" s="5" t="s">
        <v>104</v>
      </c>
      <c r="M352" s="5">
        <v>888</v>
      </c>
    </row>
    <row r="353" spans="1:13" x14ac:dyDescent="0.3">
      <c r="A353" s="4" t="s">
        <v>1046</v>
      </c>
      <c r="B353" s="4" t="s">
        <v>1047</v>
      </c>
      <c r="C353" s="4">
        <v>22</v>
      </c>
      <c r="D353" s="4" t="s">
        <v>27</v>
      </c>
      <c r="E353" s="4">
        <v>410000</v>
      </c>
      <c r="F353" s="3">
        <v>7.4999999999999997E-2</v>
      </c>
      <c r="G353" s="4">
        <v>84</v>
      </c>
      <c r="H353" s="4" t="s">
        <v>1048</v>
      </c>
      <c r="I353" s="4">
        <v>6288.69</v>
      </c>
      <c r="J353" s="4">
        <v>528250.22</v>
      </c>
      <c r="K353" s="4" t="s">
        <v>20</v>
      </c>
      <c r="L353" s="4" t="s">
        <v>226</v>
      </c>
      <c r="M353" s="4">
        <v>813</v>
      </c>
    </row>
    <row r="354" spans="1:13" x14ac:dyDescent="0.3">
      <c r="A354" s="5" t="s">
        <v>1049</v>
      </c>
      <c r="B354" s="5" t="s">
        <v>1050</v>
      </c>
      <c r="C354" s="5">
        <v>46</v>
      </c>
      <c r="D354" s="5" t="s">
        <v>32</v>
      </c>
      <c r="E354" s="5">
        <v>140000</v>
      </c>
      <c r="F354" s="35">
        <v>0.1</v>
      </c>
      <c r="G354" s="5">
        <v>240</v>
      </c>
      <c r="H354" s="5" t="s">
        <v>1051</v>
      </c>
      <c r="I354" s="5">
        <v>1351.03</v>
      </c>
      <c r="J354" s="5">
        <v>324247.27</v>
      </c>
      <c r="K354" s="5" t="s">
        <v>16</v>
      </c>
      <c r="L354" s="5" t="s">
        <v>326</v>
      </c>
      <c r="M354" s="5">
        <v>698</v>
      </c>
    </row>
    <row r="355" spans="1:13" x14ac:dyDescent="0.3">
      <c r="A355" s="4" t="s">
        <v>1052</v>
      </c>
      <c r="B355" s="4" t="s">
        <v>1053</v>
      </c>
      <c r="C355" s="4">
        <v>37</v>
      </c>
      <c r="D355" s="4" t="s">
        <v>15</v>
      </c>
      <c r="E355" s="4">
        <v>1380000</v>
      </c>
      <c r="F355" s="3">
        <v>0.12</v>
      </c>
      <c r="G355" s="4">
        <v>12</v>
      </c>
      <c r="H355" s="4" t="s">
        <v>1054</v>
      </c>
      <c r="I355" s="4">
        <v>122611.33</v>
      </c>
      <c r="J355" s="4">
        <v>1471335.94</v>
      </c>
      <c r="K355" s="4" t="s">
        <v>60</v>
      </c>
      <c r="L355" s="4" t="s">
        <v>21</v>
      </c>
      <c r="M355" s="4">
        <v>630</v>
      </c>
    </row>
    <row r="356" spans="1:13" x14ac:dyDescent="0.3">
      <c r="A356" s="5" t="s">
        <v>1055</v>
      </c>
      <c r="B356" s="5" t="s">
        <v>1056</v>
      </c>
      <c r="C356" s="5">
        <v>60</v>
      </c>
      <c r="D356" s="5" t="s">
        <v>37</v>
      </c>
      <c r="E356" s="5">
        <v>2520000</v>
      </c>
      <c r="F356" s="35">
        <v>0.09</v>
      </c>
      <c r="G356" s="5">
        <v>12</v>
      </c>
      <c r="H356" s="5" t="s">
        <v>1057</v>
      </c>
      <c r="I356" s="5">
        <v>220377.72</v>
      </c>
      <c r="J356" s="5">
        <v>2644532.66</v>
      </c>
      <c r="K356" s="5" t="s">
        <v>60</v>
      </c>
      <c r="L356" s="5" t="s">
        <v>82</v>
      </c>
      <c r="M356" s="5">
        <v>764</v>
      </c>
    </row>
    <row r="357" spans="1:13" x14ac:dyDescent="0.3">
      <c r="A357" s="4" t="s">
        <v>1058</v>
      </c>
      <c r="B357" s="4" t="s">
        <v>1059</v>
      </c>
      <c r="C357" s="4">
        <v>53</v>
      </c>
      <c r="D357" s="4" t="s">
        <v>37</v>
      </c>
      <c r="E357" s="4">
        <v>3760000</v>
      </c>
      <c r="F357" s="3">
        <v>7.4999999999999997E-2</v>
      </c>
      <c r="G357" s="4">
        <v>60</v>
      </c>
      <c r="H357" s="4" t="s">
        <v>1060</v>
      </c>
      <c r="I357" s="4">
        <v>75342.69</v>
      </c>
      <c r="J357" s="4">
        <v>4520561.2</v>
      </c>
      <c r="K357" s="4" t="s">
        <v>16</v>
      </c>
      <c r="L357" s="4" t="s">
        <v>212</v>
      </c>
      <c r="M357" s="4">
        <v>747</v>
      </c>
    </row>
    <row r="358" spans="1:13" x14ac:dyDescent="0.3">
      <c r="A358" s="5" t="s">
        <v>1061</v>
      </c>
      <c r="B358" s="5" t="s">
        <v>1062</v>
      </c>
      <c r="C358" s="5">
        <v>29</v>
      </c>
      <c r="D358" s="5" t="s">
        <v>27</v>
      </c>
      <c r="E358" s="5">
        <v>810000</v>
      </c>
      <c r="F358" s="35">
        <v>9.5000000000000001E-2</v>
      </c>
      <c r="G358" s="5">
        <v>48</v>
      </c>
      <c r="H358" s="5" t="s">
        <v>1063</v>
      </c>
      <c r="I358" s="5">
        <v>20349.740000000002</v>
      </c>
      <c r="J358" s="5">
        <v>976787.55</v>
      </c>
      <c r="K358" s="5" t="s">
        <v>20</v>
      </c>
      <c r="L358" s="5" t="s">
        <v>39</v>
      </c>
      <c r="M358" s="5">
        <v>749</v>
      </c>
    </row>
    <row r="359" spans="1:13" x14ac:dyDescent="0.3">
      <c r="A359" s="4" t="s">
        <v>1064</v>
      </c>
      <c r="B359" s="4" t="s">
        <v>1065</v>
      </c>
      <c r="C359" s="4">
        <v>63</v>
      </c>
      <c r="D359" s="4" t="s">
        <v>27</v>
      </c>
      <c r="E359" s="4">
        <v>670000</v>
      </c>
      <c r="F359" s="3">
        <v>7.4999999999999997E-2</v>
      </c>
      <c r="G359" s="4">
        <v>180</v>
      </c>
      <c r="H359" s="4" t="s">
        <v>788</v>
      </c>
      <c r="I359" s="4">
        <v>6210.98</v>
      </c>
      <c r="J359" s="4">
        <v>1117976.9099999999</v>
      </c>
      <c r="K359" s="4" t="s">
        <v>16</v>
      </c>
      <c r="L359" s="4" t="s">
        <v>34</v>
      </c>
      <c r="M359" s="4">
        <v>574</v>
      </c>
    </row>
    <row r="360" spans="1:13" x14ac:dyDescent="0.3">
      <c r="A360" s="5" t="s">
        <v>1066</v>
      </c>
      <c r="B360" s="5" t="s">
        <v>1067</v>
      </c>
      <c r="C360" s="5">
        <v>59</v>
      </c>
      <c r="D360" s="5" t="s">
        <v>18</v>
      </c>
      <c r="E360" s="5">
        <v>900000</v>
      </c>
      <c r="F360" s="35">
        <v>0.11</v>
      </c>
      <c r="G360" s="5">
        <v>48</v>
      </c>
      <c r="H360" s="5" t="s">
        <v>302</v>
      </c>
      <c r="I360" s="5">
        <v>23260.97</v>
      </c>
      <c r="J360" s="5">
        <v>1116526.58</v>
      </c>
      <c r="K360" s="5" t="s">
        <v>16</v>
      </c>
      <c r="L360" s="5" t="s">
        <v>64</v>
      </c>
      <c r="M360" s="5">
        <v>638</v>
      </c>
    </row>
    <row r="361" spans="1:13" x14ac:dyDescent="0.3">
      <c r="A361" s="4" t="s">
        <v>1068</v>
      </c>
      <c r="B361" s="4" t="s">
        <v>1069</v>
      </c>
      <c r="C361" s="4">
        <v>49</v>
      </c>
      <c r="D361" s="4" t="s">
        <v>23</v>
      </c>
      <c r="E361" s="4">
        <v>7440000</v>
      </c>
      <c r="F361" s="3">
        <v>0.115</v>
      </c>
      <c r="G361" s="4">
        <v>84</v>
      </c>
      <c r="H361" s="4" t="s">
        <v>1070</v>
      </c>
      <c r="I361" s="4">
        <v>129355.27</v>
      </c>
      <c r="J361" s="4">
        <v>10865842.550000001</v>
      </c>
      <c r="K361" s="4" t="s">
        <v>16</v>
      </c>
      <c r="L361" s="4" t="s">
        <v>82</v>
      </c>
      <c r="M361" s="4">
        <v>817</v>
      </c>
    </row>
    <row r="362" spans="1:13" x14ac:dyDescent="0.3">
      <c r="A362" s="5" t="s">
        <v>1071</v>
      </c>
      <c r="B362" s="5" t="s">
        <v>1072</v>
      </c>
      <c r="C362" s="5">
        <v>62</v>
      </c>
      <c r="D362" s="5" t="s">
        <v>32</v>
      </c>
      <c r="E362" s="5">
        <v>450000</v>
      </c>
      <c r="F362" s="35">
        <v>0.1</v>
      </c>
      <c r="G362" s="5">
        <v>240</v>
      </c>
      <c r="H362" s="5" t="s">
        <v>322</v>
      </c>
      <c r="I362" s="5">
        <v>4342.6000000000004</v>
      </c>
      <c r="J362" s="5">
        <v>1042223.38</v>
      </c>
      <c r="K362" s="5" t="s">
        <v>16</v>
      </c>
      <c r="L362" s="5" t="s">
        <v>187</v>
      </c>
      <c r="M362" s="5">
        <v>692</v>
      </c>
    </row>
    <row r="363" spans="1:13" x14ac:dyDescent="0.3">
      <c r="A363" s="4" t="s">
        <v>1073</v>
      </c>
      <c r="B363" s="4" t="s">
        <v>1074</v>
      </c>
      <c r="C363" s="4">
        <v>46</v>
      </c>
      <c r="D363" s="4" t="s">
        <v>32</v>
      </c>
      <c r="E363" s="4">
        <v>440000</v>
      </c>
      <c r="F363" s="3">
        <v>0.12</v>
      </c>
      <c r="G363" s="4">
        <v>48</v>
      </c>
      <c r="H363" s="4" t="s">
        <v>541</v>
      </c>
      <c r="I363" s="4">
        <v>11586.89</v>
      </c>
      <c r="J363" s="4">
        <v>556170.6</v>
      </c>
      <c r="K363" s="4" t="s">
        <v>20</v>
      </c>
      <c r="L363" s="4" t="s">
        <v>90</v>
      </c>
      <c r="M363" s="4">
        <v>608</v>
      </c>
    </row>
    <row r="364" spans="1:13" x14ac:dyDescent="0.3">
      <c r="A364" s="5" t="s">
        <v>1075</v>
      </c>
      <c r="B364" s="5" t="s">
        <v>1076</v>
      </c>
      <c r="C364" s="5">
        <v>55</v>
      </c>
      <c r="D364" s="5" t="s">
        <v>32</v>
      </c>
      <c r="E364" s="5">
        <v>120000</v>
      </c>
      <c r="F364" s="35">
        <v>0.09</v>
      </c>
      <c r="G364" s="5">
        <v>48</v>
      </c>
      <c r="H364" s="5" t="s">
        <v>1077</v>
      </c>
      <c r="I364" s="5">
        <v>2986.21</v>
      </c>
      <c r="J364" s="5">
        <v>143337.84</v>
      </c>
      <c r="K364" s="5" t="s">
        <v>20</v>
      </c>
      <c r="L364" s="5" t="s">
        <v>44</v>
      </c>
      <c r="M364" s="5">
        <v>575</v>
      </c>
    </row>
    <row r="365" spans="1:13" x14ac:dyDescent="0.3">
      <c r="A365" s="4" t="s">
        <v>1078</v>
      </c>
      <c r="B365" s="4" t="s">
        <v>1079</v>
      </c>
      <c r="C365" s="4">
        <v>45</v>
      </c>
      <c r="D365" s="4" t="s">
        <v>32</v>
      </c>
      <c r="E365" s="4">
        <v>460000</v>
      </c>
      <c r="F365" s="3">
        <v>8.5000000000000006E-2</v>
      </c>
      <c r="G365" s="4">
        <v>60</v>
      </c>
      <c r="H365" s="4" t="s">
        <v>1080</v>
      </c>
      <c r="I365" s="4">
        <v>9437.6</v>
      </c>
      <c r="J365" s="4">
        <v>566256.26</v>
      </c>
      <c r="K365" s="4" t="s">
        <v>16</v>
      </c>
      <c r="L365" s="4" t="s">
        <v>56</v>
      </c>
      <c r="M365" s="4">
        <v>596</v>
      </c>
    </row>
    <row r="366" spans="1:13" x14ac:dyDescent="0.3">
      <c r="A366" s="5" t="s">
        <v>1081</v>
      </c>
      <c r="B366" s="5" t="s">
        <v>1082</v>
      </c>
      <c r="C366" s="5">
        <v>44</v>
      </c>
      <c r="D366" s="5" t="s">
        <v>23</v>
      </c>
      <c r="E366" s="5">
        <v>2320000</v>
      </c>
      <c r="F366" s="35">
        <v>0.08</v>
      </c>
      <c r="G366" s="5">
        <v>180</v>
      </c>
      <c r="H366" s="5" t="s">
        <v>1083</v>
      </c>
      <c r="I366" s="5">
        <v>22171.13</v>
      </c>
      <c r="J366" s="5">
        <v>3990803.1</v>
      </c>
      <c r="K366" s="5" t="s">
        <v>16</v>
      </c>
      <c r="L366" s="5" t="s">
        <v>201</v>
      </c>
      <c r="M366" s="5">
        <v>837</v>
      </c>
    </row>
    <row r="367" spans="1:13" x14ac:dyDescent="0.3">
      <c r="A367" s="4" t="s">
        <v>1084</v>
      </c>
      <c r="B367" s="4" t="s">
        <v>1085</v>
      </c>
      <c r="C367" s="4">
        <v>33</v>
      </c>
      <c r="D367" s="4" t="s">
        <v>18</v>
      </c>
      <c r="E367" s="4">
        <v>1250000</v>
      </c>
      <c r="F367" s="3">
        <v>0.09</v>
      </c>
      <c r="G367" s="4">
        <v>36</v>
      </c>
      <c r="H367" s="4" t="s">
        <v>1086</v>
      </c>
      <c r="I367" s="4">
        <v>39749.67</v>
      </c>
      <c r="J367" s="4">
        <v>1430987.97</v>
      </c>
      <c r="K367" s="4" t="s">
        <v>16</v>
      </c>
      <c r="L367" s="4" t="s">
        <v>115</v>
      </c>
      <c r="M367" s="4">
        <v>815</v>
      </c>
    </row>
    <row r="368" spans="1:13" x14ac:dyDescent="0.3">
      <c r="A368" s="5" t="s">
        <v>1087</v>
      </c>
      <c r="B368" s="5" t="s">
        <v>1088</v>
      </c>
      <c r="C368" s="5">
        <v>27</v>
      </c>
      <c r="D368" s="5" t="s">
        <v>27</v>
      </c>
      <c r="E368" s="5">
        <v>880000</v>
      </c>
      <c r="F368" s="35">
        <v>0.125</v>
      </c>
      <c r="G368" s="5">
        <v>24</v>
      </c>
      <c r="H368" s="5" t="s">
        <v>1089</v>
      </c>
      <c r="I368" s="5">
        <v>41630.43</v>
      </c>
      <c r="J368" s="5">
        <v>999130.35</v>
      </c>
      <c r="K368" s="5" t="s">
        <v>60</v>
      </c>
      <c r="L368" s="5" t="s">
        <v>316</v>
      </c>
      <c r="M368" s="5">
        <v>565</v>
      </c>
    </row>
    <row r="369" spans="1:13" x14ac:dyDescent="0.3">
      <c r="A369" s="4" t="s">
        <v>1090</v>
      </c>
      <c r="B369" s="4" t="s">
        <v>468</v>
      </c>
      <c r="C369" s="4">
        <v>56</v>
      </c>
      <c r="D369" s="4" t="s">
        <v>37</v>
      </c>
      <c r="E369" s="4">
        <v>3400000</v>
      </c>
      <c r="F369" s="3">
        <v>0.09</v>
      </c>
      <c r="G369" s="4">
        <v>36</v>
      </c>
      <c r="H369" s="4" t="s">
        <v>1091</v>
      </c>
      <c r="I369" s="4">
        <v>108119.09</v>
      </c>
      <c r="J369" s="4">
        <v>3892287.28</v>
      </c>
      <c r="K369" s="4" t="s">
        <v>20</v>
      </c>
      <c r="L369" s="4" t="s">
        <v>159</v>
      </c>
      <c r="M369" s="4">
        <v>748</v>
      </c>
    </row>
    <row r="370" spans="1:13" x14ac:dyDescent="0.3">
      <c r="A370" s="5" t="s">
        <v>1092</v>
      </c>
      <c r="B370" s="5" t="s">
        <v>1093</v>
      </c>
      <c r="C370" s="5">
        <v>40</v>
      </c>
      <c r="D370" s="5" t="s">
        <v>23</v>
      </c>
      <c r="E370" s="5">
        <v>1900000</v>
      </c>
      <c r="F370" s="35">
        <v>9.5000000000000001E-2</v>
      </c>
      <c r="G370" s="5">
        <v>36</v>
      </c>
      <c r="H370" s="5" t="s">
        <v>1094</v>
      </c>
      <c r="I370" s="5">
        <v>60862.6</v>
      </c>
      <c r="J370" s="5">
        <v>2191053.7599999998</v>
      </c>
      <c r="K370" s="5" t="s">
        <v>16</v>
      </c>
      <c r="L370" s="5" t="s">
        <v>155</v>
      </c>
      <c r="M370" s="5">
        <v>831</v>
      </c>
    </row>
    <row r="371" spans="1:13" x14ac:dyDescent="0.3">
      <c r="A371" s="4" t="s">
        <v>1095</v>
      </c>
      <c r="B371" s="4" t="s">
        <v>1096</v>
      </c>
      <c r="C371" s="4">
        <v>21</v>
      </c>
      <c r="D371" s="4" t="s">
        <v>15</v>
      </c>
      <c r="E371" s="4">
        <v>400000</v>
      </c>
      <c r="F371" s="3">
        <v>0.115</v>
      </c>
      <c r="G371" s="4">
        <v>240</v>
      </c>
      <c r="H371" s="4" t="s">
        <v>1097</v>
      </c>
      <c r="I371" s="4">
        <v>4265.72</v>
      </c>
      <c r="J371" s="4">
        <v>1023772.45</v>
      </c>
      <c r="K371" s="4" t="s">
        <v>312</v>
      </c>
      <c r="L371" s="4" t="s">
        <v>115</v>
      </c>
      <c r="M371" s="4">
        <v>635</v>
      </c>
    </row>
    <row r="372" spans="1:13" x14ac:dyDescent="0.3">
      <c r="A372" s="5" t="s">
        <v>1098</v>
      </c>
      <c r="B372" s="5" t="s">
        <v>1099</v>
      </c>
      <c r="C372" s="5">
        <v>28</v>
      </c>
      <c r="D372" s="5" t="s">
        <v>23</v>
      </c>
      <c r="E372" s="5">
        <v>8330000</v>
      </c>
      <c r="F372" s="35">
        <v>0.13</v>
      </c>
      <c r="G372" s="5">
        <v>24</v>
      </c>
      <c r="H372" s="5" t="s">
        <v>1100</v>
      </c>
      <c r="I372" s="5">
        <v>396023.38</v>
      </c>
      <c r="J372" s="5">
        <v>9504561.1699999999</v>
      </c>
      <c r="K372" s="5" t="s">
        <v>20</v>
      </c>
      <c r="L372" s="5" t="s">
        <v>226</v>
      </c>
      <c r="M372" s="5">
        <v>799</v>
      </c>
    </row>
    <row r="373" spans="1:13" x14ac:dyDescent="0.3">
      <c r="A373" s="4" t="s">
        <v>1101</v>
      </c>
      <c r="B373" s="4" t="s">
        <v>1102</v>
      </c>
      <c r="C373" s="4">
        <v>36</v>
      </c>
      <c r="D373" s="4" t="s">
        <v>18</v>
      </c>
      <c r="E373" s="4">
        <v>690000</v>
      </c>
      <c r="F373" s="3">
        <v>7.4999999999999997E-2</v>
      </c>
      <c r="G373" s="4">
        <v>120</v>
      </c>
      <c r="H373" s="4" t="s">
        <v>1103</v>
      </c>
      <c r="I373" s="4">
        <v>8190.42</v>
      </c>
      <c r="J373" s="4">
        <v>982850.65</v>
      </c>
      <c r="K373" s="4" t="s">
        <v>16</v>
      </c>
      <c r="L373" s="4" t="s">
        <v>29</v>
      </c>
      <c r="M373" s="4">
        <v>819</v>
      </c>
    </row>
    <row r="374" spans="1:13" x14ac:dyDescent="0.3">
      <c r="A374" s="5" t="s">
        <v>1104</v>
      </c>
      <c r="B374" s="5" t="s">
        <v>1105</v>
      </c>
      <c r="C374" s="5">
        <v>34</v>
      </c>
      <c r="D374" s="5" t="s">
        <v>23</v>
      </c>
      <c r="E374" s="5">
        <v>2280000</v>
      </c>
      <c r="F374" s="35">
        <v>0.09</v>
      </c>
      <c r="G374" s="5">
        <v>12</v>
      </c>
      <c r="H374" s="5" t="s">
        <v>1106</v>
      </c>
      <c r="I374" s="5">
        <v>199389.37</v>
      </c>
      <c r="J374" s="5">
        <v>2392672.4</v>
      </c>
      <c r="K374" s="5" t="s">
        <v>16</v>
      </c>
      <c r="L374" s="5" t="s">
        <v>48</v>
      </c>
      <c r="M374" s="5">
        <v>884</v>
      </c>
    </row>
    <row r="375" spans="1:13" x14ac:dyDescent="0.3">
      <c r="A375" s="4" t="s">
        <v>1107</v>
      </c>
      <c r="B375" s="4" t="s">
        <v>1108</v>
      </c>
      <c r="C375" s="4">
        <v>32</v>
      </c>
      <c r="D375" s="4" t="s">
        <v>23</v>
      </c>
      <c r="E375" s="4">
        <v>6710000</v>
      </c>
      <c r="F375" s="3">
        <v>0.12</v>
      </c>
      <c r="G375" s="4">
        <v>120</v>
      </c>
      <c r="H375" s="4" t="s">
        <v>1109</v>
      </c>
      <c r="I375" s="4">
        <v>96269.01</v>
      </c>
      <c r="J375" s="4">
        <v>11552280.77</v>
      </c>
      <c r="K375" s="4" t="s">
        <v>16</v>
      </c>
      <c r="L375" s="4" t="s">
        <v>34</v>
      </c>
      <c r="M375" s="4">
        <v>666</v>
      </c>
    </row>
    <row r="376" spans="1:13" x14ac:dyDescent="0.3">
      <c r="A376" s="5" t="s">
        <v>1110</v>
      </c>
      <c r="B376" s="5" t="s">
        <v>1111</v>
      </c>
      <c r="C376" s="5">
        <v>43</v>
      </c>
      <c r="D376" s="5" t="s">
        <v>18</v>
      </c>
      <c r="E376" s="5">
        <v>1470000</v>
      </c>
      <c r="F376" s="35">
        <v>0.105</v>
      </c>
      <c r="G376" s="5">
        <v>60</v>
      </c>
      <c r="H376" s="5" t="s">
        <v>1112</v>
      </c>
      <c r="I376" s="5">
        <v>31596.03</v>
      </c>
      <c r="J376" s="5">
        <v>1895762.01</v>
      </c>
      <c r="K376" s="5" t="s">
        <v>20</v>
      </c>
      <c r="L376" s="5" t="s">
        <v>249</v>
      </c>
      <c r="M376" s="5">
        <v>556</v>
      </c>
    </row>
    <row r="377" spans="1:13" x14ac:dyDescent="0.3">
      <c r="A377" s="4" t="s">
        <v>1113</v>
      </c>
      <c r="B377" s="4" t="s">
        <v>720</v>
      </c>
      <c r="C377" s="4">
        <v>35</v>
      </c>
      <c r="D377" s="4" t="s">
        <v>42</v>
      </c>
      <c r="E377" s="4">
        <v>1130000</v>
      </c>
      <c r="F377" s="3">
        <v>0.1</v>
      </c>
      <c r="G377" s="4">
        <v>240</v>
      </c>
      <c r="H377" s="4" t="s">
        <v>1114</v>
      </c>
      <c r="I377" s="4">
        <v>10904.74</v>
      </c>
      <c r="J377" s="4">
        <v>2617138.7000000002</v>
      </c>
      <c r="K377" s="4" t="s">
        <v>16</v>
      </c>
      <c r="L377" s="4" t="s">
        <v>187</v>
      </c>
      <c r="M377" s="4">
        <v>686</v>
      </c>
    </row>
    <row r="378" spans="1:13" x14ac:dyDescent="0.3">
      <c r="A378" s="5" t="s">
        <v>1115</v>
      </c>
      <c r="B378" s="5" t="s">
        <v>1116</v>
      </c>
      <c r="C378" s="5">
        <v>48</v>
      </c>
      <c r="D378" s="5" t="s">
        <v>15</v>
      </c>
      <c r="E378" s="5">
        <v>1820000</v>
      </c>
      <c r="F378" s="35">
        <v>8.5000000000000006E-2</v>
      </c>
      <c r="G378" s="5">
        <v>60</v>
      </c>
      <c r="H378" s="5" t="s">
        <v>1117</v>
      </c>
      <c r="I378" s="5">
        <v>37340.089999999997</v>
      </c>
      <c r="J378" s="5">
        <v>2240405.2200000002</v>
      </c>
      <c r="K378" s="5" t="s">
        <v>16</v>
      </c>
      <c r="L378" s="5" t="s">
        <v>56</v>
      </c>
      <c r="M378" s="5">
        <v>725</v>
      </c>
    </row>
    <row r="379" spans="1:13" x14ac:dyDescent="0.3">
      <c r="A379" s="4" t="s">
        <v>1118</v>
      </c>
      <c r="B379" s="4" t="s">
        <v>1119</v>
      </c>
      <c r="C379" s="4">
        <v>54</v>
      </c>
      <c r="D379" s="4" t="s">
        <v>27</v>
      </c>
      <c r="E379" s="4">
        <v>440000</v>
      </c>
      <c r="F379" s="3">
        <v>8.5000000000000006E-2</v>
      </c>
      <c r="G379" s="4">
        <v>36</v>
      </c>
      <c r="H379" s="4" t="s">
        <v>1120</v>
      </c>
      <c r="I379" s="4">
        <v>13889.72</v>
      </c>
      <c r="J379" s="4">
        <v>500029.79</v>
      </c>
      <c r="K379" s="4" t="s">
        <v>312</v>
      </c>
      <c r="L379" s="4" t="s">
        <v>34</v>
      </c>
      <c r="M379" s="4">
        <v>877</v>
      </c>
    </row>
    <row r="380" spans="1:13" x14ac:dyDescent="0.3">
      <c r="A380" s="5" t="s">
        <v>1121</v>
      </c>
      <c r="B380" s="5" t="s">
        <v>1122</v>
      </c>
      <c r="C380" s="5">
        <v>22</v>
      </c>
      <c r="D380" s="5" t="s">
        <v>37</v>
      </c>
      <c r="E380" s="5">
        <v>750000</v>
      </c>
      <c r="F380" s="35">
        <v>0.09</v>
      </c>
      <c r="G380" s="5">
        <v>36</v>
      </c>
      <c r="H380" s="5" t="s">
        <v>1123</v>
      </c>
      <c r="I380" s="5">
        <v>23849.8</v>
      </c>
      <c r="J380" s="5">
        <v>858592.78</v>
      </c>
      <c r="K380" s="5" t="s">
        <v>16</v>
      </c>
      <c r="L380" s="5" t="s">
        <v>86</v>
      </c>
      <c r="M380" s="5">
        <v>864</v>
      </c>
    </row>
    <row r="381" spans="1:13" x14ac:dyDescent="0.3">
      <c r="A381" s="4" t="s">
        <v>1124</v>
      </c>
      <c r="B381" s="4" t="s">
        <v>1125</v>
      </c>
      <c r="C381" s="4">
        <v>52</v>
      </c>
      <c r="D381" s="4" t="s">
        <v>37</v>
      </c>
      <c r="E381" s="4">
        <v>2790000</v>
      </c>
      <c r="F381" s="3">
        <v>0.12</v>
      </c>
      <c r="G381" s="4">
        <v>60</v>
      </c>
      <c r="H381" s="4" t="s">
        <v>1126</v>
      </c>
      <c r="I381" s="4">
        <v>62062.01</v>
      </c>
      <c r="J381" s="4">
        <v>3723720.54</v>
      </c>
      <c r="K381" s="4" t="s">
        <v>20</v>
      </c>
      <c r="L381" s="4" t="s">
        <v>159</v>
      </c>
      <c r="M381" s="4">
        <v>764</v>
      </c>
    </row>
    <row r="382" spans="1:13" x14ac:dyDescent="0.3">
      <c r="A382" s="5" t="s">
        <v>1127</v>
      </c>
      <c r="B382" s="5" t="s">
        <v>1128</v>
      </c>
      <c r="C382" s="5">
        <v>43</v>
      </c>
      <c r="D382" s="5" t="s">
        <v>27</v>
      </c>
      <c r="E382" s="5">
        <v>920000</v>
      </c>
      <c r="F382" s="35">
        <v>0.1</v>
      </c>
      <c r="G382" s="5">
        <v>12</v>
      </c>
      <c r="H382" s="5" t="s">
        <v>1129</v>
      </c>
      <c r="I382" s="5">
        <v>80882.62</v>
      </c>
      <c r="J382" s="5">
        <v>970591.4</v>
      </c>
      <c r="K382" s="5" t="s">
        <v>16</v>
      </c>
      <c r="L382" s="5" t="s">
        <v>104</v>
      </c>
      <c r="M382" s="5">
        <v>631</v>
      </c>
    </row>
    <row r="383" spans="1:13" x14ac:dyDescent="0.3">
      <c r="A383" s="4" t="s">
        <v>1130</v>
      </c>
      <c r="B383" s="4" t="s">
        <v>522</v>
      </c>
      <c r="C383" s="4">
        <v>42</v>
      </c>
      <c r="D383" s="4" t="s">
        <v>42</v>
      </c>
      <c r="E383" s="4">
        <v>1240000</v>
      </c>
      <c r="F383" s="3">
        <v>0.13</v>
      </c>
      <c r="G383" s="4">
        <v>84</v>
      </c>
      <c r="H383" s="4" t="s">
        <v>1131</v>
      </c>
      <c r="I383" s="4">
        <v>22558.03</v>
      </c>
      <c r="J383" s="4">
        <v>1894874.9</v>
      </c>
      <c r="K383" s="4" t="s">
        <v>16</v>
      </c>
      <c r="L383" s="4" t="s">
        <v>155</v>
      </c>
      <c r="M383" s="4">
        <v>772</v>
      </c>
    </row>
    <row r="384" spans="1:13" x14ac:dyDescent="0.3">
      <c r="A384" s="5" t="s">
        <v>1132</v>
      </c>
      <c r="B384" s="5" t="s">
        <v>1133</v>
      </c>
      <c r="C384" s="5">
        <v>45</v>
      </c>
      <c r="D384" s="5" t="s">
        <v>18</v>
      </c>
      <c r="E384" s="5">
        <v>1230000</v>
      </c>
      <c r="F384" s="35">
        <v>0.13</v>
      </c>
      <c r="G384" s="5">
        <v>180</v>
      </c>
      <c r="H384" s="5" t="s">
        <v>1134</v>
      </c>
      <c r="I384" s="5">
        <v>15562.48</v>
      </c>
      <c r="J384" s="5">
        <v>2801246.16</v>
      </c>
      <c r="K384" s="5" t="s">
        <v>20</v>
      </c>
      <c r="L384" s="5" t="s">
        <v>143</v>
      </c>
      <c r="M384" s="5">
        <v>652</v>
      </c>
    </row>
    <row r="385" spans="1:13" x14ac:dyDescent="0.3">
      <c r="A385" s="4" t="s">
        <v>1135</v>
      </c>
      <c r="B385" s="4" t="s">
        <v>1136</v>
      </c>
      <c r="C385" s="4">
        <v>42</v>
      </c>
      <c r="D385" s="4" t="s">
        <v>37</v>
      </c>
      <c r="E385" s="4">
        <v>2410000</v>
      </c>
      <c r="F385" s="3">
        <v>0.1</v>
      </c>
      <c r="G385" s="4">
        <v>36</v>
      </c>
      <c r="H385" s="4" t="s">
        <v>1137</v>
      </c>
      <c r="I385" s="4">
        <v>77763.92</v>
      </c>
      <c r="J385" s="4">
        <v>2799501.16</v>
      </c>
      <c r="K385" s="4" t="s">
        <v>20</v>
      </c>
      <c r="L385" s="4" t="s">
        <v>212</v>
      </c>
      <c r="M385" s="4">
        <v>822</v>
      </c>
    </row>
    <row r="386" spans="1:13" x14ac:dyDescent="0.3">
      <c r="A386" s="5" t="s">
        <v>1138</v>
      </c>
      <c r="B386" s="5" t="s">
        <v>1139</v>
      </c>
      <c r="C386" s="5">
        <v>42</v>
      </c>
      <c r="D386" s="5" t="s">
        <v>23</v>
      </c>
      <c r="E386" s="5">
        <v>6970000</v>
      </c>
      <c r="F386" s="35">
        <v>0.12</v>
      </c>
      <c r="G386" s="5">
        <v>12</v>
      </c>
      <c r="H386" s="5" t="s">
        <v>1140</v>
      </c>
      <c r="I386" s="5">
        <v>619276.06000000006</v>
      </c>
      <c r="J386" s="5">
        <v>7431312.6900000004</v>
      </c>
      <c r="K386" s="5" t="s">
        <v>16</v>
      </c>
      <c r="L386" s="5" t="s">
        <v>21</v>
      </c>
      <c r="M386" s="5">
        <v>563</v>
      </c>
    </row>
    <row r="387" spans="1:13" x14ac:dyDescent="0.3">
      <c r="A387" s="4" t="s">
        <v>1141</v>
      </c>
      <c r="B387" s="4" t="s">
        <v>546</v>
      </c>
      <c r="C387" s="4">
        <v>62</v>
      </c>
      <c r="D387" s="4" t="s">
        <v>37</v>
      </c>
      <c r="E387" s="4">
        <v>3650000</v>
      </c>
      <c r="F387" s="3">
        <v>7.4999999999999997E-2</v>
      </c>
      <c r="G387" s="4">
        <v>36</v>
      </c>
      <c r="H387" s="4" t="s">
        <v>1142</v>
      </c>
      <c r="I387" s="4">
        <v>113537.7</v>
      </c>
      <c r="J387" s="4">
        <v>4087357.07</v>
      </c>
      <c r="K387" s="4" t="s">
        <v>16</v>
      </c>
      <c r="L387" s="4" t="s">
        <v>205</v>
      </c>
      <c r="M387" s="4">
        <v>708</v>
      </c>
    </row>
    <row r="388" spans="1:13" x14ac:dyDescent="0.3">
      <c r="A388" s="5" t="s">
        <v>1143</v>
      </c>
      <c r="B388" s="5" t="s">
        <v>1144</v>
      </c>
      <c r="C388" s="5">
        <v>26</v>
      </c>
      <c r="D388" s="5" t="s">
        <v>15</v>
      </c>
      <c r="E388" s="5">
        <v>1110000</v>
      </c>
      <c r="F388" s="35">
        <v>0.13</v>
      </c>
      <c r="G388" s="5">
        <v>84</v>
      </c>
      <c r="H388" s="5" t="s">
        <v>1145</v>
      </c>
      <c r="I388" s="5">
        <v>20193.080000000002</v>
      </c>
      <c r="J388" s="5">
        <v>1696218.66</v>
      </c>
      <c r="K388" s="5" t="s">
        <v>20</v>
      </c>
      <c r="L388" s="5" t="s">
        <v>366</v>
      </c>
      <c r="M388" s="5">
        <v>701</v>
      </c>
    </row>
    <row r="389" spans="1:13" x14ac:dyDescent="0.3">
      <c r="A389" s="4" t="s">
        <v>1146</v>
      </c>
      <c r="B389" s="4" t="s">
        <v>359</v>
      </c>
      <c r="C389" s="4">
        <v>35</v>
      </c>
      <c r="D389" s="4" t="s">
        <v>15</v>
      </c>
      <c r="E389" s="4">
        <v>590000</v>
      </c>
      <c r="F389" s="3">
        <v>0.13</v>
      </c>
      <c r="G389" s="4">
        <v>12</v>
      </c>
      <c r="H389" s="4" t="s">
        <v>1147</v>
      </c>
      <c r="I389" s="4">
        <v>52697.19</v>
      </c>
      <c r="J389" s="4">
        <v>632366.31000000006</v>
      </c>
      <c r="K389" s="4" t="s">
        <v>20</v>
      </c>
      <c r="L389" s="4" t="s">
        <v>201</v>
      </c>
      <c r="M389" s="4">
        <v>657</v>
      </c>
    </row>
    <row r="390" spans="1:13" x14ac:dyDescent="0.3">
      <c r="A390" s="5" t="s">
        <v>1148</v>
      </c>
      <c r="B390" s="5" t="s">
        <v>1149</v>
      </c>
      <c r="C390" s="5">
        <v>63</v>
      </c>
      <c r="D390" s="5" t="s">
        <v>27</v>
      </c>
      <c r="E390" s="5">
        <v>810000</v>
      </c>
      <c r="F390" s="35">
        <v>0.1</v>
      </c>
      <c r="G390" s="5">
        <v>60</v>
      </c>
      <c r="H390" s="5" t="s">
        <v>1150</v>
      </c>
      <c r="I390" s="5">
        <v>17210.11</v>
      </c>
      <c r="J390" s="5">
        <v>1032606.37</v>
      </c>
      <c r="K390" s="5" t="s">
        <v>16</v>
      </c>
      <c r="L390" s="5" t="s">
        <v>86</v>
      </c>
      <c r="M390" s="5">
        <v>737</v>
      </c>
    </row>
    <row r="391" spans="1:13" x14ac:dyDescent="0.3">
      <c r="A391" s="4" t="s">
        <v>1151</v>
      </c>
      <c r="B391" s="4" t="s">
        <v>1152</v>
      </c>
      <c r="C391" s="4">
        <v>57</v>
      </c>
      <c r="D391" s="4" t="s">
        <v>42</v>
      </c>
      <c r="E391" s="4">
        <v>1100000</v>
      </c>
      <c r="F391" s="3">
        <v>0.12</v>
      </c>
      <c r="G391" s="4">
        <v>180</v>
      </c>
      <c r="H391" s="4" t="s">
        <v>1153</v>
      </c>
      <c r="I391" s="4">
        <v>13201.85</v>
      </c>
      <c r="J391" s="4">
        <v>2376332.7599999998</v>
      </c>
      <c r="K391" s="4" t="s">
        <v>16</v>
      </c>
      <c r="L391" s="4" t="s">
        <v>39</v>
      </c>
      <c r="M391" s="4">
        <v>850</v>
      </c>
    </row>
    <row r="392" spans="1:13" x14ac:dyDescent="0.3">
      <c r="A392" s="5" t="s">
        <v>1154</v>
      </c>
      <c r="B392" s="5" t="s">
        <v>776</v>
      </c>
      <c r="C392" s="5">
        <v>53</v>
      </c>
      <c r="D392" s="5" t="s">
        <v>32</v>
      </c>
      <c r="E392" s="5">
        <v>90000</v>
      </c>
      <c r="F392" s="35">
        <v>0.12</v>
      </c>
      <c r="G392" s="5">
        <v>240</v>
      </c>
      <c r="H392" s="5" t="s">
        <v>1155</v>
      </c>
      <c r="I392" s="5">
        <v>990.98</v>
      </c>
      <c r="J392" s="5">
        <v>237834.6</v>
      </c>
      <c r="K392" s="5" t="s">
        <v>16</v>
      </c>
      <c r="L392" s="5" t="s">
        <v>119</v>
      </c>
      <c r="M392" s="5">
        <v>647</v>
      </c>
    </row>
    <row r="393" spans="1:13" x14ac:dyDescent="0.3">
      <c r="A393" s="4" t="s">
        <v>1156</v>
      </c>
      <c r="B393" s="4" t="s">
        <v>1157</v>
      </c>
      <c r="C393" s="4">
        <v>28</v>
      </c>
      <c r="D393" s="4" t="s">
        <v>32</v>
      </c>
      <c r="E393" s="4">
        <v>450000</v>
      </c>
      <c r="F393" s="3">
        <v>8.5000000000000006E-2</v>
      </c>
      <c r="G393" s="4">
        <v>84</v>
      </c>
      <c r="H393" s="4" t="s">
        <v>1158</v>
      </c>
      <c r="I393" s="4">
        <v>7126.42</v>
      </c>
      <c r="J393" s="4">
        <v>598619.15</v>
      </c>
      <c r="K393" s="4" t="s">
        <v>20</v>
      </c>
      <c r="L393" s="4" t="s">
        <v>159</v>
      </c>
      <c r="M393" s="4">
        <v>680</v>
      </c>
    </row>
    <row r="394" spans="1:13" x14ac:dyDescent="0.3">
      <c r="A394" s="5" t="s">
        <v>1159</v>
      </c>
      <c r="B394" s="5" t="s">
        <v>1160</v>
      </c>
      <c r="C394" s="5">
        <v>64</v>
      </c>
      <c r="D394" s="5" t="s">
        <v>42</v>
      </c>
      <c r="E394" s="5">
        <v>920000</v>
      </c>
      <c r="F394" s="35">
        <v>0.12</v>
      </c>
      <c r="G394" s="5">
        <v>24</v>
      </c>
      <c r="H394" s="5" t="s">
        <v>1161</v>
      </c>
      <c r="I394" s="5">
        <v>43307.59</v>
      </c>
      <c r="J394" s="5">
        <v>1039382.27</v>
      </c>
      <c r="K394" s="5" t="s">
        <v>20</v>
      </c>
      <c r="L394" s="5" t="s">
        <v>48</v>
      </c>
      <c r="M394" s="5">
        <v>842</v>
      </c>
    </row>
    <row r="395" spans="1:13" x14ac:dyDescent="0.3">
      <c r="A395" s="4" t="s">
        <v>1162</v>
      </c>
      <c r="B395" s="4" t="s">
        <v>1163</v>
      </c>
      <c r="C395" s="4">
        <v>64</v>
      </c>
      <c r="D395" s="4" t="s">
        <v>37</v>
      </c>
      <c r="E395" s="4">
        <v>2570000</v>
      </c>
      <c r="F395" s="3">
        <v>0.09</v>
      </c>
      <c r="G395" s="4">
        <v>84</v>
      </c>
      <c r="H395" s="4" t="s">
        <v>1164</v>
      </c>
      <c r="I395" s="4">
        <v>41348.93</v>
      </c>
      <c r="J395" s="4">
        <v>3473310.21</v>
      </c>
      <c r="K395" s="4" t="s">
        <v>20</v>
      </c>
      <c r="L395" s="4" t="s">
        <v>132</v>
      </c>
      <c r="M395" s="4">
        <v>720</v>
      </c>
    </row>
    <row r="396" spans="1:13" x14ac:dyDescent="0.3">
      <c r="A396" s="5" t="s">
        <v>1165</v>
      </c>
      <c r="B396" s="5" t="s">
        <v>1166</v>
      </c>
      <c r="C396" s="5">
        <v>25</v>
      </c>
      <c r="D396" s="5" t="s">
        <v>42</v>
      </c>
      <c r="E396" s="5">
        <v>450000</v>
      </c>
      <c r="F396" s="35">
        <v>0.11</v>
      </c>
      <c r="G396" s="5">
        <v>240</v>
      </c>
      <c r="H396" s="5" t="s">
        <v>1010</v>
      </c>
      <c r="I396" s="5">
        <v>4644.8500000000004</v>
      </c>
      <c r="J396" s="5">
        <v>1114763.46</v>
      </c>
      <c r="K396" s="5" t="s">
        <v>16</v>
      </c>
      <c r="L396" s="5" t="s">
        <v>52</v>
      </c>
      <c r="M396" s="5">
        <v>732</v>
      </c>
    </row>
    <row r="397" spans="1:13" x14ac:dyDescent="0.3">
      <c r="A397" s="4" t="s">
        <v>1167</v>
      </c>
      <c r="B397" s="4" t="s">
        <v>1125</v>
      </c>
      <c r="C397" s="4">
        <v>59</v>
      </c>
      <c r="D397" s="4" t="s">
        <v>18</v>
      </c>
      <c r="E397" s="4">
        <v>370000</v>
      </c>
      <c r="F397" s="3">
        <v>0.115</v>
      </c>
      <c r="G397" s="4">
        <v>48</v>
      </c>
      <c r="H397" s="4" t="s">
        <v>1168</v>
      </c>
      <c r="I397" s="4">
        <v>9652.93</v>
      </c>
      <c r="J397" s="4">
        <v>463340.79999999999</v>
      </c>
      <c r="K397" s="4" t="s">
        <v>20</v>
      </c>
      <c r="L397" s="4" t="s">
        <v>94</v>
      </c>
      <c r="M397" s="4">
        <v>588</v>
      </c>
    </row>
    <row r="398" spans="1:13" x14ac:dyDescent="0.3">
      <c r="A398" s="5" t="s">
        <v>1169</v>
      </c>
      <c r="B398" s="5" t="s">
        <v>1004</v>
      </c>
      <c r="C398" s="5">
        <v>24</v>
      </c>
      <c r="D398" s="5" t="s">
        <v>42</v>
      </c>
      <c r="E398" s="5">
        <v>860000</v>
      </c>
      <c r="F398" s="35">
        <v>9.5000000000000001E-2</v>
      </c>
      <c r="G398" s="5">
        <v>36</v>
      </c>
      <c r="H398" s="5" t="s">
        <v>1170</v>
      </c>
      <c r="I398" s="5">
        <v>27548.34</v>
      </c>
      <c r="J398" s="5">
        <v>991740.12</v>
      </c>
      <c r="K398" s="5" t="s">
        <v>16</v>
      </c>
      <c r="L398" s="5" t="s">
        <v>212</v>
      </c>
      <c r="M398" s="5">
        <v>564</v>
      </c>
    </row>
    <row r="399" spans="1:13" x14ac:dyDescent="0.3">
      <c r="A399" s="4" t="s">
        <v>1171</v>
      </c>
      <c r="B399" s="4" t="s">
        <v>164</v>
      </c>
      <c r="C399" s="4">
        <v>26</v>
      </c>
      <c r="D399" s="4" t="s">
        <v>18</v>
      </c>
      <c r="E399" s="4">
        <v>520000</v>
      </c>
      <c r="F399" s="3">
        <v>8.5000000000000006E-2</v>
      </c>
      <c r="G399" s="4">
        <v>240</v>
      </c>
      <c r="H399" s="4" t="s">
        <v>1172</v>
      </c>
      <c r="I399" s="4">
        <v>4512.68</v>
      </c>
      <c r="J399" s="4">
        <v>1083043.3999999999</v>
      </c>
      <c r="K399" s="4" t="s">
        <v>20</v>
      </c>
      <c r="L399" s="4" t="s">
        <v>201</v>
      </c>
      <c r="M399" s="4">
        <v>553</v>
      </c>
    </row>
    <row r="400" spans="1:13" x14ac:dyDescent="0.3">
      <c r="A400" s="5" t="s">
        <v>1173</v>
      </c>
      <c r="B400" s="5" t="s">
        <v>1174</v>
      </c>
      <c r="C400" s="5">
        <v>52</v>
      </c>
      <c r="D400" s="5" t="s">
        <v>37</v>
      </c>
      <c r="E400" s="5">
        <v>3690000</v>
      </c>
      <c r="F400" s="35">
        <v>0.11</v>
      </c>
      <c r="G400" s="5">
        <v>24</v>
      </c>
      <c r="H400" s="5" t="s">
        <v>1175</v>
      </c>
      <c r="I400" s="5">
        <v>171982.92</v>
      </c>
      <c r="J400" s="5">
        <v>4127590.15</v>
      </c>
      <c r="K400" s="5" t="s">
        <v>16</v>
      </c>
      <c r="L400" s="5" t="s">
        <v>39</v>
      </c>
      <c r="M400" s="5">
        <v>898</v>
      </c>
    </row>
    <row r="401" spans="1:13" x14ac:dyDescent="0.3">
      <c r="A401" s="4" t="s">
        <v>1176</v>
      </c>
      <c r="B401" s="4" t="s">
        <v>1177</v>
      </c>
      <c r="C401" s="4">
        <v>50</v>
      </c>
      <c r="D401" s="4" t="s">
        <v>15</v>
      </c>
      <c r="E401" s="4">
        <v>1690000</v>
      </c>
      <c r="F401" s="3">
        <v>7.4999999999999997E-2</v>
      </c>
      <c r="G401" s="4">
        <v>240</v>
      </c>
      <c r="H401" s="4" t="s">
        <v>1178</v>
      </c>
      <c r="I401" s="4">
        <v>13614.52</v>
      </c>
      <c r="J401" s="4">
        <v>3267485.99</v>
      </c>
      <c r="K401" s="4" t="s">
        <v>312</v>
      </c>
      <c r="L401" s="4" t="s">
        <v>115</v>
      </c>
      <c r="M401" s="4">
        <v>759</v>
      </c>
    </row>
    <row r="402" spans="1:13" x14ac:dyDescent="0.3">
      <c r="A402" s="5" t="s">
        <v>1179</v>
      </c>
      <c r="B402" s="5" t="s">
        <v>1180</v>
      </c>
      <c r="C402" s="5">
        <v>55</v>
      </c>
      <c r="D402" s="5" t="s">
        <v>23</v>
      </c>
      <c r="E402" s="5">
        <v>3590000</v>
      </c>
      <c r="F402" s="35">
        <v>0.08</v>
      </c>
      <c r="G402" s="5">
        <v>36</v>
      </c>
      <c r="H402" s="5" t="s">
        <v>1181</v>
      </c>
      <c r="I402" s="5">
        <v>112497.55</v>
      </c>
      <c r="J402" s="5">
        <v>4049911.87</v>
      </c>
      <c r="K402" s="5" t="s">
        <v>20</v>
      </c>
      <c r="L402" s="5" t="s">
        <v>75</v>
      </c>
      <c r="M402" s="5">
        <v>710</v>
      </c>
    </row>
    <row r="403" spans="1:13" x14ac:dyDescent="0.3">
      <c r="A403" s="4" t="s">
        <v>1182</v>
      </c>
      <c r="B403" s="4" t="s">
        <v>1183</v>
      </c>
      <c r="C403" s="4">
        <v>60</v>
      </c>
      <c r="D403" s="4" t="s">
        <v>27</v>
      </c>
      <c r="E403" s="4">
        <v>880000</v>
      </c>
      <c r="F403" s="3">
        <v>7.4999999999999997E-2</v>
      </c>
      <c r="G403" s="4">
        <v>120</v>
      </c>
      <c r="H403" s="4" t="s">
        <v>1184</v>
      </c>
      <c r="I403" s="4">
        <v>10445.76</v>
      </c>
      <c r="J403" s="4">
        <v>1253490.68</v>
      </c>
      <c r="K403" s="4" t="s">
        <v>20</v>
      </c>
      <c r="L403" s="4" t="s">
        <v>90</v>
      </c>
      <c r="M403" s="4">
        <v>565</v>
      </c>
    </row>
    <row r="404" spans="1:13" x14ac:dyDescent="0.3">
      <c r="A404" s="5" t="s">
        <v>1185</v>
      </c>
      <c r="B404" s="5" t="s">
        <v>1186</v>
      </c>
      <c r="C404" s="5">
        <v>36</v>
      </c>
      <c r="D404" s="5" t="s">
        <v>32</v>
      </c>
      <c r="E404" s="5">
        <v>250000</v>
      </c>
      <c r="F404" s="35">
        <v>0.09</v>
      </c>
      <c r="G404" s="5">
        <v>240</v>
      </c>
      <c r="H404" s="5" t="s">
        <v>1187</v>
      </c>
      <c r="I404" s="5">
        <v>2249.31</v>
      </c>
      <c r="J404" s="5">
        <v>539835.56999999995</v>
      </c>
      <c r="K404" s="5" t="s">
        <v>16</v>
      </c>
      <c r="L404" s="5" t="s">
        <v>316</v>
      </c>
      <c r="M404" s="5">
        <v>657</v>
      </c>
    </row>
    <row r="405" spans="1:13" x14ac:dyDescent="0.3">
      <c r="A405" s="4" t="s">
        <v>1188</v>
      </c>
      <c r="B405" s="4" t="s">
        <v>1189</v>
      </c>
      <c r="C405" s="4">
        <v>33</v>
      </c>
      <c r="D405" s="4" t="s">
        <v>15</v>
      </c>
      <c r="E405" s="4">
        <v>860000</v>
      </c>
      <c r="F405" s="3">
        <v>0.12</v>
      </c>
      <c r="G405" s="4">
        <v>240</v>
      </c>
      <c r="H405" s="4" t="s">
        <v>1190</v>
      </c>
      <c r="I405" s="4">
        <v>9469.34</v>
      </c>
      <c r="J405" s="4">
        <v>2272641.7799999998</v>
      </c>
      <c r="K405" s="4" t="s">
        <v>16</v>
      </c>
      <c r="L405" s="4" t="s">
        <v>159</v>
      </c>
      <c r="M405" s="4">
        <v>860</v>
      </c>
    </row>
    <row r="406" spans="1:13" x14ac:dyDescent="0.3">
      <c r="A406" s="5" t="s">
        <v>1191</v>
      </c>
      <c r="B406" s="5" t="s">
        <v>1192</v>
      </c>
      <c r="C406" s="5">
        <v>62</v>
      </c>
      <c r="D406" s="5" t="s">
        <v>42</v>
      </c>
      <c r="E406" s="5">
        <v>1060000</v>
      </c>
      <c r="F406" s="35">
        <v>0.09</v>
      </c>
      <c r="G406" s="5">
        <v>120</v>
      </c>
      <c r="H406" s="5" t="s">
        <v>1193</v>
      </c>
      <c r="I406" s="5">
        <v>13427.63</v>
      </c>
      <c r="J406" s="5">
        <v>1611315.84</v>
      </c>
      <c r="K406" s="5" t="s">
        <v>20</v>
      </c>
      <c r="L406" s="5" t="s">
        <v>29</v>
      </c>
      <c r="M406" s="5">
        <v>776</v>
      </c>
    </row>
    <row r="407" spans="1:13" x14ac:dyDescent="0.3">
      <c r="A407" s="4" t="s">
        <v>1194</v>
      </c>
      <c r="B407" s="4" t="s">
        <v>1195</v>
      </c>
      <c r="C407" s="4">
        <v>50</v>
      </c>
      <c r="D407" s="4" t="s">
        <v>42</v>
      </c>
      <c r="E407" s="4">
        <v>520000</v>
      </c>
      <c r="F407" s="3">
        <v>7.4999999999999997E-2</v>
      </c>
      <c r="G407" s="4">
        <v>24</v>
      </c>
      <c r="H407" s="4" t="s">
        <v>1196</v>
      </c>
      <c r="I407" s="4">
        <v>23399.79</v>
      </c>
      <c r="J407" s="4">
        <v>561594.92000000004</v>
      </c>
      <c r="K407" s="4" t="s">
        <v>16</v>
      </c>
      <c r="L407" s="4" t="s">
        <v>34</v>
      </c>
      <c r="M407" s="4">
        <v>719</v>
      </c>
    </row>
    <row r="408" spans="1:13" x14ac:dyDescent="0.3">
      <c r="A408" s="5" t="s">
        <v>1197</v>
      </c>
      <c r="B408" s="5" t="s">
        <v>1053</v>
      </c>
      <c r="C408" s="5">
        <v>39</v>
      </c>
      <c r="D408" s="5" t="s">
        <v>32</v>
      </c>
      <c r="E408" s="5">
        <v>100000</v>
      </c>
      <c r="F408" s="35">
        <v>0.115</v>
      </c>
      <c r="G408" s="5">
        <v>84</v>
      </c>
      <c r="H408" s="5" t="s">
        <v>1198</v>
      </c>
      <c r="I408" s="5">
        <v>1738.65</v>
      </c>
      <c r="J408" s="5">
        <v>146046.26999999999</v>
      </c>
      <c r="K408" s="5" t="s">
        <v>20</v>
      </c>
      <c r="L408" s="5" t="s">
        <v>48</v>
      </c>
      <c r="M408" s="5">
        <v>583</v>
      </c>
    </row>
    <row r="409" spans="1:13" x14ac:dyDescent="0.3">
      <c r="A409" s="4" t="s">
        <v>1199</v>
      </c>
      <c r="B409" s="4" t="s">
        <v>1200</v>
      </c>
      <c r="C409" s="4">
        <v>37</v>
      </c>
      <c r="D409" s="4" t="s">
        <v>37</v>
      </c>
      <c r="E409" s="4">
        <v>540000</v>
      </c>
      <c r="F409" s="3">
        <v>0.11</v>
      </c>
      <c r="G409" s="4">
        <v>48</v>
      </c>
      <c r="H409" s="4" t="s">
        <v>1201</v>
      </c>
      <c r="I409" s="4">
        <v>13956.58</v>
      </c>
      <c r="J409" s="4">
        <v>669915.94999999995</v>
      </c>
      <c r="K409" s="4" t="s">
        <v>312</v>
      </c>
      <c r="L409" s="4" t="s">
        <v>132</v>
      </c>
      <c r="M409" s="4">
        <v>800</v>
      </c>
    </row>
    <row r="410" spans="1:13" x14ac:dyDescent="0.3">
      <c r="A410" s="5" t="s">
        <v>1202</v>
      </c>
      <c r="B410" s="5" t="s">
        <v>1203</v>
      </c>
      <c r="C410" s="5">
        <v>39</v>
      </c>
      <c r="D410" s="5" t="s">
        <v>27</v>
      </c>
      <c r="E410" s="5">
        <v>420000</v>
      </c>
      <c r="F410" s="35">
        <v>7.4999999999999997E-2</v>
      </c>
      <c r="G410" s="5">
        <v>48</v>
      </c>
      <c r="H410" s="5" t="s">
        <v>1204</v>
      </c>
      <c r="I410" s="5">
        <v>10155.14</v>
      </c>
      <c r="J410" s="5">
        <v>487446.66</v>
      </c>
      <c r="K410" s="5" t="s">
        <v>312</v>
      </c>
      <c r="L410" s="5" t="s">
        <v>44</v>
      </c>
      <c r="M410" s="5">
        <v>796</v>
      </c>
    </row>
    <row r="411" spans="1:13" x14ac:dyDescent="0.3">
      <c r="A411" s="4" t="s">
        <v>1205</v>
      </c>
      <c r="B411" s="4" t="s">
        <v>1206</v>
      </c>
      <c r="C411" s="4">
        <v>48</v>
      </c>
      <c r="D411" s="4" t="s">
        <v>23</v>
      </c>
      <c r="E411" s="4">
        <v>8460000</v>
      </c>
      <c r="F411" s="3">
        <v>0.1</v>
      </c>
      <c r="G411" s="4">
        <v>84</v>
      </c>
      <c r="H411" s="4" t="s">
        <v>1207</v>
      </c>
      <c r="I411" s="4">
        <v>140446.01999999999</v>
      </c>
      <c r="J411" s="4">
        <v>11797465.42</v>
      </c>
      <c r="K411" s="4" t="s">
        <v>20</v>
      </c>
      <c r="L411" s="4" t="s">
        <v>34</v>
      </c>
      <c r="M411" s="4">
        <v>818</v>
      </c>
    </row>
    <row r="412" spans="1:13" x14ac:dyDescent="0.3">
      <c r="A412" s="5" t="s">
        <v>1208</v>
      </c>
      <c r="B412" s="5" t="s">
        <v>1209</v>
      </c>
      <c r="C412" s="5">
        <v>46</v>
      </c>
      <c r="D412" s="5" t="s">
        <v>18</v>
      </c>
      <c r="E412" s="5">
        <v>950000</v>
      </c>
      <c r="F412" s="35">
        <v>0.12</v>
      </c>
      <c r="G412" s="5">
        <v>84</v>
      </c>
      <c r="H412" s="5" t="s">
        <v>1210</v>
      </c>
      <c r="I412" s="5">
        <v>16770.099999999999</v>
      </c>
      <c r="J412" s="5">
        <v>1408688.08</v>
      </c>
      <c r="K412" s="5" t="s">
        <v>16</v>
      </c>
      <c r="L412" s="5" t="s">
        <v>56</v>
      </c>
      <c r="M412" s="5">
        <v>690</v>
      </c>
    </row>
    <row r="413" spans="1:13" x14ac:dyDescent="0.3">
      <c r="A413" s="4" t="s">
        <v>1211</v>
      </c>
      <c r="B413" s="4" t="s">
        <v>1212</v>
      </c>
      <c r="C413" s="4">
        <v>57</v>
      </c>
      <c r="D413" s="4" t="s">
        <v>18</v>
      </c>
      <c r="E413" s="4">
        <v>1800000</v>
      </c>
      <c r="F413" s="3">
        <v>0.09</v>
      </c>
      <c r="G413" s="4">
        <v>84</v>
      </c>
      <c r="H413" s="4" t="s">
        <v>751</v>
      </c>
      <c r="I413" s="4">
        <v>28960.34</v>
      </c>
      <c r="J413" s="4">
        <v>2432668.63</v>
      </c>
      <c r="K413" s="4" t="s">
        <v>16</v>
      </c>
      <c r="L413" s="4" t="s">
        <v>201</v>
      </c>
      <c r="M413" s="4">
        <v>823</v>
      </c>
    </row>
    <row r="414" spans="1:13" x14ac:dyDescent="0.3">
      <c r="A414" s="5" t="s">
        <v>1213</v>
      </c>
      <c r="B414" s="5" t="s">
        <v>1214</v>
      </c>
      <c r="C414" s="5">
        <v>46</v>
      </c>
      <c r="D414" s="5" t="s">
        <v>37</v>
      </c>
      <c r="E414" s="5">
        <v>2760000</v>
      </c>
      <c r="F414" s="35">
        <v>8.5000000000000006E-2</v>
      </c>
      <c r="G414" s="5">
        <v>60</v>
      </c>
      <c r="H414" s="5" t="s">
        <v>1215</v>
      </c>
      <c r="I414" s="5">
        <v>56625.63</v>
      </c>
      <c r="J414" s="5">
        <v>3397537.59</v>
      </c>
      <c r="K414" s="5" t="s">
        <v>60</v>
      </c>
      <c r="L414" s="5" t="s">
        <v>64</v>
      </c>
      <c r="M414" s="5">
        <v>645</v>
      </c>
    </row>
    <row r="415" spans="1:13" x14ac:dyDescent="0.3">
      <c r="A415" s="4" t="s">
        <v>1216</v>
      </c>
      <c r="B415" s="4" t="s">
        <v>66</v>
      </c>
      <c r="C415" s="4">
        <v>43</v>
      </c>
      <c r="D415" s="4" t="s">
        <v>32</v>
      </c>
      <c r="E415" s="4">
        <v>100000</v>
      </c>
      <c r="F415" s="3">
        <v>0.1</v>
      </c>
      <c r="G415" s="4">
        <v>48</v>
      </c>
      <c r="H415" s="4" t="s">
        <v>1217</v>
      </c>
      <c r="I415" s="4">
        <v>2536.2600000000002</v>
      </c>
      <c r="J415" s="4">
        <v>121740.4</v>
      </c>
      <c r="K415" s="4" t="s">
        <v>16</v>
      </c>
      <c r="L415" s="4" t="s">
        <v>212</v>
      </c>
      <c r="M415" s="4">
        <v>776</v>
      </c>
    </row>
    <row r="416" spans="1:13" x14ac:dyDescent="0.3">
      <c r="A416" s="5" t="s">
        <v>1218</v>
      </c>
      <c r="B416" s="5" t="s">
        <v>1219</v>
      </c>
      <c r="C416" s="5">
        <v>29</v>
      </c>
      <c r="D416" s="5" t="s">
        <v>37</v>
      </c>
      <c r="E416" s="5">
        <v>1610000</v>
      </c>
      <c r="F416" s="35">
        <v>0.13</v>
      </c>
      <c r="G416" s="5">
        <v>240</v>
      </c>
      <c r="H416" s="5" t="s">
        <v>1220</v>
      </c>
      <c r="I416" s="5">
        <v>18862.37</v>
      </c>
      <c r="J416" s="5">
        <v>4526968.55</v>
      </c>
      <c r="K416" s="5" t="s">
        <v>16</v>
      </c>
      <c r="L416" s="5" t="s">
        <v>68</v>
      </c>
      <c r="M416" s="5">
        <v>588</v>
      </c>
    </row>
    <row r="417" spans="1:13" x14ac:dyDescent="0.3">
      <c r="A417" s="4" t="s">
        <v>1221</v>
      </c>
      <c r="B417" s="4" t="s">
        <v>1222</v>
      </c>
      <c r="C417" s="4">
        <v>32</v>
      </c>
      <c r="D417" s="4" t="s">
        <v>23</v>
      </c>
      <c r="E417" s="4">
        <v>2460000</v>
      </c>
      <c r="F417" s="3">
        <v>8.5000000000000006E-2</v>
      </c>
      <c r="G417" s="4">
        <v>180</v>
      </c>
      <c r="H417" s="4" t="s">
        <v>1223</v>
      </c>
      <c r="I417" s="4">
        <v>24224.59</v>
      </c>
      <c r="J417" s="4">
        <v>4360426.76</v>
      </c>
      <c r="K417" s="4" t="s">
        <v>20</v>
      </c>
      <c r="L417" s="4" t="s">
        <v>366</v>
      </c>
      <c r="M417" s="4">
        <v>851</v>
      </c>
    </row>
    <row r="418" spans="1:13" x14ac:dyDescent="0.3">
      <c r="A418" s="5" t="s">
        <v>1224</v>
      </c>
      <c r="B418" s="5" t="s">
        <v>401</v>
      </c>
      <c r="C418" s="5">
        <v>21</v>
      </c>
      <c r="D418" s="5" t="s">
        <v>18</v>
      </c>
      <c r="E418" s="5">
        <v>590000</v>
      </c>
      <c r="F418" s="35">
        <v>0.1</v>
      </c>
      <c r="G418" s="5">
        <v>240</v>
      </c>
      <c r="H418" s="5" t="s">
        <v>1225</v>
      </c>
      <c r="I418" s="5">
        <v>5693.63</v>
      </c>
      <c r="J418" s="5">
        <v>1366470.65</v>
      </c>
      <c r="K418" s="5" t="s">
        <v>312</v>
      </c>
      <c r="L418" s="5" t="s">
        <v>44</v>
      </c>
      <c r="M418" s="5">
        <v>578</v>
      </c>
    </row>
    <row r="419" spans="1:13" x14ac:dyDescent="0.3">
      <c r="A419" s="4" t="s">
        <v>1226</v>
      </c>
      <c r="B419" s="4" t="s">
        <v>1227</v>
      </c>
      <c r="C419" s="4">
        <v>21</v>
      </c>
      <c r="D419" s="4" t="s">
        <v>23</v>
      </c>
      <c r="E419" s="4">
        <v>8230000</v>
      </c>
      <c r="F419" s="3">
        <v>7.4999999999999997E-2</v>
      </c>
      <c r="G419" s="4">
        <v>12</v>
      </c>
      <c r="H419" s="4" t="s">
        <v>1129</v>
      </c>
      <c r="I419" s="4">
        <v>714013.54</v>
      </c>
      <c r="J419" s="4">
        <v>8568162.4900000002</v>
      </c>
      <c r="K419" s="4" t="s">
        <v>16</v>
      </c>
      <c r="L419" s="4" t="s">
        <v>44</v>
      </c>
      <c r="M419" s="4">
        <v>867</v>
      </c>
    </row>
    <row r="420" spans="1:13" x14ac:dyDescent="0.3">
      <c r="A420" s="5" t="s">
        <v>1228</v>
      </c>
      <c r="B420" s="5" t="s">
        <v>1229</v>
      </c>
      <c r="C420" s="5">
        <v>54</v>
      </c>
      <c r="D420" s="5" t="s">
        <v>42</v>
      </c>
      <c r="E420" s="5">
        <v>1240000</v>
      </c>
      <c r="F420" s="35">
        <v>7.4999999999999997E-2</v>
      </c>
      <c r="G420" s="5">
        <v>24</v>
      </c>
      <c r="H420" s="5" t="s">
        <v>407</v>
      </c>
      <c r="I420" s="5">
        <v>55799.49</v>
      </c>
      <c r="J420" s="5">
        <v>1339187.8799999999</v>
      </c>
      <c r="K420" s="5" t="s">
        <v>20</v>
      </c>
      <c r="L420" s="5" t="s">
        <v>64</v>
      </c>
      <c r="M420" s="5">
        <v>794</v>
      </c>
    </row>
    <row r="421" spans="1:13" x14ac:dyDescent="0.3">
      <c r="A421" s="4" t="s">
        <v>1230</v>
      </c>
      <c r="B421" s="4" t="s">
        <v>453</v>
      </c>
      <c r="C421" s="4">
        <v>52</v>
      </c>
      <c r="D421" s="4" t="s">
        <v>37</v>
      </c>
      <c r="E421" s="4">
        <v>4800000</v>
      </c>
      <c r="F421" s="3">
        <v>8.5000000000000006E-2</v>
      </c>
      <c r="G421" s="4">
        <v>84</v>
      </c>
      <c r="H421" s="4" t="s">
        <v>1231</v>
      </c>
      <c r="I421" s="4">
        <v>76015.13</v>
      </c>
      <c r="J421" s="4">
        <v>6385270.9299999997</v>
      </c>
      <c r="K421" s="4" t="s">
        <v>20</v>
      </c>
      <c r="L421" s="4" t="s">
        <v>39</v>
      </c>
      <c r="M421" s="4">
        <v>785</v>
      </c>
    </row>
    <row r="422" spans="1:13" x14ac:dyDescent="0.3">
      <c r="A422" s="5" t="s">
        <v>1232</v>
      </c>
      <c r="B422" s="5" t="s">
        <v>1233</v>
      </c>
      <c r="C422" s="5">
        <v>45</v>
      </c>
      <c r="D422" s="5" t="s">
        <v>18</v>
      </c>
      <c r="E422" s="5">
        <v>1060000</v>
      </c>
      <c r="F422" s="35">
        <v>0.12</v>
      </c>
      <c r="G422" s="5">
        <v>180</v>
      </c>
      <c r="H422" s="5" t="s">
        <v>1234</v>
      </c>
      <c r="I422" s="5">
        <v>12721.78</v>
      </c>
      <c r="J422" s="5">
        <v>2289920.66</v>
      </c>
      <c r="K422" s="5" t="s">
        <v>16</v>
      </c>
      <c r="L422" s="5" t="s">
        <v>82</v>
      </c>
      <c r="M422" s="5">
        <v>734</v>
      </c>
    </row>
    <row r="423" spans="1:13" x14ac:dyDescent="0.3">
      <c r="A423" s="4" t="s">
        <v>1235</v>
      </c>
      <c r="B423" s="4" t="s">
        <v>1236</v>
      </c>
      <c r="C423" s="4">
        <v>60</v>
      </c>
      <c r="D423" s="4" t="s">
        <v>15</v>
      </c>
      <c r="E423" s="4">
        <v>420000</v>
      </c>
      <c r="F423" s="3">
        <v>0.13</v>
      </c>
      <c r="G423" s="4">
        <v>48</v>
      </c>
      <c r="H423" s="4" t="s">
        <v>1237</v>
      </c>
      <c r="I423" s="4">
        <v>11267.55</v>
      </c>
      <c r="J423" s="4">
        <v>540842.31999999995</v>
      </c>
      <c r="K423" s="4" t="s">
        <v>16</v>
      </c>
      <c r="L423" s="4" t="s">
        <v>21</v>
      </c>
      <c r="M423" s="4">
        <v>821</v>
      </c>
    </row>
    <row r="424" spans="1:13" x14ac:dyDescent="0.3">
      <c r="A424" s="5" t="s">
        <v>1238</v>
      </c>
      <c r="B424" s="5" t="s">
        <v>759</v>
      </c>
      <c r="C424" s="5">
        <v>21</v>
      </c>
      <c r="D424" s="5" t="s">
        <v>18</v>
      </c>
      <c r="E424" s="5">
        <v>260000</v>
      </c>
      <c r="F424" s="35">
        <v>8.5000000000000006E-2</v>
      </c>
      <c r="G424" s="5">
        <v>48</v>
      </c>
      <c r="H424" s="5" t="s">
        <v>1239</v>
      </c>
      <c r="I424" s="5">
        <v>6408.56</v>
      </c>
      <c r="J424" s="5">
        <v>307610.83</v>
      </c>
      <c r="K424" s="5" t="s">
        <v>16</v>
      </c>
      <c r="L424" s="5" t="s">
        <v>64</v>
      </c>
      <c r="M424" s="5">
        <v>785</v>
      </c>
    </row>
    <row r="425" spans="1:13" x14ac:dyDescent="0.3">
      <c r="A425" s="4" t="s">
        <v>1240</v>
      </c>
      <c r="B425" s="4" t="s">
        <v>1241</v>
      </c>
      <c r="C425" s="4">
        <v>36</v>
      </c>
      <c r="D425" s="4" t="s">
        <v>15</v>
      </c>
      <c r="E425" s="4">
        <v>390000</v>
      </c>
      <c r="F425" s="3">
        <v>0.08</v>
      </c>
      <c r="G425" s="4">
        <v>12</v>
      </c>
      <c r="H425" s="4" t="s">
        <v>685</v>
      </c>
      <c r="I425" s="4">
        <v>33925.49</v>
      </c>
      <c r="J425" s="4">
        <v>407105.85</v>
      </c>
      <c r="K425" s="4" t="s">
        <v>20</v>
      </c>
      <c r="L425" s="4" t="s">
        <v>151</v>
      </c>
      <c r="M425" s="4">
        <v>788</v>
      </c>
    </row>
    <row r="426" spans="1:13" x14ac:dyDescent="0.3">
      <c r="A426" s="5" t="s">
        <v>1242</v>
      </c>
      <c r="B426" s="5" t="s">
        <v>1243</v>
      </c>
      <c r="C426" s="5">
        <v>59</v>
      </c>
      <c r="D426" s="5" t="s">
        <v>37</v>
      </c>
      <c r="E426" s="5">
        <v>3470000</v>
      </c>
      <c r="F426" s="35">
        <v>0.115</v>
      </c>
      <c r="G426" s="5">
        <v>84</v>
      </c>
      <c r="H426" s="5" t="s">
        <v>1244</v>
      </c>
      <c r="I426" s="5">
        <v>60331.02</v>
      </c>
      <c r="J426" s="5">
        <v>5067805.5999999996</v>
      </c>
      <c r="K426" s="5" t="s">
        <v>16</v>
      </c>
      <c r="L426" s="5" t="s">
        <v>366</v>
      </c>
      <c r="M426" s="5">
        <v>815</v>
      </c>
    </row>
    <row r="427" spans="1:13" x14ac:dyDescent="0.3">
      <c r="A427" s="4" t="s">
        <v>1245</v>
      </c>
      <c r="B427" s="4" t="s">
        <v>287</v>
      </c>
      <c r="C427" s="4">
        <v>25</v>
      </c>
      <c r="D427" s="4" t="s">
        <v>23</v>
      </c>
      <c r="E427" s="4">
        <v>2560000</v>
      </c>
      <c r="F427" s="3">
        <v>0.1</v>
      </c>
      <c r="G427" s="4">
        <v>120</v>
      </c>
      <c r="H427" s="4" t="s">
        <v>1246</v>
      </c>
      <c r="I427" s="4">
        <v>33830.589999999997</v>
      </c>
      <c r="J427" s="4">
        <v>4059670.64</v>
      </c>
      <c r="K427" s="4" t="s">
        <v>20</v>
      </c>
      <c r="L427" s="4" t="s">
        <v>44</v>
      </c>
      <c r="M427" s="4">
        <v>889</v>
      </c>
    </row>
    <row r="428" spans="1:13" x14ac:dyDescent="0.3">
      <c r="A428" s="5" t="s">
        <v>1247</v>
      </c>
      <c r="B428" s="5" t="s">
        <v>1001</v>
      </c>
      <c r="C428" s="5">
        <v>42</v>
      </c>
      <c r="D428" s="5" t="s">
        <v>27</v>
      </c>
      <c r="E428" s="5">
        <v>730000</v>
      </c>
      <c r="F428" s="35">
        <v>0.08</v>
      </c>
      <c r="G428" s="5">
        <v>24</v>
      </c>
      <c r="H428" s="5" t="s">
        <v>1248</v>
      </c>
      <c r="I428" s="5">
        <v>33015.919999999998</v>
      </c>
      <c r="J428" s="5">
        <v>792382.15</v>
      </c>
      <c r="K428" s="5" t="s">
        <v>16</v>
      </c>
      <c r="L428" s="5" t="s">
        <v>56</v>
      </c>
      <c r="M428" s="5">
        <v>614</v>
      </c>
    </row>
    <row r="429" spans="1:13" x14ac:dyDescent="0.3">
      <c r="A429" s="4" t="s">
        <v>1249</v>
      </c>
      <c r="B429" s="4" t="s">
        <v>684</v>
      </c>
      <c r="C429" s="4">
        <v>49</v>
      </c>
      <c r="D429" s="4" t="s">
        <v>23</v>
      </c>
      <c r="E429" s="4">
        <v>6440000</v>
      </c>
      <c r="F429" s="3">
        <v>0.1</v>
      </c>
      <c r="G429" s="4">
        <v>120</v>
      </c>
      <c r="H429" s="4" t="s">
        <v>1250</v>
      </c>
      <c r="I429" s="4">
        <v>85105.07</v>
      </c>
      <c r="J429" s="4">
        <v>10212608.949999999</v>
      </c>
      <c r="K429" s="4" t="s">
        <v>20</v>
      </c>
      <c r="L429" s="4" t="s">
        <v>136</v>
      </c>
      <c r="M429" s="4">
        <v>726</v>
      </c>
    </row>
    <row r="430" spans="1:13" x14ac:dyDescent="0.3">
      <c r="A430" s="5" t="s">
        <v>1251</v>
      </c>
      <c r="B430" s="5" t="s">
        <v>73</v>
      </c>
      <c r="C430" s="5">
        <v>23</v>
      </c>
      <c r="D430" s="5" t="s">
        <v>23</v>
      </c>
      <c r="E430" s="5">
        <v>7460000</v>
      </c>
      <c r="F430" s="35">
        <v>0.13</v>
      </c>
      <c r="G430" s="5">
        <v>60</v>
      </c>
      <c r="H430" s="5" t="s">
        <v>1252</v>
      </c>
      <c r="I430" s="5">
        <v>169737.92</v>
      </c>
      <c r="J430" s="5">
        <v>10184275.49</v>
      </c>
      <c r="K430" s="5" t="s">
        <v>16</v>
      </c>
      <c r="L430" s="5" t="s">
        <v>115</v>
      </c>
      <c r="M430" s="5">
        <v>552</v>
      </c>
    </row>
    <row r="431" spans="1:13" x14ac:dyDescent="0.3">
      <c r="A431" s="4" t="s">
        <v>1253</v>
      </c>
      <c r="B431" s="4" t="s">
        <v>1254</v>
      </c>
      <c r="C431" s="4">
        <v>32</v>
      </c>
      <c r="D431" s="4" t="s">
        <v>27</v>
      </c>
      <c r="E431" s="4">
        <v>110000</v>
      </c>
      <c r="F431" s="3">
        <v>0.125</v>
      </c>
      <c r="G431" s="4">
        <v>240</v>
      </c>
      <c r="H431" s="4" t="s">
        <v>724</v>
      </c>
      <c r="I431" s="4">
        <v>1249.75</v>
      </c>
      <c r="J431" s="4">
        <v>299941.11</v>
      </c>
      <c r="K431" s="4" t="s">
        <v>312</v>
      </c>
      <c r="L431" s="4" t="s">
        <v>119</v>
      </c>
      <c r="M431" s="4">
        <v>691</v>
      </c>
    </row>
    <row r="432" spans="1:13" x14ac:dyDescent="0.3">
      <c r="A432" s="5" t="s">
        <v>1255</v>
      </c>
      <c r="B432" s="5" t="s">
        <v>1007</v>
      </c>
      <c r="C432" s="5">
        <v>46</v>
      </c>
      <c r="D432" s="5" t="s">
        <v>32</v>
      </c>
      <c r="E432" s="5">
        <v>200000</v>
      </c>
      <c r="F432" s="35">
        <v>0.105</v>
      </c>
      <c r="G432" s="5">
        <v>60</v>
      </c>
      <c r="H432" s="5" t="s">
        <v>139</v>
      </c>
      <c r="I432" s="5">
        <v>4298.78</v>
      </c>
      <c r="J432" s="5">
        <v>257926.8</v>
      </c>
      <c r="K432" s="5" t="s">
        <v>20</v>
      </c>
      <c r="L432" s="5" t="s">
        <v>75</v>
      </c>
      <c r="M432" s="5">
        <v>707</v>
      </c>
    </row>
    <row r="433" spans="1:13" x14ac:dyDescent="0.3">
      <c r="A433" s="4" t="s">
        <v>1256</v>
      </c>
      <c r="B433" s="4" t="s">
        <v>1257</v>
      </c>
      <c r="C433" s="4">
        <v>36</v>
      </c>
      <c r="D433" s="4" t="s">
        <v>23</v>
      </c>
      <c r="E433" s="4">
        <v>7940000</v>
      </c>
      <c r="F433" s="3">
        <v>0.12</v>
      </c>
      <c r="G433" s="4">
        <v>12</v>
      </c>
      <c r="H433" s="4" t="s">
        <v>582</v>
      </c>
      <c r="I433" s="4">
        <v>705459.38</v>
      </c>
      <c r="J433" s="4">
        <v>8465512.5899999999</v>
      </c>
      <c r="K433" s="4" t="s">
        <v>16</v>
      </c>
      <c r="L433" s="4" t="s">
        <v>29</v>
      </c>
      <c r="M433" s="4">
        <v>873</v>
      </c>
    </row>
    <row r="434" spans="1:13" x14ac:dyDescent="0.3">
      <c r="A434" s="5" t="s">
        <v>1258</v>
      </c>
      <c r="B434" s="5" t="s">
        <v>1259</v>
      </c>
      <c r="C434" s="5">
        <v>57</v>
      </c>
      <c r="D434" s="5" t="s">
        <v>27</v>
      </c>
      <c r="E434" s="5">
        <v>510000</v>
      </c>
      <c r="F434" s="35">
        <v>0.08</v>
      </c>
      <c r="G434" s="5">
        <v>240</v>
      </c>
      <c r="H434" s="5" t="s">
        <v>1260</v>
      </c>
      <c r="I434" s="5">
        <v>4265.84</v>
      </c>
      <c r="J434" s="5">
        <v>1023802.64</v>
      </c>
      <c r="K434" s="5" t="s">
        <v>16</v>
      </c>
      <c r="L434" s="5" t="s">
        <v>316</v>
      </c>
      <c r="M434" s="5">
        <v>695</v>
      </c>
    </row>
    <row r="435" spans="1:13" x14ac:dyDescent="0.3">
      <c r="A435" s="4" t="s">
        <v>1261</v>
      </c>
      <c r="B435" s="4" t="s">
        <v>1262</v>
      </c>
      <c r="C435" s="4">
        <v>42</v>
      </c>
      <c r="D435" s="4" t="s">
        <v>37</v>
      </c>
      <c r="E435" s="4">
        <v>1210000</v>
      </c>
      <c r="F435" s="3">
        <v>0.1</v>
      </c>
      <c r="G435" s="4">
        <v>84</v>
      </c>
      <c r="H435" s="4" t="s">
        <v>1263</v>
      </c>
      <c r="I435" s="4">
        <v>20087.43</v>
      </c>
      <c r="J435" s="4">
        <v>1687344.34</v>
      </c>
      <c r="K435" s="4" t="s">
        <v>60</v>
      </c>
      <c r="L435" s="4" t="s">
        <v>226</v>
      </c>
      <c r="M435" s="4">
        <v>842</v>
      </c>
    </row>
    <row r="436" spans="1:13" x14ac:dyDescent="0.3">
      <c r="A436" s="5" t="s">
        <v>1264</v>
      </c>
      <c r="B436" s="5" t="s">
        <v>1265</v>
      </c>
      <c r="C436" s="5">
        <v>49</v>
      </c>
      <c r="D436" s="5" t="s">
        <v>27</v>
      </c>
      <c r="E436" s="5">
        <v>860000</v>
      </c>
      <c r="F436" s="35">
        <v>9.5000000000000001E-2</v>
      </c>
      <c r="G436" s="5">
        <v>240</v>
      </c>
      <c r="H436" s="5" t="s">
        <v>1266</v>
      </c>
      <c r="I436" s="5">
        <v>8016.33</v>
      </c>
      <c r="J436" s="5">
        <v>1923918.77</v>
      </c>
      <c r="K436" s="5" t="s">
        <v>20</v>
      </c>
      <c r="L436" s="5" t="s">
        <v>143</v>
      </c>
      <c r="M436" s="5">
        <v>702</v>
      </c>
    </row>
    <row r="437" spans="1:13" x14ac:dyDescent="0.3">
      <c r="A437" s="4" t="s">
        <v>1267</v>
      </c>
      <c r="B437" s="4" t="s">
        <v>1122</v>
      </c>
      <c r="C437" s="4">
        <v>34</v>
      </c>
      <c r="D437" s="4" t="s">
        <v>18</v>
      </c>
      <c r="E437" s="4">
        <v>1370000</v>
      </c>
      <c r="F437" s="3">
        <v>0.1</v>
      </c>
      <c r="G437" s="4">
        <v>240</v>
      </c>
      <c r="H437" s="4" t="s">
        <v>1268</v>
      </c>
      <c r="I437" s="4">
        <v>13220.8</v>
      </c>
      <c r="J437" s="4">
        <v>3172991.17</v>
      </c>
      <c r="K437" s="4" t="s">
        <v>20</v>
      </c>
      <c r="L437" s="4" t="s">
        <v>159</v>
      </c>
      <c r="M437" s="4">
        <v>742</v>
      </c>
    </row>
    <row r="438" spans="1:13" x14ac:dyDescent="0.3">
      <c r="A438" s="5" t="s">
        <v>1269</v>
      </c>
      <c r="B438" s="5" t="s">
        <v>1270</v>
      </c>
      <c r="C438" s="5">
        <v>48</v>
      </c>
      <c r="D438" s="5" t="s">
        <v>15</v>
      </c>
      <c r="E438" s="5">
        <v>710000</v>
      </c>
      <c r="F438" s="35">
        <v>8.5000000000000006E-2</v>
      </c>
      <c r="G438" s="5">
        <v>180</v>
      </c>
      <c r="H438" s="5" t="s">
        <v>1271</v>
      </c>
      <c r="I438" s="5">
        <v>6991.65</v>
      </c>
      <c r="J438" s="5">
        <v>1258497.1599999999</v>
      </c>
      <c r="K438" s="5" t="s">
        <v>20</v>
      </c>
      <c r="L438" s="5" t="s">
        <v>187</v>
      </c>
      <c r="M438" s="5">
        <v>622</v>
      </c>
    </row>
    <row r="439" spans="1:13" x14ac:dyDescent="0.3">
      <c r="A439" s="4" t="s">
        <v>1272</v>
      </c>
      <c r="B439" s="4" t="s">
        <v>1273</v>
      </c>
      <c r="C439" s="4">
        <v>25</v>
      </c>
      <c r="D439" s="4" t="s">
        <v>27</v>
      </c>
      <c r="E439" s="4">
        <v>700000</v>
      </c>
      <c r="F439" s="3">
        <v>8.5000000000000006E-2</v>
      </c>
      <c r="G439" s="4">
        <v>180</v>
      </c>
      <c r="H439" s="4" t="s">
        <v>1274</v>
      </c>
      <c r="I439" s="4">
        <v>6893.18</v>
      </c>
      <c r="J439" s="4">
        <v>1240771.8400000001</v>
      </c>
      <c r="K439" s="4" t="s">
        <v>16</v>
      </c>
      <c r="L439" s="4" t="s">
        <v>136</v>
      </c>
      <c r="M439" s="4">
        <v>854</v>
      </c>
    </row>
    <row r="440" spans="1:13" x14ac:dyDescent="0.3">
      <c r="A440" s="5" t="s">
        <v>1275</v>
      </c>
      <c r="B440" s="5" t="s">
        <v>432</v>
      </c>
      <c r="C440" s="5">
        <v>50</v>
      </c>
      <c r="D440" s="5" t="s">
        <v>23</v>
      </c>
      <c r="E440" s="5">
        <v>9740000</v>
      </c>
      <c r="F440" s="35">
        <v>0.13</v>
      </c>
      <c r="G440" s="5">
        <v>12</v>
      </c>
      <c r="H440" s="5" t="s">
        <v>1276</v>
      </c>
      <c r="I440" s="5">
        <v>869950.27</v>
      </c>
      <c r="J440" s="5">
        <v>10439403.189999999</v>
      </c>
      <c r="K440" s="5" t="s">
        <v>16</v>
      </c>
      <c r="L440" s="5" t="s">
        <v>29</v>
      </c>
      <c r="M440" s="5">
        <v>893</v>
      </c>
    </row>
    <row r="441" spans="1:13" x14ac:dyDescent="0.3">
      <c r="A441" s="4" t="s">
        <v>1277</v>
      </c>
      <c r="B441" s="4" t="s">
        <v>1278</v>
      </c>
      <c r="C441" s="4">
        <v>25</v>
      </c>
      <c r="D441" s="4" t="s">
        <v>32</v>
      </c>
      <c r="E441" s="4">
        <v>140000</v>
      </c>
      <c r="F441" s="3">
        <v>0.105</v>
      </c>
      <c r="G441" s="4">
        <v>60</v>
      </c>
      <c r="H441" s="4" t="s">
        <v>1279</v>
      </c>
      <c r="I441" s="4">
        <v>3009.15</v>
      </c>
      <c r="J441" s="4">
        <v>180548.76</v>
      </c>
      <c r="K441" s="4" t="s">
        <v>16</v>
      </c>
      <c r="L441" s="4" t="s">
        <v>187</v>
      </c>
      <c r="M441" s="4">
        <v>689</v>
      </c>
    </row>
    <row r="442" spans="1:13" x14ac:dyDescent="0.3">
      <c r="A442" s="5" t="s">
        <v>1280</v>
      </c>
      <c r="B442" s="5" t="s">
        <v>1281</v>
      </c>
      <c r="C442" s="5">
        <v>32</v>
      </c>
      <c r="D442" s="5" t="s">
        <v>37</v>
      </c>
      <c r="E442" s="5">
        <v>3690000</v>
      </c>
      <c r="F442" s="35">
        <v>0.125</v>
      </c>
      <c r="G442" s="5">
        <v>48</v>
      </c>
      <c r="H442" s="5" t="s">
        <v>1282</v>
      </c>
      <c r="I442" s="5">
        <v>98080.2</v>
      </c>
      <c r="J442" s="5">
        <v>4707849.4000000004</v>
      </c>
      <c r="K442" s="5" t="s">
        <v>16</v>
      </c>
      <c r="L442" s="5" t="s">
        <v>326</v>
      </c>
      <c r="M442" s="5">
        <v>736</v>
      </c>
    </row>
    <row r="443" spans="1:13" x14ac:dyDescent="0.3">
      <c r="A443" s="4" t="s">
        <v>1283</v>
      </c>
      <c r="B443" s="4" t="s">
        <v>1284</v>
      </c>
      <c r="C443" s="4">
        <v>36</v>
      </c>
      <c r="D443" s="4" t="s">
        <v>27</v>
      </c>
      <c r="E443" s="4">
        <v>280000</v>
      </c>
      <c r="F443" s="3">
        <v>0.11</v>
      </c>
      <c r="G443" s="4">
        <v>84</v>
      </c>
      <c r="H443" s="4" t="s">
        <v>1285</v>
      </c>
      <c r="I443" s="4">
        <v>4794.28</v>
      </c>
      <c r="J443" s="4">
        <v>402719.7</v>
      </c>
      <c r="K443" s="4" t="s">
        <v>312</v>
      </c>
      <c r="L443" s="4" t="s">
        <v>34</v>
      </c>
      <c r="M443" s="4">
        <v>842</v>
      </c>
    </row>
    <row r="444" spans="1:13" x14ac:dyDescent="0.3">
      <c r="A444" s="5" t="s">
        <v>1286</v>
      </c>
      <c r="B444" s="5" t="s">
        <v>1287</v>
      </c>
      <c r="C444" s="5">
        <v>46</v>
      </c>
      <c r="D444" s="5" t="s">
        <v>23</v>
      </c>
      <c r="E444" s="5">
        <v>3330000</v>
      </c>
      <c r="F444" s="35">
        <v>0.125</v>
      </c>
      <c r="G444" s="5">
        <v>240</v>
      </c>
      <c r="H444" s="5" t="s">
        <v>1288</v>
      </c>
      <c r="I444" s="5">
        <v>37833.480000000003</v>
      </c>
      <c r="J444" s="5">
        <v>9080035.2699999996</v>
      </c>
      <c r="K444" s="5" t="s">
        <v>20</v>
      </c>
      <c r="L444" s="5" t="s">
        <v>147</v>
      </c>
      <c r="M444" s="5">
        <v>610</v>
      </c>
    </row>
    <row r="445" spans="1:13" x14ac:dyDescent="0.3">
      <c r="A445" s="4" t="s">
        <v>1289</v>
      </c>
      <c r="B445" s="4" t="s">
        <v>1290</v>
      </c>
      <c r="C445" s="4">
        <v>46</v>
      </c>
      <c r="D445" s="4" t="s">
        <v>32</v>
      </c>
      <c r="E445" s="4">
        <v>190000</v>
      </c>
      <c r="F445" s="3">
        <v>0.1</v>
      </c>
      <c r="G445" s="4">
        <v>24</v>
      </c>
      <c r="H445" s="4" t="s">
        <v>1291</v>
      </c>
      <c r="I445" s="4">
        <v>8767.5400000000009</v>
      </c>
      <c r="J445" s="4">
        <v>210420.86</v>
      </c>
      <c r="K445" s="4" t="s">
        <v>20</v>
      </c>
      <c r="L445" s="4" t="s">
        <v>56</v>
      </c>
      <c r="M445" s="4">
        <v>747</v>
      </c>
    </row>
    <row r="446" spans="1:13" x14ac:dyDescent="0.3">
      <c r="A446" s="5" t="s">
        <v>1292</v>
      </c>
      <c r="B446" s="5" t="s">
        <v>1293</v>
      </c>
      <c r="C446" s="5">
        <v>41</v>
      </c>
      <c r="D446" s="5" t="s">
        <v>27</v>
      </c>
      <c r="E446" s="5">
        <v>420000</v>
      </c>
      <c r="F446" s="35">
        <v>8.5000000000000006E-2</v>
      </c>
      <c r="G446" s="5">
        <v>24</v>
      </c>
      <c r="H446" s="5" t="s">
        <v>1294</v>
      </c>
      <c r="I446" s="5">
        <v>19091.38</v>
      </c>
      <c r="J446" s="5">
        <v>458193.2</v>
      </c>
      <c r="K446" s="5" t="s">
        <v>16</v>
      </c>
      <c r="L446" s="5" t="s">
        <v>155</v>
      </c>
      <c r="M446" s="5">
        <v>844</v>
      </c>
    </row>
    <row r="447" spans="1:13" x14ac:dyDescent="0.3">
      <c r="A447" s="4" t="s">
        <v>1295</v>
      </c>
      <c r="B447" s="4" t="s">
        <v>1195</v>
      </c>
      <c r="C447" s="4">
        <v>59</v>
      </c>
      <c r="D447" s="4" t="s">
        <v>37</v>
      </c>
      <c r="E447" s="4">
        <v>2750000</v>
      </c>
      <c r="F447" s="3">
        <v>0.13</v>
      </c>
      <c r="G447" s="4">
        <v>36</v>
      </c>
      <c r="H447" s="4" t="s">
        <v>1296</v>
      </c>
      <c r="I447" s="4">
        <v>92658.37</v>
      </c>
      <c r="J447" s="4">
        <v>3335701.25</v>
      </c>
      <c r="K447" s="4" t="s">
        <v>16</v>
      </c>
      <c r="L447" s="4" t="s">
        <v>115</v>
      </c>
      <c r="M447" s="4">
        <v>868</v>
      </c>
    </row>
    <row r="448" spans="1:13" x14ac:dyDescent="0.3">
      <c r="A448" s="5" t="s">
        <v>1297</v>
      </c>
      <c r="B448" s="5" t="s">
        <v>234</v>
      </c>
      <c r="C448" s="5">
        <v>56</v>
      </c>
      <c r="D448" s="5" t="s">
        <v>37</v>
      </c>
      <c r="E448" s="5">
        <v>4640000</v>
      </c>
      <c r="F448" s="35">
        <v>0.115</v>
      </c>
      <c r="G448" s="5">
        <v>240</v>
      </c>
      <c r="H448" s="5" t="s">
        <v>1298</v>
      </c>
      <c r="I448" s="5">
        <v>49482.33</v>
      </c>
      <c r="J448" s="5">
        <v>11875760.380000001</v>
      </c>
      <c r="K448" s="5" t="s">
        <v>20</v>
      </c>
      <c r="L448" s="5" t="s">
        <v>64</v>
      </c>
      <c r="M448" s="5">
        <v>851</v>
      </c>
    </row>
    <row r="449" spans="1:13" x14ac:dyDescent="0.3">
      <c r="A449" s="4" t="s">
        <v>1299</v>
      </c>
      <c r="B449" s="4" t="s">
        <v>507</v>
      </c>
      <c r="C449" s="4">
        <v>53</v>
      </c>
      <c r="D449" s="4" t="s">
        <v>15</v>
      </c>
      <c r="E449" s="4">
        <v>510000</v>
      </c>
      <c r="F449" s="3">
        <v>0.13</v>
      </c>
      <c r="G449" s="4">
        <v>240</v>
      </c>
      <c r="H449" s="4" t="s">
        <v>1300</v>
      </c>
      <c r="I449" s="4">
        <v>5975.04</v>
      </c>
      <c r="J449" s="4">
        <v>1434008.67</v>
      </c>
      <c r="K449" s="4" t="s">
        <v>60</v>
      </c>
      <c r="L449" s="4" t="s">
        <v>326</v>
      </c>
      <c r="M449" s="4">
        <v>893</v>
      </c>
    </row>
    <row r="450" spans="1:13" x14ac:dyDescent="0.3">
      <c r="A450" s="5" t="s">
        <v>1301</v>
      </c>
      <c r="B450" s="5" t="s">
        <v>1302</v>
      </c>
      <c r="C450" s="5">
        <v>50</v>
      </c>
      <c r="D450" s="5" t="s">
        <v>37</v>
      </c>
      <c r="E450" s="5">
        <v>1030000</v>
      </c>
      <c r="F450" s="35">
        <v>0.12</v>
      </c>
      <c r="G450" s="5">
        <v>12</v>
      </c>
      <c r="H450" s="5" t="s">
        <v>1303</v>
      </c>
      <c r="I450" s="5">
        <v>91514.25</v>
      </c>
      <c r="J450" s="5">
        <v>1098171.03</v>
      </c>
      <c r="K450" s="5" t="s">
        <v>16</v>
      </c>
      <c r="L450" s="5" t="s">
        <v>29</v>
      </c>
      <c r="M450" s="5">
        <v>560</v>
      </c>
    </row>
    <row r="451" spans="1:13" x14ac:dyDescent="0.3">
      <c r="A451" s="4" t="s">
        <v>1304</v>
      </c>
      <c r="B451" s="4" t="s">
        <v>1305</v>
      </c>
      <c r="C451" s="4">
        <v>57</v>
      </c>
      <c r="D451" s="4" t="s">
        <v>32</v>
      </c>
      <c r="E451" s="4">
        <v>140000</v>
      </c>
      <c r="F451" s="3">
        <v>0.1</v>
      </c>
      <c r="G451" s="4">
        <v>24</v>
      </c>
      <c r="H451" s="4" t="s">
        <v>1306</v>
      </c>
      <c r="I451" s="4">
        <v>6460.29</v>
      </c>
      <c r="J451" s="4">
        <v>155046.95000000001</v>
      </c>
      <c r="K451" s="4" t="s">
        <v>16</v>
      </c>
      <c r="L451" s="4" t="s">
        <v>94</v>
      </c>
      <c r="M451" s="4">
        <v>611</v>
      </c>
    </row>
    <row r="452" spans="1:13" x14ac:dyDescent="0.3">
      <c r="A452" s="5" t="s">
        <v>1307</v>
      </c>
      <c r="B452" s="5" t="s">
        <v>1308</v>
      </c>
      <c r="C452" s="5">
        <v>43</v>
      </c>
      <c r="D452" s="5" t="s">
        <v>23</v>
      </c>
      <c r="E452" s="5">
        <v>8290000</v>
      </c>
      <c r="F452" s="35">
        <v>0.09</v>
      </c>
      <c r="G452" s="5">
        <v>48</v>
      </c>
      <c r="H452" s="5" t="s">
        <v>1309</v>
      </c>
      <c r="I452" s="5">
        <v>206297</v>
      </c>
      <c r="J452" s="5">
        <v>9902256.0600000005</v>
      </c>
      <c r="K452" s="5" t="s">
        <v>16</v>
      </c>
      <c r="L452" s="5" t="s">
        <v>222</v>
      </c>
      <c r="M452" s="5">
        <v>882</v>
      </c>
    </row>
    <row r="453" spans="1:13" x14ac:dyDescent="0.3">
      <c r="A453" s="4" t="s">
        <v>1310</v>
      </c>
      <c r="B453" s="4" t="s">
        <v>1311</v>
      </c>
      <c r="C453" s="4">
        <v>30</v>
      </c>
      <c r="D453" s="4" t="s">
        <v>37</v>
      </c>
      <c r="E453" s="4">
        <v>2810000</v>
      </c>
      <c r="F453" s="3">
        <v>0.125</v>
      </c>
      <c r="G453" s="4">
        <v>48</v>
      </c>
      <c r="H453" s="4" t="s">
        <v>1051</v>
      </c>
      <c r="I453" s="4">
        <v>74689.8</v>
      </c>
      <c r="J453" s="4">
        <v>3585110.25</v>
      </c>
      <c r="K453" s="4" t="s">
        <v>60</v>
      </c>
      <c r="L453" s="4" t="s">
        <v>201</v>
      </c>
      <c r="M453" s="4">
        <v>775</v>
      </c>
    </row>
    <row r="454" spans="1:13" x14ac:dyDescent="0.3">
      <c r="A454" s="5" t="s">
        <v>1312</v>
      </c>
      <c r="B454" s="5" t="s">
        <v>1111</v>
      </c>
      <c r="C454" s="5">
        <v>25</v>
      </c>
      <c r="D454" s="5" t="s">
        <v>37</v>
      </c>
      <c r="E454" s="5">
        <v>4030000</v>
      </c>
      <c r="F454" s="35">
        <v>0.12</v>
      </c>
      <c r="G454" s="5">
        <v>120</v>
      </c>
      <c r="H454" s="5" t="s">
        <v>1313</v>
      </c>
      <c r="I454" s="5">
        <v>57818.79</v>
      </c>
      <c r="J454" s="5">
        <v>6938255.0599999996</v>
      </c>
      <c r="K454" s="5" t="s">
        <v>16</v>
      </c>
      <c r="L454" s="5" t="s">
        <v>191</v>
      </c>
      <c r="M454" s="5">
        <v>702</v>
      </c>
    </row>
    <row r="455" spans="1:13" x14ac:dyDescent="0.3">
      <c r="A455" s="4" t="s">
        <v>1314</v>
      </c>
      <c r="B455" s="4" t="s">
        <v>1018</v>
      </c>
      <c r="C455" s="4">
        <v>56</v>
      </c>
      <c r="D455" s="4" t="s">
        <v>23</v>
      </c>
      <c r="E455" s="4">
        <v>6030000</v>
      </c>
      <c r="F455" s="3">
        <v>8.5000000000000006E-2</v>
      </c>
      <c r="G455" s="4">
        <v>24</v>
      </c>
      <c r="H455" s="4" t="s">
        <v>1315</v>
      </c>
      <c r="I455" s="4">
        <v>274097.71999999997</v>
      </c>
      <c r="J455" s="4">
        <v>6578345.2699999996</v>
      </c>
      <c r="K455" s="4" t="s">
        <v>16</v>
      </c>
      <c r="L455" s="4" t="s">
        <v>25</v>
      </c>
      <c r="M455" s="4">
        <v>748</v>
      </c>
    </row>
    <row r="456" spans="1:13" x14ac:dyDescent="0.3">
      <c r="A456" s="5" t="s">
        <v>1316</v>
      </c>
      <c r="B456" s="5" t="s">
        <v>866</v>
      </c>
      <c r="C456" s="5">
        <v>54</v>
      </c>
      <c r="D456" s="5" t="s">
        <v>23</v>
      </c>
      <c r="E456" s="5">
        <v>9120000</v>
      </c>
      <c r="F456" s="35">
        <v>0.105</v>
      </c>
      <c r="G456" s="5">
        <v>48</v>
      </c>
      <c r="H456" s="5" t="s">
        <v>1317</v>
      </c>
      <c r="I456" s="5">
        <v>233502.82</v>
      </c>
      <c r="J456" s="5">
        <v>11208135.52</v>
      </c>
      <c r="K456" s="5" t="s">
        <v>16</v>
      </c>
      <c r="L456" s="5" t="s">
        <v>104</v>
      </c>
      <c r="M456" s="5">
        <v>601</v>
      </c>
    </row>
    <row r="457" spans="1:13" x14ac:dyDescent="0.3">
      <c r="A457" s="4" t="s">
        <v>1318</v>
      </c>
      <c r="B457" s="4" t="s">
        <v>1319</v>
      </c>
      <c r="C457" s="4">
        <v>51</v>
      </c>
      <c r="D457" s="4" t="s">
        <v>32</v>
      </c>
      <c r="E457" s="4">
        <v>460000</v>
      </c>
      <c r="F457" s="3">
        <v>9.5000000000000001E-2</v>
      </c>
      <c r="G457" s="4">
        <v>240</v>
      </c>
      <c r="H457" s="4" t="s">
        <v>1320</v>
      </c>
      <c r="I457" s="4">
        <v>4287.8</v>
      </c>
      <c r="J457" s="4">
        <v>1029072.83</v>
      </c>
      <c r="K457" s="4" t="s">
        <v>20</v>
      </c>
      <c r="L457" s="4" t="s">
        <v>249</v>
      </c>
      <c r="M457" s="4">
        <v>809</v>
      </c>
    </row>
    <row r="458" spans="1:13" x14ac:dyDescent="0.3">
      <c r="A458" s="5" t="s">
        <v>1321</v>
      </c>
      <c r="B458" s="5" t="s">
        <v>1322</v>
      </c>
      <c r="C458" s="5">
        <v>30</v>
      </c>
      <c r="D458" s="5" t="s">
        <v>37</v>
      </c>
      <c r="E458" s="5">
        <v>1150000</v>
      </c>
      <c r="F458" s="35">
        <v>0.13</v>
      </c>
      <c r="G458" s="5">
        <v>120</v>
      </c>
      <c r="H458" s="5" t="s">
        <v>1323</v>
      </c>
      <c r="I458" s="5">
        <v>17170.740000000002</v>
      </c>
      <c r="J458" s="5">
        <v>2060488.21</v>
      </c>
      <c r="K458" s="5" t="s">
        <v>16</v>
      </c>
      <c r="L458" s="5" t="s">
        <v>64</v>
      </c>
      <c r="M458" s="5">
        <v>608</v>
      </c>
    </row>
    <row r="459" spans="1:13" x14ac:dyDescent="0.3">
      <c r="A459" s="4" t="s">
        <v>1324</v>
      </c>
      <c r="B459" s="4" t="s">
        <v>368</v>
      </c>
      <c r="C459" s="4">
        <v>39</v>
      </c>
      <c r="D459" s="4" t="s">
        <v>32</v>
      </c>
      <c r="E459" s="4">
        <v>240000</v>
      </c>
      <c r="F459" s="3">
        <v>0.13</v>
      </c>
      <c r="G459" s="4">
        <v>24</v>
      </c>
      <c r="H459" s="4" t="s">
        <v>1325</v>
      </c>
      <c r="I459" s="4">
        <v>11410.04</v>
      </c>
      <c r="J459" s="4">
        <v>273840.90000000002</v>
      </c>
      <c r="K459" s="4" t="s">
        <v>16</v>
      </c>
      <c r="L459" s="4" t="s">
        <v>56</v>
      </c>
      <c r="M459" s="4">
        <v>621</v>
      </c>
    </row>
    <row r="460" spans="1:13" x14ac:dyDescent="0.3">
      <c r="A460" s="5" t="s">
        <v>1326</v>
      </c>
      <c r="B460" s="5" t="s">
        <v>1327</v>
      </c>
      <c r="C460" s="5">
        <v>52</v>
      </c>
      <c r="D460" s="5" t="s">
        <v>37</v>
      </c>
      <c r="E460" s="5">
        <v>2610000</v>
      </c>
      <c r="F460" s="35">
        <v>9.5000000000000001E-2</v>
      </c>
      <c r="G460" s="5">
        <v>36</v>
      </c>
      <c r="H460" s="5" t="s">
        <v>1328</v>
      </c>
      <c r="I460" s="5">
        <v>83606</v>
      </c>
      <c r="J460" s="5">
        <v>3009815.96</v>
      </c>
      <c r="K460" s="5" t="s">
        <v>20</v>
      </c>
      <c r="L460" s="5" t="s">
        <v>29</v>
      </c>
      <c r="M460" s="5">
        <v>697</v>
      </c>
    </row>
    <row r="461" spans="1:13" x14ac:dyDescent="0.3">
      <c r="A461" s="4" t="s">
        <v>1329</v>
      </c>
      <c r="B461" s="4" t="s">
        <v>1330</v>
      </c>
      <c r="C461" s="4">
        <v>21</v>
      </c>
      <c r="D461" s="4" t="s">
        <v>27</v>
      </c>
      <c r="E461" s="4">
        <v>360000</v>
      </c>
      <c r="F461" s="3">
        <v>8.5000000000000006E-2</v>
      </c>
      <c r="G461" s="4">
        <v>12</v>
      </c>
      <c r="H461" s="4" t="s">
        <v>1331</v>
      </c>
      <c r="I461" s="4">
        <v>31399.119999999999</v>
      </c>
      <c r="J461" s="4">
        <v>376789.46</v>
      </c>
      <c r="K461" s="4" t="s">
        <v>16</v>
      </c>
      <c r="L461" s="4" t="s">
        <v>205</v>
      </c>
      <c r="M461" s="4">
        <v>898</v>
      </c>
    </row>
    <row r="462" spans="1:13" x14ac:dyDescent="0.3">
      <c r="A462" s="5" t="s">
        <v>1332</v>
      </c>
      <c r="B462" s="5" t="s">
        <v>1333</v>
      </c>
      <c r="C462" s="5">
        <v>25</v>
      </c>
      <c r="D462" s="5" t="s">
        <v>18</v>
      </c>
      <c r="E462" s="5">
        <v>1710000</v>
      </c>
      <c r="F462" s="35">
        <v>8.5000000000000006E-2</v>
      </c>
      <c r="G462" s="5">
        <v>180</v>
      </c>
      <c r="H462" s="5" t="s">
        <v>1334</v>
      </c>
      <c r="I462" s="5">
        <v>16839.05</v>
      </c>
      <c r="J462" s="5">
        <v>3031028.36</v>
      </c>
      <c r="K462" s="5" t="s">
        <v>20</v>
      </c>
      <c r="L462" s="5" t="s">
        <v>187</v>
      </c>
      <c r="M462" s="5">
        <v>612</v>
      </c>
    </row>
    <row r="463" spans="1:13" x14ac:dyDescent="0.3">
      <c r="A463" s="4" t="s">
        <v>1335</v>
      </c>
      <c r="B463" s="4" t="s">
        <v>1336</v>
      </c>
      <c r="C463" s="4">
        <v>24</v>
      </c>
      <c r="D463" s="4" t="s">
        <v>37</v>
      </c>
      <c r="E463" s="4">
        <v>4660000</v>
      </c>
      <c r="F463" s="3">
        <v>0.13</v>
      </c>
      <c r="G463" s="4">
        <v>84</v>
      </c>
      <c r="H463" s="4" t="s">
        <v>1337</v>
      </c>
      <c r="I463" s="4">
        <v>84774.55</v>
      </c>
      <c r="J463" s="4">
        <v>7121062.1299999999</v>
      </c>
      <c r="K463" s="4" t="s">
        <v>16</v>
      </c>
      <c r="L463" s="4" t="s">
        <v>226</v>
      </c>
      <c r="M463" s="4">
        <v>859</v>
      </c>
    </row>
    <row r="464" spans="1:13" x14ac:dyDescent="0.3">
      <c r="A464" s="5" t="s">
        <v>1338</v>
      </c>
      <c r="B464" s="5" t="s">
        <v>1339</v>
      </c>
      <c r="C464" s="5">
        <v>36</v>
      </c>
      <c r="D464" s="5" t="s">
        <v>15</v>
      </c>
      <c r="E464" s="5">
        <v>1450000</v>
      </c>
      <c r="F464" s="35">
        <v>7.4999999999999997E-2</v>
      </c>
      <c r="G464" s="5">
        <v>12</v>
      </c>
      <c r="H464" s="5" t="s">
        <v>1340</v>
      </c>
      <c r="I464" s="5">
        <v>125798.25</v>
      </c>
      <c r="J464" s="5">
        <v>1509579.05</v>
      </c>
      <c r="K464" s="5" t="s">
        <v>20</v>
      </c>
      <c r="L464" s="5" t="s">
        <v>191</v>
      </c>
      <c r="M464" s="5">
        <v>792</v>
      </c>
    </row>
    <row r="465" spans="1:13" x14ac:dyDescent="0.3">
      <c r="A465" s="4" t="s">
        <v>1341</v>
      </c>
      <c r="B465" s="4" t="s">
        <v>1342</v>
      </c>
      <c r="C465" s="4">
        <v>44</v>
      </c>
      <c r="D465" s="4" t="s">
        <v>18</v>
      </c>
      <c r="E465" s="4">
        <v>1490000</v>
      </c>
      <c r="F465" s="3">
        <v>0.13</v>
      </c>
      <c r="G465" s="4">
        <v>24</v>
      </c>
      <c r="H465" s="4" t="s">
        <v>1343</v>
      </c>
      <c r="I465" s="4">
        <v>70837.320000000007</v>
      </c>
      <c r="J465" s="4">
        <v>1700095.58</v>
      </c>
      <c r="K465" s="4" t="s">
        <v>60</v>
      </c>
      <c r="L465" s="4" t="s">
        <v>39</v>
      </c>
      <c r="M465" s="4">
        <v>879</v>
      </c>
    </row>
    <row r="466" spans="1:13" x14ac:dyDescent="0.3">
      <c r="A466" s="5" t="s">
        <v>1344</v>
      </c>
      <c r="B466" s="5" t="s">
        <v>1345</v>
      </c>
      <c r="C466" s="5">
        <v>36</v>
      </c>
      <c r="D466" s="5" t="s">
        <v>18</v>
      </c>
      <c r="E466" s="5">
        <v>610000</v>
      </c>
      <c r="F466" s="35">
        <v>0.12</v>
      </c>
      <c r="G466" s="5">
        <v>24</v>
      </c>
      <c r="H466" s="5" t="s">
        <v>375</v>
      </c>
      <c r="I466" s="5">
        <v>28714.82</v>
      </c>
      <c r="J466" s="5">
        <v>689155.63</v>
      </c>
      <c r="K466" s="5" t="s">
        <v>16</v>
      </c>
      <c r="L466" s="5" t="s">
        <v>104</v>
      </c>
      <c r="M466" s="5">
        <v>656</v>
      </c>
    </row>
    <row r="467" spans="1:13" x14ac:dyDescent="0.3">
      <c r="A467" s="4" t="s">
        <v>1346</v>
      </c>
      <c r="B467" s="4" t="s">
        <v>1347</v>
      </c>
      <c r="C467" s="4">
        <v>22</v>
      </c>
      <c r="D467" s="4" t="s">
        <v>15</v>
      </c>
      <c r="E467" s="4">
        <v>1160000</v>
      </c>
      <c r="F467" s="3">
        <v>0.105</v>
      </c>
      <c r="G467" s="4">
        <v>12</v>
      </c>
      <c r="H467" s="4" t="s">
        <v>1348</v>
      </c>
      <c r="I467" s="4">
        <v>102252.38</v>
      </c>
      <c r="J467" s="4">
        <v>1227028.55</v>
      </c>
      <c r="K467" s="4" t="s">
        <v>16</v>
      </c>
      <c r="L467" s="4" t="s">
        <v>52</v>
      </c>
      <c r="M467" s="4">
        <v>775</v>
      </c>
    </row>
    <row r="468" spans="1:13" x14ac:dyDescent="0.3">
      <c r="A468" s="5" t="s">
        <v>1349</v>
      </c>
      <c r="B468" s="5" t="s">
        <v>854</v>
      </c>
      <c r="C468" s="5">
        <v>48</v>
      </c>
      <c r="D468" s="5" t="s">
        <v>15</v>
      </c>
      <c r="E468" s="5">
        <v>420000</v>
      </c>
      <c r="F468" s="35">
        <v>0.12</v>
      </c>
      <c r="G468" s="5">
        <v>36</v>
      </c>
      <c r="H468" s="5" t="s">
        <v>1350</v>
      </c>
      <c r="I468" s="5">
        <v>13950.01</v>
      </c>
      <c r="J468" s="5">
        <v>502200.36</v>
      </c>
      <c r="K468" s="5" t="s">
        <v>16</v>
      </c>
      <c r="L468" s="5" t="s">
        <v>25</v>
      </c>
      <c r="M468" s="5">
        <v>862</v>
      </c>
    </row>
    <row r="469" spans="1:13" x14ac:dyDescent="0.3">
      <c r="A469" s="4" t="s">
        <v>1351</v>
      </c>
      <c r="B469" s="4" t="s">
        <v>287</v>
      </c>
      <c r="C469" s="4">
        <v>52</v>
      </c>
      <c r="D469" s="4" t="s">
        <v>15</v>
      </c>
      <c r="E469" s="4">
        <v>480000</v>
      </c>
      <c r="F469" s="3">
        <v>7.4999999999999997E-2</v>
      </c>
      <c r="G469" s="4">
        <v>60</v>
      </c>
      <c r="H469" s="4" t="s">
        <v>1352</v>
      </c>
      <c r="I469" s="4">
        <v>9618.2199999999993</v>
      </c>
      <c r="J469" s="4">
        <v>577092.92000000004</v>
      </c>
      <c r="K469" s="4" t="s">
        <v>60</v>
      </c>
      <c r="L469" s="4" t="s">
        <v>226</v>
      </c>
      <c r="M469" s="4">
        <v>767</v>
      </c>
    </row>
    <row r="470" spans="1:13" x14ac:dyDescent="0.3">
      <c r="A470" s="5" t="s">
        <v>1353</v>
      </c>
      <c r="B470" s="5" t="s">
        <v>1354</v>
      </c>
      <c r="C470" s="5">
        <v>47</v>
      </c>
      <c r="D470" s="5" t="s">
        <v>32</v>
      </c>
      <c r="E470" s="5">
        <v>210000</v>
      </c>
      <c r="F470" s="35">
        <v>8.5000000000000006E-2</v>
      </c>
      <c r="G470" s="5">
        <v>240</v>
      </c>
      <c r="H470" s="5" t="s">
        <v>154</v>
      </c>
      <c r="I470" s="5">
        <v>1822.43</v>
      </c>
      <c r="J470" s="5">
        <v>437382.91</v>
      </c>
      <c r="K470" s="5" t="s">
        <v>16</v>
      </c>
      <c r="L470" s="5" t="s">
        <v>191</v>
      </c>
      <c r="M470" s="5">
        <v>790</v>
      </c>
    </row>
    <row r="471" spans="1:13" x14ac:dyDescent="0.3">
      <c r="A471" s="4" t="s">
        <v>1355</v>
      </c>
      <c r="B471" s="4" t="s">
        <v>1356</v>
      </c>
      <c r="C471" s="4">
        <v>40</v>
      </c>
      <c r="D471" s="4" t="s">
        <v>18</v>
      </c>
      <c r="E471" s="4">
        <v>210000</v>
      </c>
      <c r="F471" s="3">
        <v>0.12</v>
      </c>
      <c r="G471" s="4">
        <v>24</v>
      </c>
      <c r="H471" s="4" t="s">
        <v>1357</v>
      </c>
      <c r="I471" s="4">
        <v>9885.43</v>
      </c>
      <c r="J471" s="4">
        <v>237250.3</v>
      </c>
      <c r="K471" s="4" t="s">
        <v>16</v>
      </c>
      <c r="L471" s="4" t="s">
        <v>136</v>
      </c>
      <c r="M471" s="4">
        <v>808</v>
      </c>
    </row>
    <row r="472" spans="1:13" x14ac:dyDescent="0.3">
      <c r="A472" s="5" t="s">
        <v>1358</v>
      </c>
      <c r="B472" s="5" t="s">
        <v>1359</v>
      </c>
      <c r="C472" s="5">
        <v>44</v>
      </c>
      <c r="D472" s="5" t="s">
        <v>37</v>
      </c>
      <c r="E472" s="5">
        <v>3820000</v>
      </c>
      <c r="F472" s="35">
        <v>0.1</v>
      </c>
      <c r="G472" s="5">
        <v>48</v>
      </c>
      <c r="H472" s="5" t="s">
        <v>1360</v>
      </c>
      <c r="I472" s="5">
        <v>96885.07</v>
      </c>
      <c r="J472" s="5">
        <v>4650483.3</v>
      </c>
      <c r="K472" s="5" t="s">
        <v>312</v>
      </c>
      <c r="L472" s="5" t="s">
        <v>25</v>
      </c>
      <c r="M472" s="5">
        <v>811</v>
      </c>
    </row>
    <row r="473" spans="1:13" x14ac:dyDescent="0.3">
      <c r="A473" s="4" t="s">
        <v>1361</v>
      </c>
      <c r="B473" s="4" t="s">
        <v>1362</v>
      </c>
      <c r="C473" s="4">
        <v>32</v>
      </c>
      <c r="D473" s="4" t="s">
        <v>27</v>
      </c>
      <c r="E473" s="4">
        <v>450000</v>
      </c>
      <c r="F473" s="3">
        <v>0.12</v>
      </c>
      <c r="G473" s="4">
        <v>60</v>
      </c>
      <c r="H473" s="4" t="s">
        <v>1363</v>
      </c>
      <c r="I473" s="4">
        <v>10010</v>
      </c>
      <c r="J473" s="4">
        <v>600600.09</v>
      </c>
      <c r="K473" s="4" t="s">
        <v>20</v>
      </c>
      <c r="L473" s="4" t="s">
        <v>44</v>
      </c>
      <c r="M473" s="4">
        <v>554</v>
      </c>
    </row>
    <row r="474" spans="1:13" x14ac:dyDescent="0.3">
      <c r="A474" s="5" t="s">
        <v>1364</v>
      </c>
      <c r="B474" s="5" t="s">
        <v>1365</v>
      </c>
      <c r="C474" s="5">
        <v>55</v>
      </c>
      <c r="D474" s="5" t="s">
        <v>32</v>
      </c>
      <c r="E474" s="5">
        <v>490000</v>
      </c>
      <c r="F474" s="35">
        <v>0.09</v>
      </c>
      <c r="G474" s="5">
        <v>120</v>
      </c>
      <c r="H474" s="5" t="s">
        <v>1366</v>
      </c>
      <c r="I474" s="5">
        <v>6207.11</v>
      </c>
      <c r="J474" s="5">
        <v>744853.55</v>
      </c>
      <c r="K474" s="5" t="s">
        <v>16</v>
      </c>
      <c r="L474" s="5" t="s">
        <v>68</v>
      </c>
      <c r="M474" s="5">
        <v>810</v>
      </c>
    </row>
    <row r="475" spans="1:13" x14ac:dyDescent="0.3">
      <c r="A475" s="4" t="s">
        <v>1367</v>
      </c>
      <c r="B475" s="4" t="s">
        <v>1368</v>
      </c>
      <c r="C475" s="4">
        <v>53</v>
      </c>
      <c r="D475" s="4" t="s">
        <v>23</v>
      </c>
      <c r="E475" s="4">
        <v>7370000</v>
      </c>
      <c r="F475" s="3">
        <v>0.125</v>
      </c>
      <c r="G475" s="4">
        <v>120</v>
      </c>
      <c r="H475" s="4" t="s">
        <v>1369</v>
      </c>
      <c r="I475" s="4">
        <v>107879.24</v>
      </c>
      <c r="J475" s="4">
        <v>12945508.359999999</v>
      </c>
      <c r="K475" s="4" t="s">
        <v>16</v>
      </c>
      <c r="L475" s="4" t="s">
        <v>104</v>
      </c>
      <c r="M475" s="4">
        <v>603</v>
      </c>
    </row>
    <row r="476" spans="1:13" x14ac:dyDescent="0.3">
      <c r="A476" s="5" t="s">
        <v>1370</v>
      </c>
      <c r="B476" s="5" t="s">
        <v>537</v>
      </c>
      <c r="C476" s="5">
        <v>53</v>
      </c>
      <c r="D476" s="5" t="s">
        <v>18</v>
      </c>
      <c r="E476" s="5">
        <v>1890000</v>
      </c>
      <c r="F476" s="35">
        <v>0.12</v>
      </c>
      <c r="G476" s="5">
        <v>180</v>
      </c>
      <c r="H476" s="5" t="s">
        <v>1371</v>
      </c>
      <c r="I476" s="5">
        <v>22683.18</v>
      </c>
      <c r="J476" s="5">
        <v>4082971.75</v>
      </c>
      <c r="K476" s="5" t="s">
        <v>20</v>
      </c>
      <c r="L476" s="5" t="s">
        <v>366</v>
      </c>
      <c r="M476" s="5">
        <v>596</v>
      </c>
    </row>
    <row r="477" spans="1:13" x14ac:dyDescent="0.3">
      <c r="A477" s="4" t="s">
        <v>1372</v>
      </c>
      <c r="B477" s="4" t="s">
        <v>1373</v>
      </c>
      <c r="C477" s="4">
        <v>63</v>
      </c>
      <c r="D477" s="4" t="s">
        <v>37</v>
      </c>
      <c r="E477" s="4">
        <v>3260000</v>
      </c>
      <c r="F477" s="3">
        <v>0.08</v>
      </c>
      <c r="G477" s="4">
        <v>120</v>
      </c>
      <c r="H477" s="4" t="s">
        <v>1374</v>
      </c>
      <c r="I477" s="4">
        <v>39552.800000000003</v>
      </c>
      <c r="J477" s="4">
        <v>4746335.49</v>
      </c>
      <c r="K477" s="4" t="s">
        <v>16</v>
      </c>
      <c r="L477" s="4" t="s">
        <v>226</v>
      </c>
      <c r="M477" s="4">
        <v>764</v>
      </c>
    </row>
    <row r="478" spans="1:13" x14ac:dyDescent="0.3">
      <c r="A478" s="5" t="s">
        <v>1375</v>
      </c>
      <c r="B478" s="5" t="s">
        <v>1376</v>
      </c>
      <c r="C478" s="5">
        <v>57</v>
      </c>
      <c r="D478" s="5" t="s">
        <v>42</v>
      </c>
      <c r="E478" s="5">
        <v>1220000</v>
      </c>
      <c r="F478" s="35">
        <v>0.11</v>
      </c>
      <c r="G478" s="5">
        <v>120</v>
      </c>
      <c r="H478" s="5" t="s">
        <v>1377</v>
      </c>
      <c r="I478" s="5">
        <v>16805.5</v>
      </c>
      <c r="J478" s="5">
        <v>2016660.17</v>
      </c>
      <c r="K478" s="5" t="s">
        <v>20</v>
      </c>
      <c r="L478" s="5" t="s">
        <v>226</v>
      </c>
      <c r="M478" s="5">
        <v>726</v>
      </c>
    </row>
    <row r="479" spans="1:13" x14ac:dyDescent="0.3">
      <c r="A479" s="4" t="s">
        <v>1378</v>
      </c>
      <c r="B479" s="4" t="s">
        <v>1379</v>
      </c>
      <c r="C479" s="4">
        <v>32</v>
      </c>
      <c r="D479" s="4" t="s">
        <v>37</v>
      </c>
      <c r="E479" s="4">
        <v>3310000</v>
      </c>
      <c r="F479" s="3">
        <v>8.5000000000000006E-2</v>
      </c>
      <c r="G479" s="4">
        <v>84</v>
      </c>
      <c r="H479" s="4" t="s">
        <v>1380</v>
      </c>
      <c r="I479" s="4">
        <v>52418.77</v>
      </c>
      <c r="J479" s="4">
        <v>4403176.41</v>
      </c>
      <c r="K479" s="4" t="s">
        <v>16</v>
      </c>
      <c r="L479" s="4" t="s">
        <v>34</v>
      </c>
      <c r="M479" s="4">
        <v>558</v>
      </c>
    </row>
    <row r="480" spans="1:13" x14ac:dyDescent="0.3">
      <c r="A480" s="5" t="s">
        <v>1381</v>
      </c>
      <c r="B480" s="5" t="s">
        <v>435</v>
      </c>
      <c r="C480" s="5">
        <v>23</v>
      </c>
      <c r="D480" s="5" t="s">
        <v>32</v>
      </c>
      <c r="E480" s="5">
        <v>280000</v>
      </c>
      <c r="F480" s="35">
        <v>0.1</v>
      </c>
      <c r="G480" s="5">
        <v>12</v>
      </c>
      <c r="H480" s="5" t="s">
        <v>1382</v>
      </c>
      <c r="I480" s="5">
        <v>24616.45</v>
      </c>
      <c r="J480" s="5">
        <v>295397.38</v>
      </c>
      <c r="K480" s="5" t="s">
        <v>20</v>
      </c>
      <c r="L480" s="5" t="s">
        <v>90</v>
      </c>
      <c r="M480" s="5">
        <v>648</v>
      </c>
    </row>
    <row r="481" spans="1:13" x14ac:dyDescent="0.3">
      <c r="A481" s="4" t="s">
        <v>1383</v>
      </c>
      <c r="B481" s="4" t="s">
        <v>687</v>
      </c>
      <c r="C481" s="4">
        <v>21</v>
      </c>
      <c r="D481" s="4" t="s">
        <v>15</v>
      </c>
      <c r="E481" s="4">
        <v>1910000</v>
      </c>
      <c r="F481" s="3">
        <v>0.13</v>
      </c>
      <c r="G481" s="4">
        <v>120</v>
      </c>
      <c r="H481" s="4" t="s">
        <v>1384</v>
      </c>
      <c r="I481" s="4">
        <v>28518.35</v>
      </c>
      <c r="J481" s="4">
        <v>3422202.16</v>
      </c>
      <c r="K481" s="4" t="s">
        <v>20</v>
      </c>
      <c r="L481" s="4" t="s">
        <v>39</v>
      </c>
      <c r="M481" s="4">
        <v>569</v>
      </c>
    </row>
    <row r="482" spans="1:13" x14ac:dyDescent="0.3">
      <c r="A482" s="5" t="s">
        <v>1385</v>
      </c>
      <c r="B482" s="5" t="s">
        <v>970</v>
      </c>
      <c r="C482" s="5">
        <v>53</v>
      </c>
      <c r="D482" s="5" t="s">
        <v>42</v>
      </c>
      <c r="E482" s="5">
        <v>590000</v>
      </c>
      <c r="F482" s="35">
        <v>0.08</v>
      </c>
      <c r="G482" s="5">
        <v>24</v>
      </c>
      <c r="H482" s="5" t="s">
        <v>1386</v>
      </c>
      <c r="I482" s="5">
        <v>26684.1</v>
      </c>
      <c r="J482" s="5">
        <v>640418.44999999995</v>
      </c>
      <c r="K482" s="5" t="s">
        <v>16</v>
      </c>
      <c r="L482" s="5" t="s">
        <v>119</v>
      </c>
      <c r="M482" s="5">
        <v>790</v>
      </c>
    </row>
    <row r="483" spans="1:13" x14ac:dyDescent="0.3">
      <c r="A483" s="4" t="s">
        <v>1387</v>
      </c>
      <c r="B483" s="4" t="s">
        <v>1388</v>
      </c>
      <c r="C483" s="4">
        <v>60</v>
      </c>
      <c r="D483" s="4" t="s">
        <v>32</v>
      </c>
      <c r="E483" s="4">
        <v>210000</v>
      </c>
      <c r="F483" s="3">
        <v>0.09</v>
      </c>
      <c r="G483" s="4">
        <v>240</v>
      </c>
      <c r="H483" s="4" t="s">
        <v>1389</v>
      </c>
      <c r="I483" s="4">
        <v>1889.42</v>
      </c>
      <c r="J483" s="4">
        <v>453461.88</v>
      </c>
      <c r="K483" s="4" t="s">
        <v>16</v>
      </c>
      <c r="L483" s="4" t="s">
        <v>56</v>
      </c>
      <c r="M483" s="4">
        <v>610</v>
      </c>
    </row>
    <row r="484" spans="1:13" x14ac:dyDescent="0.3">
      <c r="A484" s="5" t="s">
        <v>1390</v>
      </c>
      <c r="B484" s="5" t="s">
        <v>693</v>
      </c>
      <c r="C484" s="5">
        <v>30</v>
      </c>
      <c r="D484" s="5" t="s">
        <v>37</v>
      </c>
      <c r="E484" s="5">
        <v>3190000</v>
      </c>
      <c r="F484" s="35">
        <v>0.1</v>
      </c>
      <c r="G484" s="5">
        <v>12</v>
      </c>
      <c r="H484" s="5" t="s">
        <v>1391</v>
      </c>
      <c r="I484" s="5">
        <v>280451.68</v>
      </c>
      <c r="J484" s="5">
        <v>3365420.16</v>
      </c>
      <c r="K484" s="5" t="s">
        <v>16</v>
      </c>
      <c r="L484" s="5" t="s">
        <v>366</v>
      </c>
      <c r="M484" s="5">
        <v>727</v>
      </c>
    </row>
    <row r="485" spans="1:13" x14ac:dyDescent="0.3">
      <c r="A485" s="4" t="s">
        <v>1392</v>
      </c>
      <c r="B485" s="4" t="s">
        <v>1229</v>
      </c>
      <c r="C485" s="4">
        <v>63</v>
      </c>
      <c r="D485" s="4" t="s">
        <v>27</v>
      </c>
      <c r="E485" s="4">
        <v>730000</v>
      </c>
      <c r="F485" s="3">
        <v>0.1</v>
      </c>
      <c r="G485" s="4">
        <v>24</v>
      </c>
      <c r="H485" s="4" t="s">
        <v>1393</v>
      </c>
      <c r="I485" s="4">
        <v>33685.800000000003</v>
      </c>
      <c r="J485" s="4">
        <v>808459.11</v>
      </c>
      <c r="K485" s="4" t="s">
        <v>16</v>
      </c>
      <c r="L485" s="4" t="s">
        <v>155</v>
      </c>
      <c r="M485" s="4">
        <v>887</v>
      </c>
    </row>
    <row r="486" spans="1:13" x14ac:dyDescent="0.3">
      <c r="A486" s="5" t="s">
        <v>1394</v>
      </c>
      <c r="B486" s="5" t="s">
        <v>1395</v>
      </c>
      <c r="C486" s="5">
        <v>64</v>
      </c>
      <c r="D486" s="5" t="s">
        <v>32</v>
      </c>
      <c r="E486" s="5">
        <v>410000</v>
      </c>
      <c r="F486" s="35">
        <v>8.5000000000000006E-2</v>
      </c>
      <c r="G486" s="5">
        <v>12</v>
      </c>
      <c r="H486" s="5" t="s">
        <v>1396</v>
      </c>
      <c r="I486" s="5">
        <v>35760.11</v>
      </c>
      <c r="J486" s="5">
        <v>429121.33</v>
      </c>
      <c r="K486" s="5" t="s">
        <v>20</v>
      </c>
      <c r="L486" s="5" t="s">
        <v>159</v>
      </c>
      <c r="M486" s="5">
        <v>611</v>
      </c>
    </row>
    <row r="487" spans="1:13" x14ac:dyDescent="0.3">
      <c r="A487" s="4" t="s">
        <v>1397</v>
      </c>
      <c r="B487" s="4" t="s">
        <v>1398</v>
      </c>
      <c r="C487" s="4">
        <v>49</v>
      </c>
      <c r="D487" s="4" t="s">
        <v>27</v>
      </c>
      <c r="E487" s="4">
        <v>310000</v>
      </c>
      <c r="F487" s="3">
        <v>0.125</v>
      </c>
      <c r="G487" s="4">
        <v>24</v>
      </c>
      <c r="H487" s="4" t="s">
        <v>1399</v>
      </c>
      <c r="I487" s="4">
        <v>14665.27</v>
      </c>
      <c r="J487" s="4">
        <v>351966.37</v>
      </c>
      <c r="K487" s="4" t="s">
        <v>20</v>
      </c>
      <c r="L487" s="4" t="s">
        <v>222</v>
      </c>
      <c r="M487" s="4">
        <v>694</v>
      </c>
    </row>
    <row r="488" spans="1:13" x14ac:dyDescent="0.3">
      <c r="A488" s="5" t="s">
        <v>1400</v>
      </c>
      <c r="B488" s="5" t="s">
        <v>1001</v>
      </c>
      <c r="C488" s="5">
        <v>33</v>
      </c>
      <c r="D488" s="5" t="s">
        <v>42</v>
      </c>
      <c r="E488" s="5">
        <v>1300000</v>
      </c>
      <c r="F488" s="35">
        <v>0.08</v>
      </c>
      <c r="G488" s="5">
        <v>84</v>
      </c>
      <c r="H488" s="5" t="s">
        <v>1401</v>
      </c>
      <c r="I488" s="5">
        <v>20262.080000000002</v>
      </c>
      <c r="J488" s="5">
        <v>1702014.61</v>
      </c>
      <c r="K488" s="5" t="s">
        <v>20</v>
      </c>
      <c r="L488" s="5" t="s">
        <v>159</v>
      </c>
      <c r="M488" s="5">
        <v>765</v>
      </c>
    </row>
    <row r="489" spans="1:13" x14ac:dyDescent="0.3">
      <c r="A489" s="4" t="s">
        <v>1402</v>
      </c>
      <c r="B489" s="4" t="s">
        <v>1403</v>
      </c>
      <c r="C489" s="4">
        <v>32</v>
      </c>
      <c r="D489" s="4" t="s">
        <v>23</v>
      </c>
      <c r="E489" s="4">
        <v>6270000</v>
      </c>
      <c r="F489" s="3">
        <v>0.13</v>
      </c>
      <c r="G489" s="4">
        <v>240</v>
      </c>
      <c r="H489" s="4" t="s">
        <v>1404</v>
      </c>
      <c r="I489" s="4">
        <v>73457.8</v>
      </c>
      <c r="J489" s="4">
        <v>17629871.300000001</v>
      </c>
      <c r="K489" s="4" t="s">
        <v>16</v>
      </c>
      <c r="L489" s="4" t="s">
        <v>52</v>
      </c>
      <c r="M489" s="4">
        <v>552</v>
      </c>
    </row>
    <row r="490" spans="1:13" x14ac:dyDescent="0.3">
      <c r="A490" s="5" t="s">
        <v>1405</v>
      </c>
      <c r="B490" s="5" t="s">
        <v>1119</v>
      </c>
      <c r="C490" s="5">
        <v>51</v>
      </c>
      <c r="D490" s="5" t="s">
        <v>18</v>
      </c>
      <c r="E490" s="5">
        <v>570000</v>
      </c>
      <c r="F490" s="35">
        <v>0.125</v>
      </c>
      <c r="G490" s="5">
        <v>24</v>
      </c>
      <c r="H490" s="5" t="s">
        <v>1406</v>
      </c>
      <c r="I490" s="5">
        <v>26965.17</v>
      </c>
      <c r="J490" s="5">
        <v>647163.98</v>
      </c>
      <c r="K490" s="5" t="s">
        <v>20</v>
      </c>
      <c r="L490" s="5" t="s">
        <v>94</v>
      </c>
      <c r="M490" s="5">
        <v>709</v>
      </c>
    </row>
    <row r="491" spans="1:13" x14ac:dyDescent="0.3">
      <c r="A491" s="4" t="s">
        <v>1407</v>
      </c>
      <c r="B491" s="4" t="s">
        <v>1408</v>
      </c>
      <c r="C491" s="4">
        <v>22</v>
      </c>
      <c r="D491" s="4" t="s">
        <v>18</v>
      </c>
      <c r="E491" s="4">
        <v>1040000</v>
      </c>
      <c r="F491" s="3">
        <v>0.125</v>
      </c>
      <c r="G491" s="4">
        <v>60</v>
      </c>
      <c r="H491" s="4" t="s">
        <v>1409</v>
      </c>
      <c r="I491" s="4">
        <v>23397.86</v>
      </c>
      <c r="J491" s="4">
        <v>1403871.35</v>
      </c>
      <c r="K491" s="4" t="s">
        <v>16</v>
      </c>
      <c r="L491" s="4" t="s">
        <v>75</v>
      </c>
      <c r="M491" s="4">
        <v>776</v>
      </c>
    </row>
    <row r="492" spans="1:13" x14ac:dyDescent="0.3">
      <c r="A492" s="5" t="s">
        <v>1410</v>
      </c>
      <c r="B492" s="5" t="s">
        <v>269</v>
      </c>
      <c r="C492" s="5">
        <v>55</v>
      </c>
      <c r="D492" s="5" t="s">
        <v>32</v>
      </c>
      <c r="E492" s="5">
        <v>220000</v>
      </c>
      <c r="F492" s="35">
        <v>0.13</v>
      </c>
      <c r="G492" s="5">
        <v>60</v>
      </c>
      <c r="H492" s="5" t="s">
        <v>1411</v>
      </c>
      <c r="I492" s="5">
        <v>5005.68</v>
      </c>
      <c r="J492" s="5">
        <v>300340.56</v>
      </c>
      <c r="K492" s="5" t="s">
        <v>16</v>
      </c>
      <c r="L492" s="5" t="s">
        <v>159</v>
      </c>
      <c r="M492" s="5">
        <v>818</v>
      </c>
    </row>
    <row r="493" spans="1:13" x14ac:dyDescent="0.3">
      <c r="A493" s="4" t="s">
        <v>1412</v>
      </c>
      <c r="B493" s="4" t="s">
        <v>254</v>
      </c>
      <c r="C493" s="4">
        <v>43</v>
      </c>
      <c r="D493" s="4" t="s">
        <v>42</v>
      </c>
      <c r="E493" s="4">
        <v>910000</v>
      </c>
      <c r="F493" s="3">
        <v>0.1</v>
      </c>
      <c r="G493" s="4">
        <v>24</v>
      </c>
      <c r="H493" s="4" t="s">
        <v>1413</v>
      </c>
      <c r="I493" s="4">
        <v>41991.88</v>
      </c>
      <c r="J493" s="4">
        <v>1007805.19</v>
      </c>
      <c r="K493" s="4" t="s">
        <v>60</v>
      </c>
      <c r="L493" s="4" t="s">
        <v>151</v>
      </c>
      <c r="M493" s="4">
        <v>669</v>
      </c>
    </row>
    <row r="494" spans="1:13" x14ac:dyDescent="0.3">
      <c r="A494" s="5" t="s">
        <v>1414</v>
      </c>
      <c r="B494" s="5" t="s">
        <v>1415</v>
      </c>
      <c r="C494" s="5">
        <v>37</v>
      </c>
      <c r="D494" s="5" t="s">
        <v>27</v>
      </c>
      <c r="E494" s="5">
        <v>870000</v>
      </c>
      <c r="F494" s="35">
        <v>0.11</v>
      </c>
      <c r="G494" s="5">
        <v>60</v>
      </c>
      <c r="H494" s="5" t="s">
        <v>1416</v>
      </c>
      <c r="I494" s="5">
        <v>18915.91</v>
      </c>
      <c r="J494" s="5">
        <v>1134954.48</v>
      </c>
      <c r="K494" s="5" t="s">
        <v>16</v>
      </c>
      <c r="L494" s="5" t="s">
        <v>25</v>
      </c>
      <c r="M494" s="5">
        <v>638</v>
      </c>
    </row>
    <row r="495" spans="1:13" x14ac:dyDescent="0.3">
      <c r="A495" s="4" t="s">
        <v>1417</v>
      </c>
      <c r="B495" s="4" t="s">
        <v>1418</v>
      </c>
      <c r="C495" s="4">
        <v>46</v>
      </c>
      <c r="D495" s="4" t="s">
        <v>42</v>
      </c>
      <c r="E495" s="4">
        <v>1330000</v>
      </c>
      <c r="F495" s="3">
        <v>7.4999999999999997E-2</v>
      </c>
      <c r="G495" s="4">
        <v>180</v>
      </c>
      <c r="H495" s="4" t="s">
        <v>1016</v>
      </c>
      <c r="I495" s="4">
        <v>12329.26</v>
      </c>
      <c r="J495" s="4">
        <v>2219267.59</v>
      </c>
      <c r="K495" s="4" t="s">
        <v>60</v>
      </c>
      <c r="L495" s="4" t="s">
        <v>151</v>
      </c>
      <c r="M495" s="4">
        <v>878</v>
      </c>
    </row>
    <row r="496" spans="1:13" x14ac:dyDescent="0.3">
      <c r="A496" s="5" t="s">
        <v>1419</v>
      </c>
      <c r="B496" s="5" t="s">
        <v>1420</v>
      </c>
      <c r="C496" s="5">
        <v>28</v>
      </c>
      <c r="D496" s="5" t="s">
        <v>15</v>
      </c>
      <c r="E496" s="5">
        <v>1410000</v>
      </c>
      <c r="F496" s="35">
        <v>9.5000000000000001E-2</v>
      </c>
      <c r="G496" s="5">
        <v>120</v>
      </c>
      <c r="H496" s="5" t="s">
        <v>1421</v>
      </c>
      <c r="I496" s="5">
        <v>18245.060000000001</v>
      </c>
      <c r="J496" s="5">
        <v>2189406.67</v>
      </c>
      <c r="K496" s="5" t="s">
        <v>16</v>
      </c>
      <c r="L496" s="5" t="s">
        <v>56</v>
      </c>
      <c r="M496" s="5">
        <v>617</v>
      </c>
    </row>
    <row r="497" spans="1:13" x14ac:dyDescent="0.3">
      <c r="A497" s="4" t="s">
        <v>1422</v>
      </c>
      <c r="B497" s="4" t="s">
        <v>884</v>
      </c>
      <c r="C497" s="4">
        <v>49</v>
      </c>
      <c r="D497" s="4" t="s">
        <v>32</v>
      </c>
      <c r="E497" s="4">
        <v>460000</v>
      </c>
      <c r="F497" s="3">
        <v>0.09</v>
      </c>
      <c r="G497" s="4">
        <v>120</v>
      </c>
      <c r="H497" s="4" t="s">
        <v>676</v>
      </c>
      <c r="I497" s="4">
        <v>5827.09</v>
      </c>
      <c r="J497" s="4">
        <v>699250.27</v>
      </c>
      <c r="K497" s="4" t="s">
        <v>20</v>
      </c>
      <c r="L497" s="4" t="s">
        <v>136</v>
      </c>
      <c r="M497" s="4">
        <v>647</v>
      </c>
    </row>
    <row r="498" spans="1:13" x14ac:dyDescent="0.3">
      <c r="A498" s="5" t="s">
        <v>1423</v>
      </c>
      <c r="B498" s="5" t="s">
        <v>1424</v>
      </c>
      <c r="C498" s="5">
        <v>46</v>
      </c>
      <c r="D498" s="5" t="s">
        <v>15</v>
      </c>
      <c r="E498" s="5">
        <v>710000</v>
      </c>
      <c r="F498" s="35">
        <v>0.09</v>
      </c>
      <c r="G498" s="5">
        <v>12</v>
      </c>
      <c r="H498" s="5" t="s">
        <v>1425</v>
      </c>
      <c r="I498" s="5">
        <v>62090.55</v>
      </c>
      <c r="J498" s="5">
        <v>745086.58</v>
      </c>
      <c r="K498" s="5" t="s">
        <v>312</v>
      </c>
      <c r="L498" s="5" t="s">
        <v>191</v>
      </c>
      <c r="M498" s="5">
        <v>816</v>
      </c>
    </row>
    <row r="499" spans="1:13" x14ac:dyDescent="0.3">
      <c r="A499" s="4" t="s">
        <v>1426</v>
      </c>
      <c r="B499" s="4" t="s">
        <v>1427</v>
      </c>
      <c r="C499" s="4">
        <v>30</v>
      </c>
      <c r="D499" s="4" t="s">
        <v>23</v>
      </c>
      <c r="E499" s="4">
        <v>6470000</v>
      </c>
      <c r="F499" s="3">
        <v>0.13</v>
      </c>
      <c r="G499" s="4">
        <v>180</v>
      </c>
      <c r="H499" s="4" t="s">
        <v>1070</v>
      </c>
      <c r="I499" s="4">
        <v>81861.17</v>
      </c>
      <c r="J499" s="4">
        <v>14735010.279999999</v>
      </c>
      <c r="K499" s="4" t="s">
        <v>20</v>
      </c>
      <c r="L499" s="4" t="s">
        <v>222</v>
      </c>
      <c r="M499" s="4">
        <v>654</v>
      </c>
    </row>
    <row r="500" spans="1:13" x14ac:dyDescent="0.3">
      <c r="A500" s="5" t="s">
        <v>1428</v>
      </c>
      <c r="B500" s="5" t="s">
        <v>742</v>
      </c>
      <c r="C500" s="5">
        <v>46</v>
      </c>
      <c r="D500" s="5" t="s">
        <v>42</v>
      </c>
      <c r="E500" s="5">
        <v>1090000</v>
      </c>
      <c r="F500" s="35">
        <v>0.08</v>
      </c>
      <c r="G500" s="5">
        <v>36</v>
      </c>
      <c r="H500" s="5" t="s">
        <v>1429</v>
      </c>
      <c r="I500" s="5">
        <v>34156.639999999999</v>
      </c>
      <c r="J500" s="5">
        <v>1229638.98</v>
      </c>
      <c r="K500" s="5" t="s">
        <v>16</v>
      </c>
      <c r="L500" s="5" t="s">
        <v>147</v>
      </c>
      <c r="M500" s="5">
        <v>872</v>
      </c>
    </row>
    <row r="501" spans="1:13" x14ac:dyDescent="0.3">
      <c r="A501" s="4" t="s">
        <v>1430</v>
      </c>
      <c r="B501" s="4" t="s">
        <v>1206</v>
      </c>
      <c r="C501" s="4">
        <v>54</v>
      </c>
      <c r="D501" s="4" t="s">
        <v>42</v>
      </c>
      <c r="E501" s="4">
        <v>890000</v>
      </c>
      <c r="F501" s="3">
        <v>0.1</v>
      </c>
      <c r="G501" s="4">
        <v>240</v>
      </c>
      <c r="H501" s="4" t="s">
        <v>1431</v>
      </c>
      <c r="I501" s="4">
        <v>8588.69</v>
      </c>
      <c r="J501" s="4">
        <v>2061286.23</v>
      </c>
      <c r="K501" s="4" t="s">
        <v>60</v>
      </c>
      <c r="L501" s="4" t="s">
        <v>64</v>
      </c>
      <c r="M501" s="4">
        <v>672</v>
      </c>
    </row>
    <row r="502" spans="1:13" x14ac:dyDescent="0.3">
      <c r="A502" s="5" t="s">
        <v>1432</v>
      </c>
      <c r="B502" s="5" t="s">
        <v>1433</v>
      </c>
      <c r="C502" s="5">
        <v>61</v>
      </c>
      <c r="D502" s="5" t="s">
        <v>42</v>
      </c>
      <c r="E502" s="5">
        <v>1120000</v>
      </c>
      <c r="F502" s="35">
        <v>9.5000000000000001E-2</v>
      </c>
      <c r="G502" s="5">
        <v>48</v>
      </c>
      <c r="H502" s="5" t="s">
        <v>1434</v>
      </c>
      <c r="I502" s="5">
        <v>28137.91</v>
      </c>
      <c r="J502" s="5">
        <v>1350619.83</v>
      </c>
      <c r="K502" s="5" t="s">
        <v>20</v>
      </c>
      <c r="L502" s="5" t="s">
        <v>44</v>
      </c>
      <c r="M502" s="5">
        <v>578</v>
      </c>
    </row>
    <row r="503" spans="1:13" x14ac:dyDescent="0.3">
      <c r="A503" s="4" t="s">
        <v>1435</v>
      </c>
      <c r="B503" s="4" t="s">
        <v>1436</v>
      </c>
      <c r="C503" s="4">
        <v>27</v>
      </c>
      <c r="D503" s="4" t="s">
        <v>42</v>
      </c>
      <c r="E503" s="4">
        <v>1070000</v>
      </c>
      <c r="F503" s="3">
        <v>0.08</v>
      </c>
      <c r="G503" s="4">
        <v>36</v>
      </c>
      <c r="H503" s="4" t="s">
        <v>938</v>
      </c>
      <c r="I503" s="4">
        <v>33529.910000000003</v>
      </c>
      <c r="J503" s="4">
        <v>1207076.8</v>
      </c>
      <c r="K503" s="4" t="s">
        <v>312</v>
      </c>
      <c r="L503" s="4" t="s">
        <v>366</v>
      </c>
      <c r="M503" s="4">
        <v>686</v>
      </c>
    </row>
    <row r="504" spans="1:13" x14ac:dyDescent="0.3">
      <c r="A504" s="5" t="s">
        <v>1437</v>
      </c>
      <c r="B504" s="5" t="s">
        <v>1438</v>
      </c>
      <c r="C504" s="5">
        <v>24</v>
      </c>
      <c r="D504" s="5" t="s">
        <v>23</v>
      </c>
      <c r="E504" s="5">
        <v>2910000</v>
      </c>
      <c r="F504" s="35">
        <v>0.13</v>
      </c>
      <c r="G504" s="5">
        <v>120</v>
      </c>
      <c r="H504" s="5" t="s">
        <v>1439</v>
      </c>
      <c r="I504" s="5">
        <v>43449.43</v>
      </c>
      <c r="J504" s="5">
        <v>5213931.04</v>
      </c>
      <c r="K504" s="5" t="s">
        <v>16</v>
      </c>
      <c r="L504" s="5" t="s">
        <v>143</v>
      </c>
      <c r="M504" s="5">
        <v>744</v>
      </c>
    </row>
    <row r="505" spans="1:13" x14ac:dyDescent="0.3">
      <c r="A505" s="4" t="s">
        <v>1440</v>
      </c>
      <c r="B505" s="4" t="s">
        <v>1441</v>
      </c>
      <c r="C505" s="4">
        <v>31</v>
      </c>
      <c r="D505" s="4" t="s">
        <v>27</v>
      </c>
      <c r="E505" s="4">
        <v>690000</v>
      </c>
      <c r="F505" s="3">
        <v>7.4999999999999997E-2</v>
      </c>
      <c r="G505" s="4">
        <v>240</v>
      </c>
      <c r="H505" s="4" t="s">
        <v>1442</v>
      </c>
      <c r="I505" s="4">
        <v>5558.59</v>
      </c>
      <c r="J505" s="4">
        <v>1334062.33</v>
      </c>
      <c r="K505" s="4" t="s">
        <v>60</v>
      </c>
      <c r="L505" s="4" t="s">
        <v>39</v>
      </c>
      <c r="M505" s="4">
        <v>775</v>
      </c>
    </row>
    <row r="506" spans="1:13" x14ac:dyDescent="0.3">
      <c r="A506" s="5" t="s">
        <v>1443</v>
      </c>
      <c r="B506" s="5" t="s">
        <v>41</v>
      </c>
      <c r="C506" s="5">
        <v>49</v>
      </c>
      <c r="D506" s="5" t="s">
        <v>37</v>
      </c>
      <c r="E506" s="5">
        <v>2180000</v>
      </c>
      <c r="F506" s="35">
        <v>7.4999999999999997E-2</v>
      </c>
      <c r="G506" s="5">
        <v>60</v>
      </c>
      <c r="H506" s="5" t="s">
        <v>1444</v>
      </c>
      <c r="I506" s="5">
        <v>43682.73</v>
      </c>
      <c r="J506" s="5">
        <v>2620963.6800000002</v>
      </c>
      <c r="K506" s="5" t="s">
        <v>60</v>
      </c>
      <c r="L506" s="5" t="s">
        <v>147</v>
      </c>
      <c r="M506" s="5">
        <v>881</v>
      </c>
    </row>
    <row r="507" spans="1:13" x14ac:dyDescent="0.3">
      <c r="A507" s="4" t="s">
        <v>1445</v>
      </c>
      <c r="B507" s="4" t="s">
        <v>1189</v>
      </c>
      <c r="C507" s="4">
        <v>56</v>
      </c>
      <c r="D507" s="4" t="s">
        <v>23</v>
      </c>
      <c r="E507" s="4">
        <v>4020000</v>
      </c>
      <c r="F507" s="3">
        <v>0.105</v>
      </c>
      <c r="G507" s="4">
        <v>36</v>
      </c>
      <c r="H507" s="4" t="s">
        <v>1446</v>
      </c>
      <c r="I507" s="4">
        <v>130659.82</v>
      </c>
      <c r="J507" s="4">
        <v>4703753.62</v>
      </c>
      <c r="K507" s="4" t="s">
        <v>16</v>
      </c>
      <c r="L507" s="4" t="s">
        <v>136</v>
      </c>
      <c r="M507" s="4">
        <v>719</v>
      </c>
    </row>
    <row r="508" spans="1:13" x14ac:dyDescent="0.3">
      <c r="A508" s="5" t="s">
        <v>1447</v>
      </c>
      <c r="B508" s="5" t="s">
        <v>1448</v>
      </c>
      <c r="C508" s="5">
        <v>45</v>
      </c>
      <c r="D508" s="5" t="s">
        <v>27</v>
      </c>
      <c r="E508" s="5">
        <v>810000</v>
      </c>
      <c r="F508" s="35">
        <v>0.11</v>
      </c>
      <c r="G508" s="5">
        <v>60</v>
      </c>
      <c r="H508" s="5" t="s">
        <v>1449</v>
      </c>
      <c r="I508" s="5">
        <v>17611.36</v>
      </c>
      <c r="J508" s="5">
        <v>1056681.76</v>
      </c>
      <c r="K508" s="5" t="s">
        <v>16</v>
      </c>
      <c r="L508" s="5" t="s">
        <v>316</v>
      </c>
      <c r="M508" s="5">
        <v>558</v>
      </c>
    </row>
    <row r="509" spans="1:13" x14ac:dyDescent="0.3">
      <c r="A509" s="4" t="s">
        <v>1450</v>
      </c>
      <c r="B509" s="4" t="s">
        <v>1451</v>
      </c>
      <c r="C509" s="4">
        <v>41</v>
      </c>
      <c r="D509" s="4" t="s">
        <v>18</v>
      </c>
      <c r="E509" s="4">
        <v>1810000</v>
      </c>
      <c r="F509" s="3">
        <v>0.13</v>
      </c>
      <c r="G509" s="4">
        <v>84</v>
      </c>
      <c r="H509" s="4" t="s">
        <v>1452</v>
      </c>
      <c r="I509" s="4">
        <v>32927.449999999997</v>
      </c>
      <c r="J509" s="4">
        <v>2765906.11</v>
      </c>
      <c r="K509" s="4" t="s">
        <v>16</v>
      </c>
      <c r="L509" s="4" t="s">
        <v>147</v>
      </c>
      <c r="M509" s="4">
        <v>589</v>
      </c>
    </row>
    <row r="510" spans="1:13" x14ac:dyDescent="0.3">
      <c r="A510" s="5" t="s">
        <v>1453</v>
      </c>
      <c r="B510" s="5" t="s">
        <v>959</v>
      </c>
      <c r="C510" s="5">
        <v>56</v>
      </c>
      <c r="D510" s="5" t="s">
        <v>32</v>
      </c>
      <c r="E510" s="5">
        <v>340000</v>
      </c>
      <c r="F510" s="35">
        <v>0.105</v>
      </c>
      <c r="G510" s="5">
        <v>12</v>
      </c>
      <c r="H510" s="5" t="s">
        <v>1454</v>
      </c>
      <c r="I510" s="5">
        <v>29970.52</v>
      </c>
      <c r="J510" s="5">
        <v>359646.3</v>
      </c>
      <c r="K510" s="5" t="s">
        <v>20</v>
      </c>
      <c r="L510" s="5" t="s">
        <v>249</v>
      </c>
      <c r="M510" s="5">
        <v>574</v>
      </c>
    </row>
    <row r="511" spans="1:13" x14ac:dyDescent="0.3">
      <c r="A511" s="4" t="s">
        <v>1455</v>
      </c>
      <c r="B511" s="4" t="s">
        <v>1456</v>
      </c>
      <c r="C511" s="4">
        <v>30</v>
      </c>
      <c r="D511" s="4" t="s">
        <v>27</v>
      </c>
      <c r="E511" s="4">
        <v>130000</v>
      </c>
      <c r="F511" s="3">
        <v>8.5000000000000006E-2</v>
      </c>
      <c r="G511" s="4">
        <v>240</v>
      </c>
      <c r="H511" s="4" t="s">
        <v>1457</v>
      </c>
      <c r="I511" s="4">
        <v>1128.17</v>
      </c>
      <c r="J511" s="4">
        <v>270760.84999999998</v>
      </c>
      <c r="K511" s="4" t="s">
        <v>16</v>
      </c>
      <c r="L511" s="4" t="s">
        <v>44</v>
      </c>
      <c r="M511" s="4">
        <v>810</v>
      </c>
    </row>
    <row r="512" spans="1:13" x14ac:dyDescent="0.3">
      <c r="A512" s="5" t="s">
        <v>1458</v>
      </c>
      <c r="B512" s="5" t="s">
        <v>1459</v>
      </c>
      <c r="C512" s="5">
        <v>57</v>
      </c>
      <c r="D512" s="5" t="s">
        <v>32</v>
      </c>
      <c r="E512" s="5">
        <v>430000</v>
      </c>
      <c r="F512" s="35">
        <v>0.105</v>
      </c>
      <c r="G512" s="5">
        <v>240</v>
      </c>
      <c r="H512" s="5" t="s">
        <v>380</v>
      </c>
      <c r="I512" s="5">
        <v>4293.03</v>
      </c>
      <c r="J512" s="5">
        <v>1030328.04</v>
      </c>
      <c r="K512" s="5" t="s">
        <v>20</v>
      </c>
      <c r="L512" s="5" t="s">
        <v>90</v>
      </c>
      <c r="M512" s="5">
        <v>775</v>
      </c>
    </row>
    <row r="513" spans="1:13" x14ac:dyDescent="0.3">
      <c r="A513" s="4" t="s">
        <v>1460</v>
      </c>
      <c r="B513" s="4" t="s">
        <v>1461</v>
      </c>
      <c r="C513" s="4">
        <v>29</v>
      </c>
      <c r="D513" s="4" t="s">
        <v>18</v>
      </c>
      <c r="E513" s="4">
        <v>1170000</v>
      </c>
      <c r="F513" s="3">
        <v>0.11</v>
      </c>
      <c r="G513" s="4">
        <v>36</v>
      </c>
      <c r="H513" s="4" t="s">
        <v>1462</v>
      </c>
      <c r="I513" s="4">
        <v>38304.300000000003</v>
      </c>
      <c r="J513" s="4">
        <v>1378954.76</v>
      </c>
      <c r="K513" s="4" t="s">
        <v>20</v>
      </c>
      <c r="L513" s="4" t="s">
        <v>205</v>
      </c>
      <c r="M513" s="4">
        <v>673</v>
      </c>
    </row>
    <row r="514" spans="1:13" x14ac:dyDescent="0.3">
      <c r="A514" s="5" t="s">
        <v>1463</v>
      </c>
      <c r="B514" s="5" t="s">
        <v>182</v>
      </c>
      <c r="C514" s="5">
        <v>44</v>
      </c>
      <c r="D514" s="5" t="s">
        <v>27</v>
      </c>
      <c r="E514" s="5">
        <v>840000</v>
      </c>
      <c r="F514" s="35">
        <v>0.105</v>
      </c>
      <c r="G514" s="5">
        <v>24</v>
      </c>
      <c r="H514" s="5" t="s">
        <v>1464</v>
      </c>
      <c r="I514" s="5">
        <v>38955.870000000003</v>
      </c>
      <c r="J514" s="5">
        <v>934941</v>
      </c>
      <c r="K514" s="5" t="s">
        <v>20</v>
      </c>
      <c r="L514" s="5" t="s">
        <v>205</v>
      </c>
      <c r="M514" s="5">
        <v>587</v>
      </c>
    </row>
    <row r="515" spans="1:13" x14ac:dyDescent="0.3">
      <c r="A515" s="4" t="s">
        <v>1465</v>
      </c>
      <c r="B515" s="4" t="s">
        <v>1466</v>
      </c>
      <c r="C515" s="4">
        <v>55</v>
      </c>
      <c r="D515" s="4" t="s">
        <v>42</v>
      </c>
      <c r="E515" s="4">
        <v>740000</v>
      </c>
      <c r="F515" s="3">
        <v>0.1</v>
      </c>
      <c r="G515" s="4">
        <v>12</v>
      </c>
      <c r="H515" s="4" t="s">
        <v>1467</v>
      </c>
      <c r="I515" s="4">
        <v>65057.760000000002</v>
      </c>
      <c r="J515" s="4">
        <v>780693.08</v>
      </c>
      <c r="K515" s="4" t="s">
        <v>20</v>
      </c>
      <c r="L515" s="4" t="s">
        <v>64</v>
      </c>
      <c r="M515" s="4">
        <v>877</v>
      </c>
    </row>
    <row r="516" spans="1:13" x14ac:dyDescent="0.3">
      <c r="A516" s="5" t="s">
        <v>1468</v>
      </c>
      <c r="B516" s="5" t="s">
        <v>1469</v>
      </c>
      <c r="C516" s="5">
        <v>55</v>
      </c>
      <c r="D516" s="5" t="s">
        <v>23</v>
      </c>
      <c r="E516" s="5">
        <v>8360000</v>
      </c>
      <c r="F516" s="35">
        <v>0.115</v>
      </c>
      <c r="G516" s="5">
        <v>12</v>
      </c>
      <c r="H516" s="5" t="s">
        <v>1470</v>
      </c>
      <c r="I516" s="5">
        <v>740821.85</v>
      </c>
      <c r="J516" s="5">
        <v>8889862.1999999993</v>
      </c>
      <c r="K516" s="5" t="s">
        <v>16</v>
      </c>
      <c r="L516" s="5" t="s">
        <v>226</v>
      </c>
      <c r="M516" s="5">
        <v>800</v>
      </c>
    </row>
    <row r="517" spans="1:13" x14ac:dyDescent="0.3">
      <c r="A517" s="4" t="s">
        <v>1471</v>
      </c>
      <c r="B517" s="4" t="s">
        <v>1472</v>
      </c>
      <c r="C517" s="4">
        <v>56</v>
      </c>
      <c r="D517" s="4" t="s">
        <v>18</v>
      </c>
      <c r="E517" s="4">
        <v>1870000</v>
      </c>
      <c r="F517" s="3">
        <v>0.105</v>
      </c>
      <c r="G517" s="4">
        <v>120</v>
      </c>
      <c r="H517" s="4" t="s">
        <v>1473</v>
      </c>
      <c r="I517" s="4">
        <v>25232.84</v>
      </c>
      <c r="J517" s="4">
        <v>3027941.33</v>
      </c>
      <c r="K517" s="4" t="s">
        <v>16</v>
      </c>
      <c r="L517" s="4" t="s">
        <v>56</v>
      </c>
      <c r="M517" s="4">
        <v>725</v>
      </c>
    </row>
    <row r="518" spans="1:13" x14ac:dyDescent="0.3">
      <c r="A518" s="5" t="s">
        <v>1474</v>
      </c>
      <c r="B518" s="5" t="s">
        <v>1475</v>
      </c>
      <c r="C518" s="5">
        <v>38</v>
      </c>
      <c r="D518" s="5" t="s">
        <v>27</v>
      </c>
      <c r="E518" s="5">
        <v>410000</v>
      </c>
      <c r="F518" s="35">
        <v>0.08</v>
      </c>
      <c r="G518" s="5">
        <v>240</v>
      </c>
      <c r="H518" s="5" t="s">
        <v>1476</v>
      </c>
      <c r="I518" s="5">
        <v>3429.4</v>
      </c>
      <c r="J518" s="5">
        <v>823057.03</v>
      </c>
      <c r="K518" s="5" t="s">
        <v>20</v>
      </c>
      <c r="L518" s="5" t="s">
        <v>366</v>
      </c>
      <c r="M518" s="5">
        <v>639</v>
      </c>
    </row>
    <row r="519" spans="1:13" x14ac:dyDescent="0.3">
      <c r="A519" s="4" t="s">
        <v>1477</v>
      </c>
      <c r="B519" s="4" t="s">
        <v>1478</v>
      </c>
      <c r="C519" s="4">
        <v>59</v>
      </c>
      <c r="D519" s="4" t="s">
        <v>37</v>
      </c>
      <c r="E519" s="4">
        <v>1080000</v>
      </c>
      <c r="F519" s="3">
        <v>0.11</v>
      </c>
      <c r="G519" s="4">
        <v>240</v>
      </c>
      <c r="H519" s="4" t="s">
        <v>1479</v>
      </c>
      <c r="I519" s="4">
        <v>11147.63</v>
      </c>
      <c r="J519" s="4">
        <v>2675432.31</v>
      </c>
      <c r="K519" s="4" t="s">
        <v>16</v>
      </c>
      <c r="L519" s="4" t="s">
        <v>25</v>
      </c>
      <c r="M519" s="4">
        <v>586</v>
      </c>
    </row>
    <row r="520" spans="1:13" x14ac:dyDescent="0.3">
      <c r="A520" s="5" t="s">
        <v>1480</v>
      </c>
      <c r="B520" s="5" t="s">
        <v>1481</v>
      </c>
      <c r="C520" s="5">
        <v>52</v>
      </c>
      <c r="D520" s="5" t="s">
        <v>37</v>
      </c>
      <c r="E520" s="5">
        <v>3930000</v>
      </c>
      <c r="F520" s="35">
        <v>0.12</v>
      </c>
      <c r="G520" s="5">
        <v>24</v>
      </c>
      <c r="H520" s="5" t="s">
        <v>535</v>
      </c>
      <c r="I520" s="5">
        <v>184998.75</v>
      </c>
      <c r="J520" s="5">
        <v>4439969.9000000004</v>
      </c>
      <c r="K520" s="5" t="s">
        <v>20</v>
      </c>
      <c r="L520" s="5" t="s">
        <v>222</v>
      </c>
      <c r="M520" s="5">
        <v>865</v>
      </c>
    </row>
    <row r="521" spans="1:13" x14ac:dyDescent="0.3">
      <c r="A521" s="4" t="s">
        <v>1482</v>
      </c>
      <c r="B521" s="4" t="s">
        <v>1388</v>
      </c>
      <c r="C521" s="4">
        <v>44</v>
      </c>
      <c r="D521" s="4" t="s">
        <v>15</v>
      </c>
      <c r="E521" s="4">
        <v>1610000</v>
      </c>
      <c r="F521" s="3">
        <v>0.125</v>
      </c>
      <c r="G521" s="4">
        <v>60</v>
      </c>
      <c r="H521" s="4" t="s">
        <v>1483</v>
      </c>
      <c r="I521" s="4">
        <v>36221.68</v>
      </c>
      <c r="J521" s="4">
        <v>2173300.83</v>
      </c>
      <c r="K521" s="4" t="s">
        <v>20</v>
      </c>
      <c r="L521" s="4" t="s">
        <v>226</v>
      </c>
      <c r="M521" s="4">
        <v>725</v>
      </c>
    </row>
    <row r="522" spans="1:13" x14ac:dyDescent="0.3">
      <c r="A522" s="5" t="s">
        <v>1484</v>
      </c>
      <c r="B522" s="5" t="s">
        <v>1485</v>
      </c>
      <c r="C522" s="5">
        <v>43</v>
      </c>
      <c r="D522" s="5" t="s">
        <v>27</v>
      </c>
      <c r="E522" s="5">
        <v>620000</v>
      </c>
      <c r="F522" s="35">
        <v>0.125</v>
      </c>
      <c r="G522" s="5">
        <v>48</v>
      </c>
      <c r="H522" s="5" t="s">
        <v>876</v>
      </c>
      <c r="I522" s="5">
        <v>16479.599999999999</v>
      </c>
      <c r="J522" s="5">
        <v>791020.77</v>
      </c>
      <c r="K522" s="5" t="s">
        <v>20</v>
      </c>
      <c r="L522" s="5" t="s">
        <v>326</v>
      </c>
      <c r="M522" s="5">
        <v>833</v>
      </c>
    </row>
    <row r="523" spans="1:13" x14ac:dyDescent="0.3">
      <c r="A523" s="4" t="s">
        <v>1486</v>
      </c>
      <c r="B523" s="4" t="s">
        <v>1487</v>
      </c>
      <c r="C523" s="4">
        <v>52</v>
      </c>
      <c r="D523" s="4" t="s">
        <v>23</v>
      </c>
      <c r="E523" s="4">
        <v>3340000</v>
      </c>
      <c r="F523" s="3">
        <v>0.09</v>
      </c>
      <c r="G523" s="4">
        <v>84</v>
      </c>
      <c r="H523" s="4" t="s">
        <v>1488</v>
      </c>
      <c r="I523" s="4">
        <v>53737.52</v>
      </c>
      <c r="J523" s="4">
        <v>4513951.8</v>
      </c>
      <c r="K523" s="4" t="s">
        <v>16</v>
      </c>
      <c r="L523" s="4" t="s">
        <v>75</v>
      </c>
      <c r="M523" s="4">
        <v>630</v>
      </c>
    </row>
    <row r="524" spans="1:13" x14ac:dyDescent="0.3">
      <c r="A524" s="5" t="s">
        <v>1489</v>
      </c>
      <c r="B524" s="5" t="s">
        <v>110</v>
      </c>
      <c r="C524" s="5">
        <v>57</v>
      </c>
      <c r="D524" s="5" t="s">
        <v>42</v>
      </c>
      <c r="E524" s="5">
        <v>940000</v>
      </c>
      <c r="F524" s="35">
        <v>8.5000000000000006E-2</v>
      </c>
      <c r="G524" s="5">
        <v>48</v>
      </c>
      <c r="H524" s="5" t="s">
        <v>1490</v>
      </c>
      <c r="I524" s="5">
        <v>23169.41</v>
      </c>
      <c r="J524" s="5">
        <v>1112131.45</v>
      </c>
      <c r="K524" s="5" t="s">
        <v>16</v>
      </c>
      <c r="L524" s="5" t="s">
        <v>205</v>
      </c>
      <c r="M524" s="5">
        <v>663</v>
      </c>
    </row>
    <row r="525" spans="1:13" x14ac:dyDescent="0.3">
      <c r="A525" s="4" t="s">
        <v>1491</v>
      </c>
      <c r="B525" s="4" t="s">
        <v>1492</v>
      </c>
      <c r="C525" s="4">
        <v>32</v>
      </c>
      <c r="D525" s="4" t="s">
        <v>15</v>
      </c>
      <c r="E525" s="4">
        <v>710000</v>
      </c>
      <c r="F525" s="3">
        <v>0.11</v>
      </c>
      <c r="G525" s="4">
        <v>120</v>
      </c>
      <c r="H525" s="4" t="s">
        <v>1493</v>
      </c>
      <c r="I525" s="4">
        <v>9780.25</v>
      </c>
      <c r="J525" s="4">
        <v>1173630.1000000001</v>
      </c>
      <c r="K525" s="4" t="s">
        <v>16</v>
      </c>
      <c r="L525" s="4" t="s">
        <v>159</v>
      </c>
      <c r="M525" s="4">
        <v>589</v>
      </c>
    </row>
    <row r="526" spans="1:13" x14ac:dyDescent="0.3">
      <c r="A526" s="5" t="s">
        <v>1494</v>
      </c>
      <c r="B526" s="5" t="s">
        <v>1495</v>
      </c>
      <c r="C526" s="5">
        <v>33</v>
      </c>
      <c r="D526" s="5" t="s">
        <v>27</v>
      </c>
      <c r="E526" s="5">
        <v>360000</v>
      </c>
      <c r="F526" s="35">
        <v>0.08</v>
      </c>
      <c r="G526" s="5">
        <v>240</v>
      </c>
      <c r="H526" s="5" t="s">
        <v>968</v>
      </c>
      <c r="I526" s="5">
        <v>3011.18</v>
      </c>
      <c r="J526" s="5">
        <v>722684.22</v>
      </c>
      <c r="K526" s="5" t="s">
        <v>16</v>
      </c>
      <c r="L526" s="5" t="s">
        <v>136</v>
      </c>
      <c r="M526" s="5">
        <v>850</v>
      </c>
    </row>
    <row r="527" spans="1:13" x14ac:dyDescent="0.3">
      <c r="A527" s="4" t="s">
        <v>1496</v>
      </c>
      <c r="B527" s="4" t="s">
        <v>1427</v>
      </c>
      <c r="C527" s="4">
        <v>43</v>
      </c>
      <c r="D527" s="4" t="s">
        <v>42</v>
      </c>
      <c r="E527" s="4">
        <v>620000</v>
      </c>
      <c r="F527" s="3">
        <v>7.4999999999999997E-2</v>
      </c>
      <c r="G527" s="4">
        <v>36</v>
      </c>
      <c r="H527" s="4" t="s">
        <v>1497</v>
      </c>
      <c r="I527" s="4">
        <v>19285.86</v>
      </c>
      <c r="J527" s="4">
        <v>694290.79</v>
      </c>
      <c r="K527" s="4" t="s">
        <v>16</v>
      </c>
      <c r="L527" s="4" t="s">
        <v>212</v>
      </c>
      <c r="M527" s="4">
        <v>773</v>
      </c>
    </row>
    <row r="528" spans="1:13" x14ac:dyDescent="0.3">
      <c r="A528" s="5" t="s">
        <v>1498</v>
      </c>
      <c r="B528" s="5" t="s">
        <v>1499</v>
      </c>
      <c r="C528" s="5">
        <v>45</v>
      </c>
      <c r="D528" s="5" t="s">
        <v>23</v>
      </c>
      <c r="E528" s="5">
        <v>8100000</v>
      </c>
      <c r="F528" s="35">
        <v>9.5000000000000001E-2</v>
      </c>
      <c r="G528" s="5">
        <v>36</v>
      </c>
      <c r="H528" s="5" t="s">
        <v>565</v>
      </c>
      <c r="I528" s="5">
        <v>259466.89</v>
      </c>
      <c r="J528" s="5">
        <v>9340808.1400000006</v>
      </c>
      <c r="K528" s="5" t="s">
        <v>16</v>
      </c>
      <c r="L528" s="5" t="s">
        <v>44</v>
      </c>
      <c r="M528" s="5">
        <v>867</v>
      </c>
    </row>
    <row r="529" spans="1:13" x14ac:dyDescent="0.3">
      <c r="A529" s="4" t="s">
        <v>1500</v>
      </c>
      <c r="B529" s="4" t="s">
        <v>745</v>
      </c>
      <c r="C529" s="4">
        <v>55</v>
      </c>
      <c r="D529" s="4" t="s">
        <v>23</v>
      </c>
      <c r="E529" s="4">
        <v>7320000</v>
      </c>
      <c r="F529" s="3">
        <v>7.4999999999999997E-2</v>
      </c>
      <c r="G529" s="4">
        <v>36</v>
      </c>
      <c r="H529" s="4" t="s">
        <v>1501</v>
      </c>
      <c r="I529" s="4">
        <v>227697.52</v>
      </c>
      <c r="J529" s="4">
        <v>8197110.6100000003</v>
      </c>
      <c r="K529" s="4" t="s">
        <v>16</v>
      </c>
      <c r="L529" s="4" t="s">
        <v>68</v>
      </c>
      <c r="M529" s="4">
        <v>898</v>
      </c>
    </row>
    <row r="530" spans="1:13" x14ac:dyDescent="0.3">
      <c r="A530" s="5" t="s">
        <v>1502</v>
      </c>
      <c r="B530" s="5" t="s">
        <v>1503</v>
      </c>
      <c r="C530" s="5">
        <v>61</v>
      </c>
      <c r="D530" s="5" t="s">
        <v>15</v>
      </c>
      <c r="E530" s="5">
        <v>360000</v>
      </c>
      <c r="F530" s="35">
        <v>0.1</v>
      </c>
      <c r="G530" s="5">
        <v>48</v>
      </c>
      <c r="H530" s="5" t="s">
        <v>618</v>
      </c>
      <c r="I530" s="5">
        <v>9130.5300000000007</v>
      </c>
      <c r="J530" s="5">
        <v>438265.44</v>
      </c>
      <c r="K530" s="5" t="s">
        <v>16</v>
      </c>
      <c r="L530" s="5" t="s">
        <v>316</v>
      </c>
      <c r="M530" s="5">
        <v>664</v>
      </c>
    </row>
    <row r="531" spans="1:13" x14ac:dyDescent="0.3">
      <c r="A531" s="4" t="s">
        <v>1504</v>
      </c>
      <c r="B531" s="4" t="s">
        <v>1505</v>
      </c>
      <c r="C531" s="4">
        <v>50</v>
      </c>
      <c r="D531" s="4" t="s">
        <v>15</v>
      </c>
      <c r="E531" s="4">
        <v>1140000</v>
      </c>
      <c r="F531" s="3">
        <v>9.5000000000000001E-2</v>
      </c>
      <c r="G531" s="4">
        <v>60</v>
      </c>
      <c r="H531" s="4" t="s">
        <v>1506</v>
      </c>
      <c r="I531" s="4">
        <v>23942.12</v>
      </c>
      <c r="J531" s="4">
        <v>1436527.31</v>
      </c>
      <c r="K531" s="4" t="s">
        <v>16</v>
      </c>
      <c r="L531" s="4" t="s">
        <v>326</v>
      </c>
      <c r="M531" s="4">
        <v>735</v>
      </c>
    </row>
    <row r="532" spans="1:13" x14ac:dyDescent="0.3">
      <c r="A532" s="5" t="s">
        <v>1507</v>
      </c>
      <c r="B532" s="5" t="s">
        <v>516</v>
      </c>
      <c r="C532" s="5">
        <v>37</v>
      </c>
      <c r="D532" s="5" t="s">
        <v>27</v>
      </c>
      <c r="E532" s="5">
        <v>730000</v>
      </c>
      <c r="F532" s="35">
        <v>0.08</v>
      </c>
      <c r="G532" s="5">
        <v>48</v>
      </c>
      <c r="H532" s="5" t="s">
        <v>1508</v>
      </c>
      <c r="I532" s="5">
        <v>17821.43</v>
      </c>
      <c r="J532" s="5">
        <v>855428.8</v>
      </c>
      <c r="K532" s="5" t="s">
        <v>60</v>
      </c>
      <c r="L532" s="5" t="s">
        <v>21</v>
      </c>
      <c r="M532" s="5">
        <v>872</v>
      </c>
    </row>
    <row r="533" spans="1:13" x14ac:dyDescent="0.3">
      <c r="A533" s="4" t="s">
        <v>1509</v>
      </c>
      <c r="B533" s="4" t="s">
        <v>647</v>
      </c>
      <c r="C533" s="4">
        <v>40</v>
      </c>
      <c r="D533" s="4" t="s">
        <v>42</v>
      </c>
      <c r="E533" s="4">
        <v>1310000</v>
      </c>
      <c r="F533" s="3">
        <v>0.08</v>
      </c>
      <c r="G533" s="4">
        <v>24</v>
      </c>
      <c r="H533" s="4" t="s">
        <v>1510</v>
      </c>
      <c r="I533" s="4">
        <v>59247.75</v>
      </c>
      <c r="J533" s="4">
        <v>1421946.04</v>
      </c>
      <c r="K533" s="4" t="s">
        <v>20</v>
      </c>
      <c r="L533" s="4" t="s">
        <v>90</v>
      </c>
      <c r="M533" s="4">
        <v>605</v>
      </c>
    </row>
    <row r="534" spans="1:13" x14ac:dyDescent="0.3">
      <c r="A534" s="5" t="s">
        <v>1511</v>
      </c>
      <c r="B534" s="5" t="s">
        <v>1512</v>
      </c>
      <c r="C534" s="5">
        <v>45</v>
      </c>
      <c r="D534" s="5" t="s">
        <v>18</v>
      </c>
      <c r="E534" s="5">
        <v>1420000</v>
      </c>
      <c r="F534" s="35">
        <v>0.1</v>
      </c>
      <c r="G534" s="5">
        <v>36</v>
      </c>
      <c r="H534" s="5" t="s">
        <v>1513</v>
      </c>
      <c r="I534" s="5">
        <v>45819.41</v>
      </c>
      <c r="J534" s="5">
        <v>1649498.61</v>
      </c>
      <c r="K534" s="5" t="s">
        <v>20</v>
      </c>
      <c r="L534" s="5" t="s">
        <v>366</v>
      </c>
      <c r="M534" s="5">
        <v>589</v>
      </c>
    </row>
    <row r="535" spans="1:13" x14ac:dyDescent="0.3">
      <c r="A535" s="4" t="s">
        <v>1514</v>
      </c>
      <c r="B535" s="4" t="s">
        <v>1515</v>
      </c>
      <c r="C535" s="4">
        <v>42</v>
      </c>
      <c r="D535" s="4" t="s">
        <v>37</v>
      </c>
      <c r="E535" s="4">
        <v>3860000</v>
      </c>
      <c r="F535" s="3">
        <v>8.5000000000000006E-2</v>
      </c>
      <c r="G535" s="4">
        <v>12</v>
      </c>
      <c r="H535" s="4" t="s">
        <v>1516</v>
      </c>
      <c r="I535" s="4">
        <v>336668.36</v>
      </c>
      <c r="J535" s="4">
        <v>4040020.32</v>
      </c>
      <c r="K535" s="4" t="s">
        <v>312</v>
      </c>
      <c r="L535" s="4" t="s">
        <v>86</v>
      </c>
      <c r="M535" s="4">
        <v>589</v>
      </c>
    </row>
    <row r="536" spans="1:13" x14ac:dyDescent="0.3">
      <c r="A536" s="5" t="s">
        <v>1517</v>
      </c>
      <c r="B536" s="5" t="s">
        <v>975</v>
      </c>
      <c r="C536" s="5">
        <v>33</v>
      </c>
      <c r="D536" s="5" t="s">
        <v>42</v>
      </c>
      <c r="E536" s="5">
        <v>1420000</v>
      </c>
      <c r="F536" s="35">
        <v>0.105</v>
      </c>
      <c r="G536" s="5">
        <v>240</v>
      </c>
      <c r="H536" s="5" t="s">
        <v>1518</v>
      </c>
      <c r="I536" s="5">
        <v>14176.99</v>
      </c>
      <c r="J536" s="5">
        <v>3402478.65</v>
      </c>
      <c r="K536" s="5" t="s">
        <v>20</v>
      </c>
      <c r="L536" s="5" t="s">
        <v>147</v>
      </c>
      <c r="M536" s="5">
        <v>896</v>
      </c>
    </row>
    <row r="537" spans="1:13" x14ac:dyDescent="0.3">
      <c r="A537" s="4" t="s">
        <v>1519</v>
      </c>
      <c r="B537" s="4" t="s">
        <v>1520</v>
      </c>
      <c r="C537" s="4">
        <v>39</v>
      </c>
      <c r="D537" s="4" t="s">
        <v>23</v>
      </c>
      <c r="E537" s="4">
        <v>9500000</v>
      </c>
      <c r="F537" s="3">
        <v>8.5000000000000006E-2</v>
      </c>
      <c r="G537" s="4">
        <v>180</v>
      </c>
      <c r="H537" s="4" t="s">
        <v>1521</v>
      </c>
      <c r="I537" s="4">
        <v>93550.26</v>
      </c>
      <c r="J537" s="4">
        <v>16839046.440000001</v>
      </c>
      <c r="K537" s="4" t="s">
        <v>20</v>
      </c>
      <c r="L537" s="4" t="s">
        <v>108</v>
      </c>
      <c r="M537" s="4">
        <v>786</v>
      </c>
    </row>
    <row r="538" spans="1:13" x14ac:dyDescent="0.3">
      <c r="A538" s="5" t="s">
        <v>1522</v>
      </c>
      <c r="B538" s="5" t="s">
        <v>1523</v>
      </c>
      <c r="C538" s="5">
        <v>56</v>
      </c>
      <c r="D538" s="5" t="s">
        <v>18</v>
      </c>
      <c r="E538" s="5">
        <v>1650000</v>
      </c>
      <c r="F538" s="35">
        <v>0.13</v>
      </c>
      <c r="G538" s="5">
        <v>240</v>
      </c>
      <c r="H538" s="5" t="s">
        <v>1524</v>
      </c>
      <c r="I538" s="5">
        <v>19331</v>
      </c>
      <c r="J538" s="5">
        <v>4639439.82</v>
      </c>
      <c r="K538" s="5" t="s">
        <v>16</v>
      </c>
      <c r="L538" s="5" t="s">
        <v>75</v>
      </c>
      <c r="M538" s="5">
        <v>838</v>
      </c>
    </row>
    <row r="539" spans="1:13" x14ac:dyDescent="0.3">
      <c r="A539" s="4" t="s">
        <v>1525</v>
      </c>
      <c r="B539" s="4" t="s">
        <v>1526</v>
      </c>
      <c r="C539" s="4">
        <v>32</v>
      </c>
      <c r="D539" s="4" t="s">
        <v>23</v>
      </c>
      <c r="E539" s="4">
        <v>8020000</v>
      </c>
      <c r="F539" s="3">
        <v>0.08</v>
      </c>
      <c r="G539" s="4">
        <v>24</v>
      </c>
      <c r="H539" s="4" t="s">
        <v>1493</v>
      </c>
      <c r="I539" s="4">
        <v>362722.88</v>
      </c>
      <c r="J539" s="4">
        <v>8705349.0600000005</v>
      </c>
      <c r="K539" s="4" t="s">
        <v>60</v>
      </c>
      <c r="L539" s="4" t="s">
        <v>119</v>
      </c>
      <c r="M539" s="4">
        <v>811</v>
      </c>
    </row>
    <row r="540" spans="1:13" x14ac:dyDescent="0.3">
      <c r="A540" s="5" t="s">
        <v>1527</v>
      </c>
      <c r="B540" s="5" t="s">
        <v>1311</v>
      </c>
      <c r="C540" s="5">
        <v>61</v>
      </c>
      <c r="D540" s="5" t="s">
        <v>18</v>
      </c>
      <c r="E540" s="5">
        <v>1340000</v>
      </c>
      <c r="F540" s="35">
        <v>0.115</v>
      </c>
      <c r="G540" s="5">
        <v>60</v>
      </c>
      <c r="H540" s="5" t="s">
        <v>1528</v>
      </c>
      <c r="I540" s="5">
        <v>29470.09</v>
      </c>
      <c r="J540" s="5">
        <v>1768205.63</v>
      </c>
      <c r="K540" s="5" t="s">
        <v>16</v>
      </c>
      <c r="L540" s="5" t="s">
        <v>52</v>
      </c>
      <c r="M540" s="5">
        <v>765</v>
      </c>
    </row>
    <row r="541" spans="1:13" x14ac:dyDescent="0.3">
      <c r="A541" s="4" t="s">
        <v>1529</v>
      </c>
      <c r="B541" s="4" t="s">
        <v>1530</v>
      </c>
      <c r="C541" s="4">
        <v>39</v>
      </c>
      <c r="D541" s="4" t="s">
        <v>27</v>
      </c>
      <c r="E541" s="4">
        <v>140000</v>
      </c>
      <c r="F541" s="3">
        <v>0.08</v>
      </c>
      <c r="G541" s="4">
        <v>24</v>
      </c>
      <c r="H541" s="4" t="s">
        <v>1531</v>
      </c>
      <c r="I541" s="4">
        <v>6331.82</v>
      </c>
      <c r="J541" s="4">
        <v>151963.70000000001</v>
      </c>
      <c r="K541" s="4" t="s">
        <v>20</v>
      </c>
      <c r="L541" s="4" t="s">
        <v>226</v>
      </c>
      <c r="M541" s="4">
        <v>696</v>
      </c>
    </row>
    <row r="542" spans="1:13" x14ac:dyDescent="0.3">
      <c r="A542" s="5" t="s">
        <v>1532</v>
      </c>
      <c r="B542" s="5" t="s">
        <v>728</v>
      </c>
      <c r="C542" s="5">
        <v>32</v>
      </c>
      <c r="D542" s="5" t="s">
        <v>37</v>
      </c>
      <c r="E542" s="5">
        <v>3520000</v>
      </c>
      <c r="F542" s="35">
        <v>0.1</v>
      </c>
      <c r="G542" s="5">
        <v>60</v>
      </c>
      <c r="H542" s="5" t="s">
        <v>1533</v>
      </c>
      <c r="I542" s="5">
        <v>74789.600000000006</v>
      </c>
      <c r="J542" s="5">
        <v>4487375.84</v>
      </c>
      <c r="K542" s="5" t="s">
        <v>60</v>
      </c>
      <c r="L542" s="5" t="s">
        <v>187</v>
      </c>
      <c r="M542" s="5">
        <v>885</v>
      </c>
    </row>
    <row r="543" spans="1:13" x14ac:dyDescent="0.3">
      <c r="A543" s="4" t="s">
        <v>1534</v>
      </c>
      <c r="B543" s="4" t="s">
        <v>1330</v>
      </c>
      <c r="C543" s="4">
        <v>29</v>
      </c>
      <c r="D543" s="4" t="s">
        <v>32</v>
      </c>
      <c r="E543" s="4">
        <v>420000</v>
      </c>
      <c r="F543" s="3">
        <v>0.12</v>
      </c>
      <c r="G543" s="4">
        <v>24</v>
      </c>
      <c r="H543" s="4" t="s">
        <v>1535</v>
      </c>
      <c r="I543" s="4">
        <v>19770.86</v>
      </c>
      <c r="J543" s="4">
        <v>474500.6</v>
      </c>
      <c r="K543" s="4" t="s">
        <v>20</v>
      </c>
      <c r="L543" s="4" t="s">
        <v>115</v>
      </c>
      <c r="M543" s="4">
        <v>717</v>
      </c>
    </row>
    <row r="544" spans="1:13" x14ac:dyDescent="0.3">
      <c r="A544" s="5" t="s">
        <v>1536</v>
      </c>
      <c r="B544" s="5" t="s">
        <v>1537</v>
      </c>
      <c r="C544" s="5">
        <v>27</v>
      </c>
      <c r="D544" s="5" t="s">
        <v>27</v>
      </c>
      <c r="E544" s="5">
        <v>950000</v>
      </c>
      <c r="F544" s="35">
        <v>0.12</v>
      </c>
      <c r="G544" s="5">
        <v>48</v>
      </c>
      <c r="H544" s="5" t="s">
        <v>382</v>
      </c>
      <c r="I544" s="5">
        <v>25017.14</v>
      </c>
      <c r="J544" s="5">
        <v>1200822.8999999999</v>
      </c>
      <c r="K544" s="5" t="s">
        <v>312</v>
      </c>
      <c r="L544" s="5" t="s">
        <v>52</v>
      </c>
      <c r="M544" s="5">
        <v>641</v>
      </c>
    </row>
    <row r="545" spans="1:13" x14ac:dyDescent="0.3">
      <c r="A545" s="4" t="s">
        <v>1538</v>
      </c>
      <c r="B545" s="4" t="s">
        <v>1539</v>
      </c>
      <c r="C545" s="4">
        <v>48</v>
      </c>
      <c r="D545" s="4" t="s">
        <v>23</v>
      </c>
      <c r="E545" s="4">
        <v>2430000</v>
      </c>
      <c r="F545" s="3">
        <v>0.11</v>
      </c>
      <c r="G545" s="4">
        <v>180</v>
      </c>
      <c r="H545" s="4" t="s">
        <v>579</v>
      </c>
      <c r="I545" s="4">
        <v>27619.31</v>
      </c>
      <c r="J545" s="4">
        <v>4971474.99</v>
      </c>
      <c r="K545" s="4" t="s">
        <v>60</v>
      </c>
      <c r="L545" s="4" t="s">
        <v>48</v>
      </c>
      <c r="M545" s="4">
        <v>608</v>
      </c>
    </row>
    <row r="546" spans="1:13" x14ac:dyDescent="0.3">
      <c r="A546" s="5" t="s">
        <v>1540</v>
      </c>
      <c r="B546" s="5" t="s">
        <v>1424</v>
      </c>
      <c r="C546" s="5">
        <v>34</v>
      </c>
      <c r="D546" s="5" t="s">
        <v>18</v>
      </c>
      <c r="E546" s="5">
        <v>430000</v>
      </c>
      <c r="F546" s="35">
        <v>0.13</v>
      </c>
      <c r="G546" s="5">
        <v>84</v>
      </c>
      <c r="H546" s="5" t="s">
        <v>1541</v>
      </c>
      <c r="I546" s="5">
        <v>7822.54</v>
      </c>
      <c r="J546" s="5">
        <v>657093.72</v>
      </c>
      <c r="K546" s="5" t="s">
        <v>20</v>
      </c>
      <c r="L546" s="5" t="s">
        <v>82</v>
      </c>
      <c r="M546" s="5">
        <v>608</v>
      </c>
    </row>
    <row r="547" spans="1:13" x14ac:dyDescent="0.3">
      <c r="A547" s="4" t="s">
        <v>1542</v>
      </c>
      <c r="B547" s="4" t="s">
        <v>438</v>
      </c>
      <c r="C547" s="4">
        <v>51</v>
      </c>
      <c r="D547" s="4" t="s">
        <v>23</v>
      </c>
      <c r="E547" s="4">
        <v>5160000</v>
      </c>
      <c r="F547" s="3">
        <v>7.4999999999999997E-2</v>
      </c>
      <c r="G547" s="4">
        <v>84</v>
      </c>
      <c r="H547" s="4" t="s">
        <v>1543</v>
      </c>
      <c r="I547" s="4">
        <v>79145.5</v>
      </c>
      <c r="J547" s="4">
        <v>6648222.29</v>
      </c>
      <c r="K547" s="4" t="s">
        <v>16</v>
      </c>
      <c r="L547" s="4" t="s">
        <v>29</v>
      </c>
      <c r="M547" s="4">
        <v>853</v>
      </c>
    </row>
    <row r="548" spans="1:13" x14ac:dyDescent="0.3">
      <c r="A548" s="5" t="s">
        <v>1544</v>
      </c>
      <c r="B548" s="5" t="s">
        <v>1545</v>
      </c>
      <c r="C548" s="5">
        <v>39</v>
      </c>
      <c r="D548" s="5" t="s">
        <v>42</v>
      </c>
      <c r="E548" s="5">
        <v>1040000</v>
      </c>
      <c r="F548" s="35">
        <v>0.105</v>
      </c>
      <c r="G548" s="5">
        <v>36</v>
      </c>
      <c r="H548" s="5" t="s">
        <v>218</v>
      </c>
      <c r="I548" s="5">
        <v>33802.54</v>
      </c>
      <c r="J548" s="5">
        <v>1216891.48</v>
      </c>
      <c r="K548" s="5" t="s">
        <v>16</v>
      </c>
      <c r="L548" s="5" t="s">
        <v>159</v>
      </c>
      <c r="M548" s="5">
        <v>718</v>
      </c>
    </row>
    <row r="549" spans="1:13" x14ac:dyDescent="0.3">
      <c r="A549" s="4" t="s">
        <v>1546</v>
      </c>
      <c r="B549" s="4" t="s">
        <v>1547</v>
      </c>
      <c r="C549" s="4">
        <v>36</v>
      </c>
      <c r="D549" s="4" t="s">
        <v>37</v>
      </c>
      <c r="E549" s="4">
        <v>1900000</v>
      </c>
      <c r="F549" s="3">
        <v>0.125</v>
      </c>
      <c r="G549" s="4">
        <v>48</v>
      </c>
      <c r="H549" s="4" t="s">
        <v>1548</v>
      </c>
      <c r="I549" s="4">
        <v>50502</v>
      </c>
      <c r="J549" s="4">
        <v>2424095.9</v>
      </c>
      <c r="K549" s="4" t="s">
        <v>60</v>
      </c>
      <c r="L549" s="4" t="s">
        <v>86</v>
      </c>
      <c r="M549" s="4">
        <v>818</v>
      </c>
    </row>
    <row r="550" spans="1:13" x14ac:dyDescent="0.3">
      <c r="A550" s="5" t="s">
        <v>1549</v>
      </c>
      <c r="B550" s="5" t="s">
        <v>1149</v>
      </c>
      <c r="C550" s="5">
        <v>25</v>
      </c>
      <c r="D550" s="5" t="s">
        <v>42</v>
      </c>
      <c r="E550" s="5">
        <v>390000</v>
      </c>
      <c r="F550" s="35">
        <v>8.5000000000000006E-2</v>
      </c>
      <c r="G550" s="5">
        <v>24</v>
      </c>
      <c r="H550" s="5" t="s">
        <v>1550</v>
      </c>
      <c r="I550" s="5">
        <v>17727.71</v>
      </c>
      <c r="J550" s="5">
        <v>425465.12</v>
      </c>
      <c r="K550" s="5" t="s">
        <v>20</v>
      </c>
      <c r="L550" s="5" t="s">
        <v>86</v>
      </c>
      <c r="M550" s="5">
        <v>594</v>
      </c>
    </row>
    <row r="551" spans="1:13" x14ac:dyDescent="0.3">
      <c r="A551" s="4" t="s">
        <v>1551</v>
      </c>
      <c r="B551" s="4" t="s">
        <v>1552</v>
      </c>
      <c r="C551" s="4">
        <v>55</v>
      </c>
      <c r="D551" s="4" t="s">
        <v>42</v>
      </c>
      <c r="E551" s="4">
        <v>1480000</v>
      </c>
      <c r="F551" s="3">
        <v>0.12</v>
      </c>
      <c r="G551" s="4">
        <v>60</v>
      </c>
      <c r="H551" s="4" t="s">
        <v>1553</v>
      </c>
      <c r="I551" s="4">
        <v>32921.78</v>
      </c>
      <c r="J551" s="4">
        <v>1975306.95</v>
      </c>
      <c r="K551" s="4" t="s">
        <v>60</v>
      </c>
      <c r="L551" s="4" t="s">
        <v>226</v>
      </c>
      <c r="M551" s="4">
        <v>894</v>
      </c>
    </row>
    <row r="552" spans="1:13" x14ac:dyDescent="0.3">
      <c r="A552" s="5" t="s">
        <v>1554</v>
      </c>
      <c r="B552" s="5" t="s">
        <v>1241</v>
      </c>
      <c r="C552" s="5">
        <v>32</v>
      </c>
      <c r="D552" s="5" t="s">
        <v>27</v>
      </c>
      <c r="E552" s="5">
        <v>780000</v>
      </c>
      <c r="F552" s="35">
        <v>0.105</v>
      </c>
      <c r="G552" s="5">
        <v>24</v>
      </c>
      <c r="H552" s="5" t="s">
        <v>494</v>
      </c>
      <c r="I552" s="5">
        <v>36173.31</v>
      </c>
      <c r="J552" s="5">
        <v>868159.5</v>
      </c>
      <c r="K552" s="5" t="s">
        <v>16</v>
      </c>
      <c r="L552" s="5" t="s">
        <v>226</v>
      </c>
      <c r="M552" s="5">
        <v>730</v>
      </c>
    </row>
    <row r="553" spans="1:13" x14ac:dyDescent="0.3">
      <c r="A553" s="4" t="s">
        <v>1555</v>
      </c>
      <c r="B553" s="4" t="s">
        <v>1438</v>
      </c>
      <c r="C553" s="4">
        <v>45</v>
      </c>
      <c r="D553" s="4" t="s">
        <v>42</v>
      </c>
      <c r="E553" s="4">
        <v>1140000</v>
      </c>
      <c r="F553" s="3">
        <v>8.5000000000000006E-2</v>
      </c>
      <c r="G553" s="4">
        <v>48</v>
      </c>
      <c r="H553" s="4" t="s">
        <v>1556</v>
      </c>
      <c r="I553" s="4">
        <v>28099.07</v>
      </c>
      <c r="J553" s="4">
        <v>1348755.16</v>
      </c>
      <c r="K553" s="4" t="s">
        <v>16</v>
      </c>
      <c r="L553" s="4" t="s">
        <v>222</v>
      </c>
      <c r="M553" s="4">
        <v>719</v>
      </c>
    </row>
    <row r="554" spans="1:13" x14ac:dyDescent="0.3">
      <c r="A554" s="5" t="s">
        <v>1557</v>
      </c>
      <c r="B554" s="5" t="s">
        <v>1558</v>
      </c>
      <c r="C554" s="5">
        <v>41</v>
      </c>
      <c r="D554" s="5" t="s">
        <v>15</v>
      </c>
      <c r="E554" s="5">
        <v>1780000</v>
      </c>
      <c r="F554" s="35">
        <v>7.4999999999999997E-2</v>
      </c>
      <c r="G554" s="5">
        <v>84</v>
      </c>
      <c r="H554" s="5" t="s">
        <v>1559</v>
      </c>
      <c r="I554" s="5">
        <v>27302.13</v>
      </c>
      <c r="J554" s="5">
        <v>2293379.0099999998</v>
      </c>
      <c r="K554" s="5" t="s">
        <v>60</v>
      </c>
      <c r="L554" s="5" t="s">
        <v>136</v>
      </c>
      <c r="M554" s="5">
        <v>740</v>
      </c>
    </row>
    <row r="555" spans="1:13" x14ac:dyDescent="0.3">
      <c r="A555" s="4" t="s">
        <v>1560</v>
      </c>
      <c r="B555" s="4" t="s">
        <v>41</v>
      </c>
      <c r="C555" s="4">
        <v>56</v>
      </c>
      <c r="D555" s="4" t="s">
        <v>15</v>
      </c>
      <c r="E555" s="4">
        <v>900000</v>
      </c>
      <c r="F555" s="3">
        <v>0.08</v>
      </c>
      <c r="G555" s="4">
        <v>180</v>
      </c>
      <c r="H555" s="4" t="s">
        <v>1561</v>
      </c>
      <c r="I555" s="4">
        <v>8600.8700000000008</v>
      </c>
      <c r="J555" s="4">
        <v>1548156.38</v>
      </c>
      <c r="K555" s="4" t="s">
        <v>20</v>
      </c>
      <c r="L555" s="4" t="s">
        <v>90</v>
      </c>
      <c r="M555" s="4">
        <v>704</v>
      </c>
    </row>
    <row r="556" spans="1:13" x14ac:dyDescent="0.3">
      <c r="A556" s="5" t="s">
        <v>1562</v>
      </c>
      <c r="B556" s="5" t="s">
        <v>254</v>
      </c>
      <c r="C556" s="5">
        <v>43</v>
      </c>
      <c r="D556" s="5" t="s">
        <v>42</v>
      </c>
      <c r="E556" s="5">
        <v>1200000</v>
      </c>
      <c r="F556" s="35">
        <v>0.1</v>
      </c>
      <c r="G556" s="5">
        <v>180</v>
      </c>
      <c r="H556" s="5" t="s">
        <v>1563</v>
      </c>
      <c r="I556" s="5">
        <v>12895.26</v>
      </c>
      <c r="J556" s="5">
        <v>2321147.0499999998</v>
      </c>
      <c r="K556" s="5" t="s">
        <v>16</v>
      </c>
      <c r="L556" s="5" t="s">
        <v>90</v>
      </c>
      <c r="M556" s="5">
        <v>737</v>
      </c>
    </row>
    <row r="557" spans="1:13" x14ac:dyDescent="0.3">
      <c r="A557" s="4" t="s">
        <v>1564</v>
      </c>
      <c r="B557" s="4" t="s">
        <v>1565</v>
      </c>
      <c r="C557" s="4">
        <v>36</v>
      </c>
      <c r="D557" s="4" t="s">
        <v>37</v>
      </c>
      <c r="E557" s="4">
        <v>1390000</v>
      </c>
      <c r="F557" s="3">
        <v>0.09</v>
      </c>
      <c r="G557" s="4">
        <v>84</v>
      </c>
      <c r="H557" s="4" t="s">
        <v>1566</v>
      </c>
      <c r="I557" s="4">
        <v>22363.82</v>
      </c>
      <c r="J557" s="4">
        <v>1878560.78</v>
      </c>
      <c r="K557" s="4" t="s">
        <v>16</v>
      </c>
      <c r="L557" s="4" t="s">
        <v>316</v>
      </c>
      <c r="M557" s="4">
        <v>556</v>
      </c>
    </row>
    <row r="558" spans="1:13" x14ac:dyDescent="0.3">
      <c r="A558" s="5" t="s">
        <v>1567</v>
      </c>
      <c r="B558" s="5" t="s">
        <v>863</v>
      </c>
      <c r="C558" s="5">
        <v>59</v>
      </c>
      <c r="D558" s="5" t="s">
        <v>42</v>
      </c>
      <c r="E558" s="5">
        <v>320000</v>
      </c>
      <c r="F558" s="35">
        <v>0.09</v>
      </c>
      <c r="G558" s="5">
        <v>60</v>
      </c>
      <c r="H558" s="5" t="s">
        <v>1568</v>
      </c>
      <c r="I558" s="5">
        <v>6642.67</v>
      </c>
      <c r="J558" s="5">
        <v>398560.42</v>
      </c>
      <c r="K558" s="5" t="s">
        <v>16</v>
      </c>
      <c r="L558" s="5" t="s">
        <v>155</v>
      </c>
      <c r="M558" s="5">
        <v>682</v>
      </c>
    </row>
    <row r="559" spans="1:13" x14ac:dyDescent="0.3">
      <c r="A559" s="4" t="s">
        <v>1569</v>
      </c>
      <c r="B559" s="4" t="s">
        <v>851</v>
      </c>
      <c r="C559" s="4">
        <v>62</v>
      </c>
      <c r="D559" s="4" t="s">
        <v>23</v>
      </c>
      <c r="E559" s="4">
        <v>2650000</v>
      </c>
      <c r="F559" s="3">
        <v>0.105</v>
      </c>
      <c r="G559" s="4">
        <v>36</v>
      </c>
      <c r="H559" s="4" t="s">
        <v>1570</v>
      </c>
      <c r="I559" s="4">
        <v>86131.48</v>
      </c>
      <c r="J559" s="4">
        <v>3100733.11</v>
      </c>
      <c r="K559" s="4" t="s">
        <v>20</v>
      </c>
      <c r="L559" s="4" t="s">
        <v>159</v>
      </c>
      <c r="M559" s="4">
        <v>784</v>
      </c>
    </row>
    <row r="560" spans="1:13" x14ac:dyDescent="0.3">
      <c r="A560" s="5" t="s">
        <v>1571</v>
      </c>
      <c r="B560" s="5" t="s">
        <v>310</v>
      </c>
      <c r="C560" s="5">
        <v>59</v>
      </c>
      <c r="D560" s="5" t="s">
        <v>23</v>
      </c>
      <c r="E560" s="5">
        <v>5340000</v>
      </c>
      <c r="F560" s="35">
        <v>0.13</v>
      </c>
      <c r="G560" s="5">
        <v>84</v>
      </c>
      <c r="H560" s="5" t="s">
        <v>1572</v>
      </c>
      <c r="I560" s="5">
        <v>97145.08</v>
      </c>
      <c r="J560" s="5">
        <v>8160187.0800000001</v>
      </c>
      <c r="K560" s="5" t="s">
        <v>16</v>
      </c>
      <c r="L560" s="5" t="s">
        <v>326</v>
      </c>
      <c r="M560" s="5">
        <v>594</v>
      </c>
    </row>
    <row r="561" spans="1:13" x14ac:dyDescent="0.3">
      <c r="A561" s="4" t="s">
        <v>1573</v>
      </c>
      <c r="B561" s="4" t="s">
        <v>1574</v>
      </c>
      <c r="C561" s="4">
        <v>34</v>
      </c>
      <c r="D561" s="4" t="s">
        <v>37</v>
      </c>
      <c r="E561" s="4">
        <v>2360000</v>
      </c>
      <c r="F561" s="3">
        <v>0.115</v>
      </c>
      <c r="G561" s="4">
        <v>84</v>
      </c>
      <c r="H561" s="4" t="s">
        <v>976</v>
      </c>
      <c r="I561" s="4">
        <v>41032.050000000003</v>
      </c>
      <c r="J561" s="4">
        <v>3446691.99</v>
      </c>
      <c r="K561" s="4" t="s">
        <v>16</v>
      </c>
      <c r="L561" s="4" t="s">
        <v>34</v>
      </c>
      <c r="M561" s="4">
        <v>863</v>
      </c>
    </row>
    <row r="562" spans="1:13" x14ac:dyDescent="0.3">
      <c r="A562" s="5" t="s">
        <v>1575</v>
      </c>
      <c r="B562" s="5" t="s">
        <v>1576</v>
      </c>
      <c r="C562" s="5">
        <v>51</v>
      </c>
      <c r="D562" s="5" t="s">
        <v>27</v>
      </c>
      <c r="E562" s="5">
        <v>640000</v>
      </c>
      <c r="F562" s="35">
        <v>0.13</v>
      </c>
      <c r="G562" s="5">
        <v>120</v>
      </c>
      <c r="H562" s="5" t="s">
        <v>1577</v>
      </c>
      <c r="I562" s="5">
        <v>9555.89</v>
      </c>
      <c r="J562" s="5">
        <v>1146706.48</v>
      </c>
      <c r="K562" s="5" t="s">
        <v>16</v>
      </c>
      <c r="L562" s="5" t="s">
        <v>48</v>
      </c>
      <c r="M562" s="5">
        <v>798</v>
      </c>
    </row>
    <row r="563" spans="1:13" x14ac:dyDescent="0.3">
      <c r="A563" s="4" t="s">
        <v>1578</v>
      </c>
      <c r="B563" s="4" t="s">
        <v>1579</v>
      </c>
      <c r="C563" s="4">
        <v>25</v>
      </c>
      <c r="D563" s="4" t="s">
        <v>15</v>
      </c>
      <c r="E563" s="4">
        <v>1770000</v>
      </c>
      <c r="F563" s="3">
        <v>0.13</v>
      </c>
      <c r="G563" s="4">
        <v>36</v>
      </c>
      <c r="H563" s="4" t="s">
        <v>1580</v>
      </c>
      <c r="I563" s="4">
        <v>59638.3</v>
      </c>
      <c r="J563" s="4">
        <v>2146978.62</v>
      </c>
      <c r="K563" s="4" t="s">
        <v>312</v>
      </c>
      <c r="L563" s="4" t="s">
        <v>326</v>
      </c>
      <c r="M563" s="4">
        <v>580</v>
      </c>
    </row>
    <row r="564" spans="1:13" x14ac:dyDescent="0.3">
      <c r="A564" s="5" t="s">
        <v>1581</v>
      </c>
      <c r="B564" s="5" t="s">
        <v>1582</v>
      </c>
      <c r="C564" s="5">
        <v>55</v>
      </c>
      <c r="D564" s="5" t="s">
        <v>15</v>
      </c>
      <c r="E564" s="5">
        <v>1290000</v>
      </c>
      <c r="F564" s="35">
        <v>0.115</v>
      </c>
      <c r="G564" s="5">
        <v>12</v>
      </c>
      <c r="H564" s="5" t="s">
        <v>1583</v>
      </c>
      <c r="I564" s="5">
        <v>114313.42</v>
      </c>
      <c r="J564" s="5">
        <v>1371761.03</v>
      </c>
      <c r="K564" s="5" t="s">
        <v>16</v>
      </c>
      <c r="L564" s="5" t="s">
        <v>34</v>
      </c>
      <c r="M564" s="5">
        <v>572</v>
      </c>
    </row>
    <row r="565" spans="1:13" x14ac:dyDescent="0.3">
      <c r="A565" s="4" t="s">
        <v>1584</v>
      </c>
      <c r="B565" s="4" t="s">
        <v>1585</v>
      </c>
      <c r="C565" s="4">
        <v>43</v>
      </c>
      <c r="D565" s="4" t="s">
        <v>27</v>
      </c>
      <c r="E565" s="4">
        <v>690000</v>
      </c>
      <c r="F565" s="3">
        <v>9.5000000000000001E-2</v>
      </c>
      <c r="G565" s="4">
        <v>84</v>
      </c>
      <c r="H565" s="4" t="s">
        <v>1586</v>
      </c>
      <c r="I565" s="4">
        <v>11277.35</v>
      </c>
      <c r="J565" s="4">
        <v>947297.18</v>
      </c>
      <c r="K565" s="4" t="s">
        <v>16</v>
      </c>
      <c r="L565" s="4" t="s">
        <v>82</v>
      </c>
      <c r="M565" s="4">
        <v>709</v>
      </c>
    </row>
    <row r="566" spans="1:13" x14ac:dyDescent="0.3">
      <c r="A566" s="5" t="s">
        <v>1587</v>
      </c>
      <c r="B566" s="5" t="s">
        <v>1485</v>
      </c>
      <c r="C566" s="5">
        <v>49</v>
      </c>
      <c r="D566" s="5" t="s">
        <v>42</v>
      </c>
      <c r="E566" s="5">
        <v>760000</v>
      </c>
      <c r="F566" s="35">
        <v>0.125</v>
      </c>
      <c r="G566" s="5">
        <v>48</v>
      </c>
      <c r="H566" s="5" t="s">
        <v>279</v>
      </c>
      <c r="I566" s="5">
        <v>20200.8</v>
      </c>
      <c r="J566" s="5">
        <v>969638.36</v>
      </c>
      <c r="K566" s="5" t="s">
        <v>16</v>
      </c>
      <c r="L566" s="5" t="s">
        <v>316</v>
      </c>
      <c r="M566" s="5">
        <v>707</v>
      </c>
    </row>
    <row r="567" spans="1:13" x14ac:dyDescent="0.3">
      <c r="A567" s="4" t="s">
        <v>1588</v>
      </c>
      <c r="B567" s="4" t="s">
        <v>1589</v>
      </c>
      <c r="C567" s="4">
        <v>63</v>
      </c>
      <c r="D567" s="4" t="s">
        <v>37</v>
      </c>
      <c r="E567" s="4">
        <v>4240000</v>
      </c>
      <c r="F567" s="3">
        <v>9.5000000000000001E-2</v>
      </c>
      <c r="G567" s="4">
        <v>48</v>
      </c>
      <c r="H567" s="4" t="s">
        <v>1590</v>
      </c>
      <c r="I567" s="4">
        <v>106522.1</v>
      </c>
      <c r="J567" s="4">
        <v>5113060.78</v>
      </c>
      <c r="K567" s="4" t="s">
        <v>60</v>
      </c>
      <c r="L567" s="4" t="s">
        <v>249</v>
      </c>
      <c r="M567" s="4">
        <v>588</v>
      </c>
    </row>
    <row r="568" spans="1:13" x14ac:dyDescent="0.3">
      <c r="A568" s="5" t="s">
        <v>1591</v>
      </c>
      <c r="B568" s="5" t="s">
        <v>1592</v>
      </c>
      <c r="C568" s="5">
        <v>31</v>
      </c>
      <c r="D568" s="5" t="s">
        <v>18</v>
      </c>
      <c r="E568" s="5">
        <v>980000</v>
      </c>
      <c r="F568" s="35">
        <v>9.5000000000000001E-2</v>
      </c>
      <c r="G568" s="5">
        <v>120</v>
      </c>
      <c r="H568" s="5" t="s">
        <v>1593</v>
      </c>
      <c r="I568" s="5">
        <v>12680.96</v>
      </c>
      <c r="J568" s="5">
        <v>1521715.28</v>
      </c>
      <c r="K568" s="5" t="s">
        <v>20</v>
      </c>
      <c r="L568" s="5" t="s">
        <v>34</v>
      </c>
      <c r="M568" s="5">
        <v>631</v>
      </c>
    </row>
    <row r="569" spans="1:13" x14ac:dyDescent="0.3">
      <c r="A569" s="4" t="s">
        <v>1594</v>
      </c>
      <c r="B569" s="4" t="s">
        <v>1595</v>
      </c>
      <c r="C569" s="4">
        <v>38</v>
      </c>
      <c r="D569" s="4" t="s">
        <v>32</v>
      </c>
      <c r="E569" s="4">
        <v>260000</v>
      </c>
      <c r="F569" s="3">
        <v>0.09</v>
      </c>
      <c r="G569" s="4">
        <v>60</v>
      </c>
      <c r="H569" s="4" t="s">
        <v>1596</v>
      </c>
      <c r="I569" s="4">
        <v>5397.17</v>
      </c>
      <c r="J569" s="4">
        <v>323830.34000000003</v>
      </c>
      <c r="K569" s="4" t="s">
        <v>16</v>
      </c>
      <c r="L569" s="4" t="s">
        <v>82</v>
      </c>
      <c r="M569" s="4">
        <v>807</v>
      </c>
    </row>
    <row r="570" spans="1:13" x14ac:dyDescent="0.3">
      <c r="A570" s="5" t="s">
        <v>1597</v>
      </c>
      <c r="B570" s="5" t="s">
        <v>1598</v>
      </c>
      <c r="C570" s="5">
        <v>32</v>
      </c>
      <c r="D570" s="5" t="s">
        <v>32</v>
      </c>
      <c r="E570" s="5">
        <v>290000</v>
      </c>
      <c r="F570" s="35">
        <v>0.08</v>
      </c>
      <c r="G570" s="5">
        <v>84</v>
      </c>
      <c r="H570" s="5" t="s">
        <v>1599</v>
      </c>
      <c r="I570" s="5">
        <v>4520</v>
      </c>
      <c r="J570" s="5">
        <v>379680.18</v>
      </c>
      <c r="K570" s="5" t="s">
        <v>16</v>
      </c>
      <c r="L570" s="5" t="s">
        <v>25</v>
      </c>
      <c r="M570" s="5">
        <v>755</v>
      </c>
    </row>
    <row r="571" spans="1:13" x14ac:dyDescent="0.3">
      <c r="A571" s="4" t="s">
        <v>1600</v>
      </c>
      <c r="B571" s="4" t="s">
        <v>281</v>
      </c>
      <c r="C571" s="4">
        <v>29</v>
      </c>
      <c r="D571" s="4" t="s">
        <v>42</v>
      </c>
      <c r="E571" s="4">
        <v>1350000</v>
      </c>
      <c r="F571" s="3">
        <v>7.4999999999999997E-2</v>
      </c>
      <c r="G571" s="4">
        <v>36</v>
      </c>
      <c r="H571" s="4" t="s">
        <v>1043</v>
      </c>
      <c r="I571" s="4">
        <v>41993.39</v>
      </c>
      <c r="J571" s="4">
        <v>1511762.2</v>
      </c>
      <c r="K571" s="4" t="s">
        <v>16</v>
      </c>
      <c r="L571" s="4" t="s">
        <v>316</v>
      </c>
      <c r="M571" s="4">
        <v>626</v>
      </c>
    </row>
    <row r="572" spans="1:13" x14ac:dyDescent="0.3">
      <c r="A572" s="5" t="s">
        <v>1601</v>
      </c>
      <c r="B572" s="5" t="s">
        <v>480</v>
      </c>
      <c r="C572" s="5">
        <v>30</v>
      </c>
      <c r="D572" s="5" t="s">
        <v>27</v>
      </c>
      <c r="E572" s="5">
        <v>260000</v>
      </c>
      <c r="F572" s="35">
        <v>0.105</v>
      </c>
      <c r="G572" s="5">
        <v>84</v>
      </c>
      <c r="H572" s="5" t="s">
        <v>1602</v>
      </c>
      <c r="I572" s="5">
        <v>4383.78</v>
      </c>
      <c r="J572" s="5">
        <v>368237.1</v>
      </c>
      <c r="K572" s="5" t="s">
        <v>20</v>
      </c>
      <c r="L572" s="5" t="s">
        <v>366</v>
      </c>
      <c r="M572" s="5">
        <v>561</v>
      </c>
    </row>
    <row r="573" spans="1:13" x14ac:dyDescent="0.3">
      <c r="A573" s="4" t="s">
        <v>1603</v>
      </c>
      <c r="B573" s="4" t="s">
        <v>1604</v>
      </c>
      <c r="C573" s="4">
        <v>64</v>
      </c>
      <c r="D573" s="4" t="s">
        <v>37</v>
      </c>
      <c r="E573" s="4">
        <v>3390000</v>
      </c>
      <c r="F573" s="3">
        <v>0.12</v>
      </c>
      <c r="G573" s="4">
        <v>180</v>
      </c>
      <c r="H573" s="4" t="s">
        <v>1605</v>
      </c>
      <c r="I573" s="4">
        <v>40685.699999999997</v>
      </c>
      <c r="J573" s="4">
        <v>7323425.5099999998</v>
      </c>
      <c r="K573" s="4" t="s">
        <v>16</v>
      </c>
      <c r="L573" s="4" t="s">
        <v>147</v>
      </c>
      <c r="M573" s="4">
        <v>844</v>
      </c>
    </row>
    <row r="574" spans="1:13" x14ac:dyDescent="0.3">
      <c r="A574" s="5" t="s">
        <v>1606</v>
      </c>
      <c r="B574" s="5" t="s">
        <v>1607</v>
      </c>
      <c r="C574" s="5">
        <v>37</v>
      </c>
      <c r="D574" s="5" t="s">
        <v>15</v>
      </c>
      <c r="E574" s="5">
        <v>250000</v>
      </c>
      <c r="F574" s="35">
        <v>0.115</v>
      </c>
      <c r="G574" s="5">
        <v>180</v>
      </c>
      <c r="H574" s="5" t="s">
        <v>1608</v>
      </c>
      <c r="I574" s="5">
        <v>2920.47</v>
      </c>
      <c r="J574" s="5">
        <v>525685.41</v>
      </c>
      <c r="K574" s="5" t="s">
        <v>20</v>
      </c>
      <c r="L574" s="5" t="s">
        <v>64</v>
      </c>
      <c r="M574" s="5">
        <v>773</v>
      </c>
    </row>
    <row r="575" spans="1:13" x14ac:dyDescent="0.3">
      <c r="A575" s="4" t="s">
        <v>1609</v>
      </c>
      <c r="B575" s="4" t="s">
        <v>1610</v>
      </c>
      <c r="C575" s="4">
        <v>58</v>
      </c>
      <c r="D575" s="4" t="s">
        <v>18</v>
      </c>
      <c r="E575" s="4">
        <v>1210000</v>
      </c>
      <c r="F575" s="3">
        <v>0.11</v>
      </c>
      <c r="G575" s="4">
        <v>180</v>
      </c>
      <c r="H575" s="4" t="s">
        <v>1178</v>
      </c>
      <c r="I575" s="4">
        <v>13752.82</v>
      </c>
      <c r="J575" s="4">
        <v>2475508.12</v>
      </c>
      <c r="K575" s="4" t="s">
        <v>60</v>
      </c>
      <c r="L575" s="4" t="s">
        <v>249</v>
      </c>
      <c r="M575" s="4">
        <v>562</v>
      </c>
    </row>
    <row r="576" spans="1:13" x14ac:dyDescent="0.3">
      <c r="A576" s="5" t="s">
        <v>1611</v>
      </c>
      <c r="B576" s="5" t="s">
        <v>1612</v>
      </c>
      <c r="C576" s="5">
        <v>27</v>
      </c>
      <c r="D576" s="5" t="s">
        <v>15</v>
      </c>
      <c r="E576" s="5">
        <v>420000</v>
      </c>
      <c r="F576" s="35">
        <v>8.5000000000000006E-2</v>
      </c>
      <c r="G576" s="5">
        <v>84</v>
      </c>
      <c r="H576" s="5" t="s">
        <v>1613</v>
      </c>
      <c r="I576" s="5">
        <v>6651.32</v>
      </c>
      <c r="J576" s="5">
        <v>558711.21</v>
      </c>
      <c r="K576" s="5" t="s">
        <v>20</v>
      </c>
      <c r="L576" s="5" t="s">
        <v>56</v>
      </c>
      <c r="M576" s="5">
        <v>595</v>
      </c>
    </row>
    <row r="577" spans="1:13" x14ac:dyDescent="0.3">
      <c r="A577" s="4" t="s">
        <v>1614</v>
      </c>
      <c r="B577" s="4" t="s">
        <v>1615</v>
      </c>
      <c r="C577" s="4">
        <v>33</v>
      </c>
      <c r="D577" s="4" t="s">
        <v>42</v>
      </c>
      <c r="E577" s="4">
        <v>920000</v>
      </c>
      <c r="F577" s="3">
        <v>7.4999999999999997E-2</v>
      </c>
      <c r="G577" s="4">
        <v>60</v>
      </c>
      <c r="H577" s="4" t="s">
        <v>651</v>
      </c>
      <c r="I577" s="4">
        <v>18434.91</v>
      </c>
      <c r="J577" s="4">
        <v>1106094.76</v>
      </c>
      <c r="K577" s="4" t="s">
        <v>16</v>
      </c>
      <c r="L577" s="4" t="s">
        <v>201</v>
      </c>
      <c r="M577" s="4">
        <v>704</v>
      </c>
    </row>
    <row r="578" spans="1:13" x14ac:dyDescent="0.3">
      <c r="A578" s="5" t="s">
        <v>1616</v>
      </c>
      <c r="B578" s="5" t="s">
        <v>1047</v>
      </c>
      <c r="C578" s="5">
        <v>60</v>
      </c>
      <c r="D578" s="5" t="s">
        <v>23</v>
      </c>
      <c r="E578" s="5">
        <v>7980000</v>
      </c>
      <c r="F578" s="35">
        <v>0.1</v>
      </c>
      <c r="G578" s="5">
        <v>180</v>
      </c>
      <c r="H578" s="5" t="s">
        <v>1617</v>
      </c>
      <c r="I578" s="5">
        <v>85753.49</v>
      </c>
      <c r="J578" s="5">
        <v>15435627.91</v>
      </c>
      <c r="K578" s="5" t="s">
        <v>16</v>
      </c>
      <c r="L578" s="5" t="s">
        <v>147</v>
      </c>
      <c r="M578" s="5">
        <v>662</v>
      </c>
    </row>
    <row r="579" spans="1:13" x14ac:dyDescent="0.3">
      <c r="A579" s="4" t="s">
        <v>1618</v>
      </c>
      <c r="B579" s="4" t="s">
        <v>1290</v>
      </c>
      <c r="C579" s="4">
        <v>62</v>
      </c>
      <c r="D579" s="4" t="s">
        <v>27</v>
      </c>
      <c r="E579" s="4">
        <v>190000</v>
      </c>
      <c r="F579" s="3">
        <v>7.4999999999999997E-2</v>
      </c>
      <c r="G579" s="4">
        <v>240</v>
      </c>
      <c r="H579" s="4" t="s">
        <v>1619</v>
      </c>
      <c r="I579" s="4">
        <v>1530.63</v>
      </c>
      <c r="J579" s="4">
        <v>367350.5</v>
      </c>
      <c r="K579" s="4" t="s">
        <v>20</v>
      </c>
      <c r="L579" s="4" t="s">
        <v>222</v>
      </c>
      <c r="M579" s="4">
        <v>782</v>
      </c>
    </row>
    <row r="580" spans="1:13" x14ac:dyDescent="0.3">
      <c r="A580" s="5" t="s">
        <v>1620</v>
      </c>
      <c r="B580" s="5" t="s">
        <v>1621</v>
      </c>
      <c r="C580" s="5">
        <v>29</v>
      </c>
      <c r="D580" s="5" t="s">
        <v>32</v>
      </c>
      <c r="E580" s="5">
        <v>110000</v>
      </c>
      <c r="F580" s="35">
        <v>0.105</v>
      </c>
      <c r="G580" s="5">
        <v>24</v>
      </c>
      <c r="H580" s="5" t="s">
        <v>1561</v>
      </c>
      <c r="I580" s="5">
        <v>5101.3599999999997</v>
      </c>
      <c r="J580" s="5">
        <v>122432.75</v>
      </c>
      <c r="K580" s="5" t="s">
        <v>16</v>
      </c>
      <c r="L580" s="5" t="s">
        <v>143</v>
      </c>
      <c r="M580" s="5">
        <v>566</v>
      </c>
    </row>
    <row r="581" spans="1:13" x14ac:dyDescent="0.3">
      <c r="A581" s="4" t="s">
        <v>1622</v>
      </c>
      <c r="B581" s="4" t="s">
        <v>1515</v>
      </c>
      <c r="C581" s="4">
        <v>47</v>
      </c>
      <c r="D581" s="4" t="s">
        <v>27</v>
      </c>
      <c r="E581" s="4">
        <v>970000</v>
      </c>
      <c r="F581" s="3">
        <v>0.08</v>
      </c>
      <c r="G581" s="4">
        <v>36</v>
      </c>
      <c r="H581" s="4" t="s">
        <v>1623</v>
      </c>
      <c r="I581" s="4">
        <v>30396.27</v>
      </c>
      <c r="J581" s="4">
        <v>1094265.8799999999</v>
      </c>
      <c r="K581" s="4" t="s">
        <v>16</v>
      </c>
      <c r="L581" s="4" t="s">
        <v>366</v>
      </c>
      <c r="M581" s="4">
        <v>772</v>
      </c>
    </row>
    <row r="582" spans="1:13" x14ac:dyDescent="0.3">
      <c r="A582" s="5" t="s">
        <v>1624</v>
      </c>
      <c r="B582" s="5" t="s">
        <v>1229</v>
      </c>
      <c r="C582" s="5">
        <v>22</v>
      </c>
      <c r="D582" s="5" t="s">
        <v>18</v>
      </c>
      <c r="E582" s="5">
        <v>1730000</v>
      </c>
      <c r="F582" s="35">
        <v>9.5000000000000001E-2</v>
      </c>
      <c r="G582" s="5">
        <v>24</v>
      </c>
      <c r="H582" s="5" t="s">
        <v>1625</v>
      </c>
      <c r="I582" s="5">
        <v>79432.070000000007</v>
      </c>
      <c r="J582" s="5">
        <v>1906369.75</v>
      </c>
      <c r="K582" s="5" t="s">
        <v>60</v>
      </c>
      <c r="L582" s="5" t="s">
        <v>56</v>
      </c>
      <c r="M582" s="5">
        <v>737</v>
      </c>
    </row>
    <row r="583" spans="1:13" x14ac:dyDescent="0.3">
      <c r="A583" s="4" t="s">
        <v>1626</v>
      </c>
      <c r="B583" s="4" t="s">
        <v>1627</v>
      </c>
      <c r="C583" s="4">
        <v>25</v>
      </c>
      <c r="D583" s="4" t="s">
        <v>42</v>
      </c>
      <c r="E583" s="4">
        <v>600000</v>
      </c>
      <c r="F583" s="3">
        <v>0.125</v>
      </c>
      <c r="G583" s="4">
        <v>60</v>
      </c>
      <c r="H583" s="4" t="s">
        <v>1628</v>
      </c>
      <c r="I583" s="4">
        <v>13498.76</v>
      </c>
      <c r="J583" s="4">
        <v>809925.78</v>
      </c>
      <c r="K583" s="4" t="s">
        <v>16</v>
      </c>
      <c r="L583" s="4" t="s">
        <v>132</v>
      </c>
      <c r="M583" s="4">
        <v>893</v>
      </c>
    </row>
    <row r="584" spans="1:13" x14ac:dyDescent="0.3">
      <c r="A584" s="5" t="s">
        <v>1629</v>
      </c>
      <c r="B584" s="5" t="s">
        <v>1206</v>
      </c>
      <c r="C584" s="5">
        <v>49</v>
      </c>
      <c r="D584" s="5" t="s">
        <v>27</v>
      </c>
      <c r="E584" s="5">
        <v>470000</v>
      </c>
      <c r="F584" s="35">
        <v>0.125</v>
      </c>
      <c r="G584" s="5">
        <v>36</v>
      </c>
      <c r="H584" s="5" t="s">
        <v>1630</v>
      </c>
      <c r="I584" s="5">
        <v>15723.2</v>
      </c>
      <c r="J584" s="5">
        <v>566035.34</v>
      </c>
      <c r="K584" s="5" t="s">
        <v>20</v>
      </c>
      <c r="L584" s="5" t="s">
        <v>21</v>
      </c>
      <c r="M584" s="5">
        <v>712</v>
      </c>
    </row>
    <row r="585" spans="1:13" x14ac:dyDescent="0.3">
      <c r="A585" s="4" t="s">
        <v>1631</v>
      </c>
      <c r="B585" s="4" t="s">
        <v>1305</v>
      </c>
      <c r="C585" s="4">
        <v>57</v>
      </c>
      <c r="D585" s="4" t="s">
        <v>15</v>
      </c>
      <c r="E585" s="4">
        <v>850000</v>
      </c>
      <c r="F585" s="3">
        <v>0.12</v>
      </c>
      <c r="G585" s="4">
        <v>240</v>
      </c>
      <c r="H585" s="4" t="s">
        <v>1632</v>
      </c>
      <c r="I585" s="4">
        <v>9359.23</v>
      </c>
      <c r="J585" s="4">
        <v>2246215.71</v>
      </c>
      <c r="K585" s="4" t="s">
        <v>60</v>
      </c>
      <c r="L585" s="4" t="s">
        <v>48</v>
      </c>
      <c r="M585" s="4">
        <v>875</v>
      </c>
    </row>
    <row r="586" spans="1:13" x14ac:dyDescent="0.3">
      <c r="A586" s="5" t="s">
        <v>1633</v>
      </c>
      <c r="B586" s="5" t="s">
        <v>1180</v>
      </c>
      <c r="C586" s="5">
        <v>58</v>
      </c>
      <c r="D586" s="5" t="s">
        <v>42</v>
      </c>
      <c r="E586" s="5">
        <v>1020000</v>
      </c>
      <c r="F586" s="35">
        <v>0.11</v>
      </c>
      <c r="G586" s="5">
        <v>48</v>
      </c>
      <c r="H586" s="5" t="s">
        <v>1634</v>
      </c>
      <c r="I586" s="5">
        <v>26362.43</v>
      </c>
      <c r="J586" s="5">
        <v>1265396.79</v>
      </c>
      <c r="K586" s="5" t="s">
        <v>20</v>
      </c>
      <c r="L586" s="5" t="s">
        <v>326</v>
      </c>
      <c r="M586" s="5">
        <v>623</v>
      </c>
    </row>
    <row r="587" spans="1:13" x14ac:dyDescent="0.3">
      <c r="A587" s="4" t="s">
        <v>1635</v>
      </c>
      <c r="B587" s="4" t="s">
        <v>1636</v>
      </c>
      <c r="C587" s="4">
        <v>39</v>
      </c>
      <c r="D587" s="4" t="s">
        <v>15</v>
      </c>
      <c r="E587" s="4">
        <v>1150000</v>
      </c>
      <c r="F587" s="3">
        <v>0.09</v>
      </c>
      <c r="G587" s="4">
        <v>60</v>
      </c>
      <c r="H587" s="4" t="s">
        <v>1637</v>
      </c>
      <c r="I587" s="4">
        <v>23872.11</v>
      </c>
      <c r="J587" s="4">
        <v>1432326.51</v>
      </c>
      <c r="K587" s="4" t="s">
        <v>16</v>
      </c>
      <c r="L587" s="4" t="s">
        <v>132</v>
      </c>
      <c r="M587" s="4">
        <v>782</v>
      </c>
    </row>
    <row r="588" spans="1:13" x14ac:dyDescent="0.3">
      <c r="A588" s="5" t="s">
        <v>1638</v>
      </c>
      <c r="B588" s="5" t="s">
        <v>1639</v>
      </c>
      <c r="C588" s="5">
        <v>28</v>
      </c>
      <c r="D588" s="5" t="s">
        <v>37</v>
      </c>
      <c r="E588" s="5">
        <v>2240000</v>
      </c>
      <c r="F588" s="35">
        <v>0.08</v>
      </c>
      <c r="G588" s="5">
        <v>24</v>
      </c>
      <c r="H588" s="5" t="s">
        <v>968</v>
      </c>
      <c r="I588" s="5">
        <v>101309.13</v>
      </c>
      <c r="J588" s="5">
        <v>2431419.19</v>
      </c>
      <c r="K588" s="5" t="s">
        <v>20</v>
      </c>
      <c r="L588" s="5" t="s">
        <v>90</v>
      </c>
      <c r="M588" s="5">
        <v>773</v>
      </c>
    </row>
    <row r="589" spans="1:13" x14ac:dyDescent="0.3">
      <c r="A589" s="4" t="s">
        <v>1640</v>
      </c>
      <c r="B589" s="4" t="s">
        <v>1424</v>
      </c>
      <c r="C589" s="4">
        <v>21</v>
      </c>
      <c r="D589" s="4" t="s">
        <v>37</v>
      </c>
      <c r="E589" s="4">
        <v>4870000</v>
      </c>
      <c r="F589" s="3">
        <v>7.4999999999999997E-2</v>
      </c>
      <c r="G589" s="4">
        <v>24</v>
      </c>
      <c r="H589" s="4" t="s">
        <v>1641</v>
      </c>
      <c r="I589" s="4">
        <v>219148.02</v>
      </c>
      <c r="J589" s="4">
        <v>5259552.3899999997</v>
      </c>
      <c r="K589" s="4" t="s">
        <v>60</v>
      </c>
      <c r="L589" s="4" t="s">
        <v>212</v>
      </c>
      <c r="M589" s="4">
        <v>868</v>
      </c>
    </row>
    <row r="590" spans="1:13" x14ac:dyDescent="0.3">
      <c r="A590" s="5" t="s">
        <v>1642</v>
      </c>
      <c r="B590" s="5" t="s">
        <v>975</v>
      </c>
      <c r="C590" s="5">
        <v>42</v>
      </c>
      <c r="D590" s="5" t="s">
        <v>23</v>
      </c>
      <c r="E590" s="5">
        <v>9100000</v>
      </c>
      <c r="F590" s="35">
        <v>0.09</v>
      </c>
      <c r="G590" s="5">
        <v>12</v>
      </c>
      <c r="H590" s="5" t="s">
        <v>1643</v>
      </c>
      <c r="I590" s="5">
        <v>795808.44</v>
      </c>
      <c r="J590" s="5">
        <v>9549701.2599999998</v>
      </c>
      <c r="K590" s="5" t="s">
        <v>20</v>
      </c>
      <c r="L590" s="5" t="s">
        <v>249</v>
      </c>
      <c r="M590" s="5">
        <v>609</v>
      </c>
    </row>
    <row r="591" spans="1:13" x14ac:dyDescent="0.3">
      <c r="A591" s="4" t="s">
        <v>1644</v>
      </c>
      <c r="B591" s="4" t="s">
        <v>1645</v>
      </c>
      <c r="C591" s="4">
        <v>37</v>
      </c>
      <c r="D591" s="4" t="s">
        <v>27</v>
      </c>
      <c r="E591" s="4">
        <v>470000</v>
      </c>
      <c r="F591" s="3">
        <v>8.5000000000000006E-2</v>
      </c>
      <c r="G591" s="4">
        <v>240</v>
      </c>
      <c r="H591" s="4" t="s">
        <v>1646</v>
      </c>
      <c r="I591" s="4">
        <v>4078.77</v>
      </c>
      <c r="J591" s="4">
        <v>978904.61</v>
      </c>
      <c r="K591" s="4" t="s">
        <v>20</v>
      </c>
      <c r="L591" s="4" t="s">
        <v>205</v>
      </c>
      <c r="M591" s="4">
        <v>884</v>
      </c>
    </row>
    <row r="592" spans="1:13" x14ac:dyDescent="0.3">
      <c r="A592" s="5" t="s">
        <v>1647</v>
      </c>
      <c r="B592" s="5" t="s">
        <v>1648</v>
      </c>
      <c r="C592" s="5">
        <v>27</v>
      </c>
      <c r="D592" s="5" t="s">
        <v>37</v>
      </c>
      <c r="E592" s="5">
        <v>4490000</v>
      </c>
      <c r="F592" s="35">
        <v>0.125</v>
      </c>
      <c r="G592" s="5">
        <v>12</v>
      </c>
      <c r="H592" s="5" t="s">
        <v>1649</v>
      </c>
      <c r="I592" s="5">
        <v>399982.05</v>
      </c>
      <c r="J592" s="5">
        <v>4799784.6399999997</v>
      </c>
      <c r="K592" s="5" t="s">
        <v>60</v>
      </c>
      <c r="L592" s="5" t="s">
        <v>56</v>
      </c>
      <c r="M592" s="5">
        <v>771</v>
      </c>
    </row>
    <row r="593" spans="1:13" x14ac:dyDescent="0.3">
      <c r="A593" s="4" t="s">
        <v>1650</v>
      </c>
      <c r="B593" s="4" t="s">
        <v>1651</v>
      </c>
      <c r="C593" s="4">
        <v>45</v>
      </c>
      <c r="D593" s="4" t="s">
        <v>27</v>
      </c>
      <c r="E593" s="4">
        <v>200000</v>
      </c>
      <c r="F593" s="3">
        <v>9.5000000000000001E-2</v>
      </c>
      <c r="G593" s="4">
        <v>120</v>
      </c>
      <c r="H593" s="4" t="s">
        <v>1652</v>
      </c>
      <c r="I593" s="4">
        <v>2587.9499999999998</v>
      </c>
      <c r="J593" s="4">
        <v>310554.14</v>
      </c>
      <c r="K593" s="4" t="s">
        <v>16</v>
      </c>
      <c r="L593" s="4" t="s">
        <v>212</v>
      </c>
      <c r="M593" s="4">
        <v>586</v>
      </c>
    </row>
    <row r="594" spans="1:13" x14ac:dyDescent="0.3">
      <c r="A594" s="5" t="s">
        <v>1653</v>
      </c>
      <c r="B594" s="5" t="s">
        <v>1654</v>
      </c>
      <c r="C594" s="5">
        <v>24</v>
      </c>
      <c r="D594" s="5" t="s">
        <v>15</v>
      </c>
      <c r="E594" s="5">
        <v>1120000</v>
      </c>
      <c r="F594" s="35">
        <v>0.08</v>
      </c>
      <c r="G594" s="5">
        <v>48</v>
      </c>
      <c r="H594" s="5" t="s">
        <v>1655</v>
      </c>
      <c r="I594" s="5">
        <v>27342.47</v>
      </c>
      <c r="J594" s="5">
        <v>1312438.71</v>
      </c>
      <c r="K594" s="5" t="s">
        <v>16</v>
      </c>
      <c r="L594" s="5" t="s">
        <v>56</v>
      </c>
      <c r="M594" s="5">
        <v>827</v>
      </c>
    </row>
    <row r="595" spans="1:13" x14ac:dyDescent="0.3">
      <c r="A595" s="4" t="s">
        <v>1656</v>
      </c>
      <c r="B595" s="4" t="s">
        <v>1657</v>
      </c>
      <c r="C595" s="4">
        <v>56</v>
      </c>
      <c r="D595" s="4" t="s">
        <v>42</v>
      </c>
      <c r="E595" s="4">
        <v>1250000</v>
      </c>
      <c r="F595" s="3">
        <v>0.11</v>
      </c>
      <c r="G595" s="4">
        <v>12</v>
      </c>
      <c r="H595" s="4" t="s">
        <v>1658</v>
      </c>
      <c r="I595" s="4">
        <v>110477.07</v>
      </c>
      <c r="J595" s="4">
        <v>1325724.8799999999</v>
      </c>
      <c r="K595" s="4" t="s">
        <v>20</v>
      </c>
      <c r="L595" s="4" t="s">
        <v>34</v>
      </c>
      <c r="M595" s="4">
        <v>745</v>
      </c>
    </row>
    <row r="596" spans="1:13" x14ac:dyDescent="0.3">
      <c r="A596" s="5" t="s">
        <v>1659</v>
      </c>
      <c r="B596" s="5" t="s">
        <v>1660</v>
      </c>
      <c r="C596" s="5">
        <v>26</v>
      </c>
      <c r="D596" s="5" t="s">
        <v>37</v>
      </c>
      <c r="E596" s="5">
        <v>3180000</v>
      </c>
      <c r="F596" s="35">
        <v>0.08</v>
      </c>
      <c r="G596" s="5">
        <v>240</v>
      </c>
      <c r="H596" s="5" t="s">
        <v>1661</v>
      </c>
      <c r="I596" s="5">
        <v>26598.79</v>
      </c>
      <c r="J596" s="5">
        <v>6383710.6100000003</v>
      </c>
      <c r="K596" s="5" t="s">
        <v>20</v>
      </c>
      <c r="L596" s="5" t="s">
        <v>108</v>
      </c>
      <c r="M596" s="5">
        <v>791</v>
      </c>
    </row>
    <row r="597" spans="1:13" x14ac:dyDescent="0.3">
      <c r="A597" s="4" t="s">
        <v>1662</v>
      </c>
      <c r="B597" s="4" t="s">
        <v>665</v>
      </c>
      <c r="C597" s="4">
        <v>51</v>
      </c>
      <c r="D597" s="4" t="s">
        <v>42</v>
      </c>
      <c r="E597" s="4">
        <v>440000</v>
      </c>
      <c r="F597" s="3">
        <v>9.5000000000000001E-2</v>
      </c>
      <c r="G597" s="4">
        <v>60</v>
      </c>
      <c r="H597" s="4" t="s">
        <v>1663</v>
      </c>
      <c r="I597" s="4">
        <v>9240.82</v>
      </c>
      <c r="J597" s="4">
        <v>554449.14</v>
      </c>
      <c r="K597" s="4" t="s">
        <v>20</v>
      </c>
      <c r="L597" s="4" t="s">
        <v>326</v>
      </c>
      <c r="M597" s="4">
        <v>873</v>
      </c>
    </row>
    <row r="598" spans="1:13" x14ac:dyDescent="0.3">
      <c r="A598" s="5" t="s">
        <v>1664</v>
      </c>
      <c r="B598" s="5" t="s">
        <v>1665</v>
      </c>
      <c r="C598" s="5">
        <v>39</v>
      </c>
      <c r="D598" s="5" t="s">
        <v>18</v>
      </c>
      <c r="E598" s="5">
        <v>830000</v>
      </c>
      <c r="F598" s="35">
        <v>0.105</v>
      </c>
      <c r="G598" s="5">
        <v>240</v>
      </c>
      <c r="H598" s="5" t="s">
        <v>1561</v>
      </c>
      <c r="I598" s="5">
        <v>8286.5499999999993</v>
      </c>
      <c r="J598" s="5">
        <v>1988772.73</v>
      </c>
      <c r="K598" s="5" t="s">
        <v>20</v>
      </c>
      <c r="L598" s="5" t="s">
        <v>104</v>
      </c>
      <c r="M598" s="5">
        <v>768</v>
      </c>
    </row>
    <row r="599" spans="1:13" x14ac:dyDescent="0.3">
      <c r="A599" s="4" t="s">
        <v>1666</v>
      </c>
      <c r="B599" s="4" t="s">
        <v>823</v>
      </c>
      <c r="C599" s="4">
        <v>64</v>
      </c>
      <c r="D599" s="4" t="s">
        <v>37</v>
      </c>
      <c r="E599" s="4">
        <v>870000</v>
      </c>
      <c r="F599" s="3">
        <v>0.11</v>
      </c>
      <c r="G599" s="4">
        <v>240</v>
      </c>
      <c r="H599" s="4" t="s">
        <v>1667</v>
      </c>
      <c r="I599" s="4">
        <v>8980.0400000000009</v>
      </c>
      <c r="J599" s="4">
        <v>2155209.36</v>
      </c>
      <c r="K599" s="4" t="s">
        <v>16</v>
      </c>
      <c r="L599" s="4" t="s">
        <v>29</v>
      </c>
      <c r="M599" s="4">
        <v>741</v>
      </c>
    </row>
    <row r="600" spans="1:13" x14ac:dyDescent="0.3">
      <c r="A600" s="5" t="s">
        <v>1668</v>
      </c>
      <c r="B600" s="5" t="s">
        <v>1669</v>
      </c>
      <c r="C600" s="5">
        <v>59</v>
      </c>
      <c r="D600" s="5" t="s">
        <v>27</v>
      </c>
      <c r="E600" s="5">
        <v>950000</v>
      </c>
      <c r="F600" s="35">
        <v>0.11</v>
      </c>
      <c r="G600" s="5">
        <v>180</v>
      </c>
      <c r="H600" s="5" t="s">
        <v>1670</v>
      </c>
      <c r="I600" s="5">
        <v>10797.67</v>
      </c>
      <c r="J600" s="5">
        <v>1943580.76</v>
      </c>
      <c r="K600" s="5" t="s">
        <v>312</v>
      </c>
      <c r="L600" s="5" t="s">
        <v>119</v>
      </c>
      <c r="M600" s="5">
        <v>566</v>
      </c>
    </row>
    <row r="601" spans="1:13" x14ac:dyDescent="0.3">
      <c r="A601" s="4" t="s">
        <v>1671</v>
      </c>
      <c r="B601" s="4" t="s">
        <v>1672</v>
      </c>
      <c r="C601" s="4">
        <v>47</v>
      </c>
      <c r="D601" s="4" t="s">
        <v>18</v>
      </c>
      <c r="E601" s="4">
        <v>1690000</v>
      </c>
      <c r="F601" s="3">
        <v>0.125</v>
      </c>
      <c r="G601" s="4">
        <v>36</v>
      </c>
      <c r="H601" s="4" t="s">
        <v>1655</v>
      </c>
      <c r="I601" s="4">
        <v>56536.63</v>
      </c>
      <c r="J601" s="4">
        <v>2035318.58</v>
      </c>
      <c r="K601" s="4" t="s">
        <v>20</v>
      </c>
      <c r="L601" s="4" t="s">
        <v>212</v>
      </c>
      <c r="M601" s="4">
        <v>561</v>
      </c>
    </row>
    <row r="602" spans="1:13" x14ac:dyDescent="0.3">
      <c r="A602" s="5" t="s">
        <v>1673</v>
      </c>
      <c r="B602" s="5" t="s">
        <v>863</v>
      </c>
      <c r="C602" s="5">
        <v>30</v>
      </c>
      <c r="D602" s="5" t="s">
        <v>37</v>
      </c>
      <c r="E602" s="5">
        <v>1470000</v>
      </c>
      <c r="F602" s="35">
        <v>9.5000000000000001E-2</v>
      </c>
      <c r="G602" s="5">
        <v>84</v>
      </c>
      <c r="H602" s="5" t="s">
        <v>858</v>
      </c>
      <c r="I602" s="5">
        <v>24025.65</v>
      </c>
      <c r="J602" s="5">
        <v>2018154.86</v>
      </c>
      <c r="K602" s="5" t="s">
        <v>16</v>
      </c>
      <c r="L602" s="5" t="s">
        <v>48</v>
      </c>
      <c r="M602" s="5">
        <v>742</v>
      </c>
    </row>
    <row r="603" spans="1:13" x14ac:dyDescent="0.3">
      <c r="A603" s="4" t="s">
        <v>1674</v>
      </c>
      <c r="B603" s="4" t="s">
        <v>1675</v>
      </c>
      <c r="C603" s="4">
        <v>46</v>
      </c>
      <c r="D603" s="4" t="s">
        <v>32</v>
      </c>
      <c r="E603" s="4">
        <v>60000</v>
      </c>
      <c r="F603" s="3">
        <v>0.08</v>
      </c>
      <c r="G603" s="4">
        <v>120</v>
      </c>
      <c r="H603" s="4" t="s">
        <v>241</v>
      </c>
      <c r="I603" s="4">
        <v>727.97</v>
      </c>
      <c r="J603" s="4">
        <v>87355.87</v>
      </c>
      <c r="K603" s="4" t="s">
        <v>20</v>
      </c>
      <c r="L603" s="4" t="s">
        <v>212</v>
      </c>
      <c r="M603" s="4">
        <v>571</v>
      </c>
    </row>
    <row r="604" spans="1:13" x14ac:dyDescent="0.3">
      <c r="A604" s="5" t="s">
        <v>1676</v>
      </c>
      <c r="B604" s="5" t="s">
        <v>890</v>
      </c>
      <c r="C604" s="5">
        <v>39</v>
      </c>
      <c r="D604" s="5" t="s">
        <v>37</v>
      </c>
      <c r="E604" s="5">
        <v>3380000</v>
      </c>
      <c r="F604" s="35">
        <v>0.125</v>
      </c>
      <c r="G604" s="5">
        <v>48</v>
      </c>
      <c r="H604" s="5" t="s">
        <v>833</v>
      </c>
      <c r="I604" s="5">
        <v>89840.4</v>
      </c>
      <c r="J604" s="5">
        <v>4312339.0199999996</v>
      </c>
      <c r="K604" s="5" t="s">
        <v>60</v>
      </c>
      <c r="L604" s="5" t="s">
        <v>39</v>
      </c>
      <c r="M604" s="5">
        <v>669</v>
      </c>
    </row>
    <row r="605" spans="1:13" x14ac:dyDescent="0.3">
      <c r="A605" s="4" t="s">
        <v>1677</v>
      </c>
      <c r="B605" s="4" t="s">
        <v>314</v>
      </c>
      <c r="C605" s="4">
        <v>59</v>
      </c>
      <c r="D605" s="4" t="s">
        <v>15</v>
      </c>
      <c r="E605" s="4">
        <v>1560000</v>
      </c>
      <c r="F605" s="3">
        <v>0.115</v>
      </c>
      <c r="G605" s="4">
        <v>60</v>
      </c>
      <c r="H605" s="4" t="s">
        <v>1678</v>
      </c>
      <c r="I605" s="4">
        <v>34308.47</v>
      </c>
      <c r="J605" s="4">
        <v>2058508.05</v>
      </c>
      <c r="K605" s="4" t="s">
        <v>16</v>
      </c>
      <c r="L605" s="4" t="s">
        <v>191</v>
      </c>
      <c r="M605" s="4">
        <v>759</v>
      </c>
    </row>
    <row r="606" spans="1:13" x14ac:dyDescent="0.3">
      <c r="A606" s="5" t="s">
        <v>1679</v>
      </c>
      <c r="B606" s="5" t="s">
        <v>590</v>
      </c>
      <c r="C606" s="5">
        <v>23</v>
      </c>
      <c r="D606" s="5" t="s">
        <v>23</v>
      </c>
      <c r="E606" s="5">
        <v>2830000</v>
      </c>
      <c r="F606" s="35">
        <v>0.105</v>
      </c>
      <c r="G606" s="5">
        <v>36</v>
      </c>
      <c r="H606" s="5" t="s">
        <v>1680</v>
      </c>
      <c r="I606" s="5">
        <v>91981.92</v>
      </c>
      <c r="J606" s="5">
        <v>3311348.94</v>
      </c>
      <c r="K606" s="5" t="s">
        <v>20</v>
      </c>
      <c r="L606" s="5" t="s">
        <v>64</v>
      </c>
      <c r="M606" s="5">
        <v>855</v>
      </c>
    </row>
    <row r="607" spans="1:13" x14ac:dyDescent="0.3">
      <c r="A607" s="4" t="s">
        <v>1681</v>
      </c>
      <c r="B607" s="4" t="s">
        <v>1682</v>
      </c>
      <c r="C607" s="4">
        <v>33</v>
      </c>
      <c r="D607" s="4" t="s">
        <v>15</v>
      </c>
      <c r="E607" s="4">
        <v>1620000</v>
      </c>
      <c r="F607" s="3">
        <v>8.5000000000000006E-2</v>
      </c>
      <c r="G607" s="4">
        <v>180</v>
      </c>
      <c r="H607" s="4" t="s">
        <v>966</v>
      </c>
      <c r="I607" s="4">
        <v>15952.78</v>
      </c>
      <c r="J607" s="4">
        <v>2871500.55</v>
      </c>
      <c r="K607" s="4" t="s">
        <v>16</v>
      </c>
      <c r="L607" s="4" t="s">
        <v>366</v>
      </c>
      <c r="M607" s="4">
        <v>819</v>
      </c>
    </row>
    <row r="608" spans="1:13" x14ac:dyDescent="0.3">
      <c r="A608" s="5" t="s">
        <v>1683</v>
      </c>
      <c r="B608" s="5" t="s">
        <v>1684</v>
      </c>
      <c r="C608" s="5">
        <v>48</v>
      </c>
      <c r="D608" s="5" t="s">
        <v>42</v>
      </c>
      <c r="E608" s="5">
        <v>640000</v>
      </c>
      <c r="F608" s="35">
        <v>0.1</v>
      </c>
      <c r="G608" s="5">
        <v>240</v>
      </c>
      <c r="H608" s="5" t="s">
        <v>1685</v>
      </c>
      <c r="I608" s="5">
        <v>6176.14</v>
      </c>
      <c r="J608" s="5">
        <v>1482273.25</v>
      </c>
      <c r="K608" s="5" t="s">
        <v>20</v>
      </c>
      <c r="L608" s="5" t="s">
        <v>39</v>
      </c>
      <c r="M608" s="5">
        <v>741</v>
      </c>
    </row>
    <row r="609" spans="1:13" x14ac:dyDescent="0.3">
      <c r="A609" s="4" t="s">
        <v>1686</v>
      </c>
      <c r="B609" s="4" t="s">
        <v>1687</v>
      </c>
      <c r="C609" s="4">
        <v>40</v>
      </c>
      <c r="D609" s="4" t="s">
        <v>27</v>
      </c>
      <c r="E609" s="4">
        <v>880000</v>
      </c>
      <c r="F609" s="3">
        <v>0.105</v>
      </c>
      <c r="G609" s="4">
        <v>240</v>
      </c>
      <c r="H609" s="4" t="s">
        <v>1688</v>
      </c>
      <c r="I609" s="4">
        <v>8785.74</v>
      </c>
      <c r="J609" s="4">
        <v>2108578.3199999998</v>
      </c>
      <c r="K609" s="4" t="s">
        <v>312</v>
      </c>
      <c r="L609" s="4" t="s">
        <v>151</v>
      </c>
      <c r="M609" s="4">
        <v>724</v>
      </c>
    </row>
    <row r="610" spans="1:13" x14ac:dyDescent="0.3">
      <c r="A610" s="5" t="s">
        <v>1689</v>
      </c>
      <c r="B610" s="5" t="s">
        <v>1690</v>
      </c>
      <c r="C610" s="5">
        <v>48</v>
      </c>
      <c r="D610" s="5" t="s">
        <v>18</v>
      </c>
      <c r="E610" s="5">
        <v>710000</v>
      </c>
      <c r="F610" s="35">
        <v>0.1</v>
      </c>
      <c r="G610" s="5">
        <v>24</v>
      </c>
      <c r="H610" s="5" t="s">
        <v>1691</v>
      </c>
      <c r="I610" s="5">
        <v>32762.9</v>
      </c>
      <c r="J610" s="5">
        <v>786309.54</v>
      </c>
      <c r="K610" s="5" t="s">
        <v>16</v>
      </c>
      <c r="L610" s="5" t="s">
        <v>159</v>
      </c>
      <c r="M610" s="5">
        <v>834</v>
      </c>
    </row>
    <row r="611" spans="1:13" x14ac:dyDescent="0.3">
      <c r="A611" s="4" t="s">
        <v>1692</v>
      </c>
      <c r="B611" s="4" t="s">
        <v>1302</v>
      </c>
      <c r="C611" s="4">
        <v>28</v>
      </c>
      <c r="D611" s="4" t="s">
        <v>27</v>
      </c>
      <c r="E611" s="4">
        <v>640000</v>
      </c>
      <c r="F611" s="3">
        <v>8.5000000000000006E-2</v>
      </c>
      <c r="G611" s="4">
        <v>120</v>
      </c>
      <c r="H611" s="4" t="s">
        <v>1693</v>
      </c>
      <c r="I611" s="4">
        <v>7935.08</v>
      </c>
      <c r="J611" s="4">
        <v>952210.09</v>
      </c>
      <c r="K611" s="4" t="s">
        <v>20</v>
      </c>
      <c r="L611" s="4" t="s">
        <v>104</v>
      </c>
      <c r="M611" s="4">
        <v>753</v>
      </c>
    </row>
    <row r="612" spans="1:13" x14ac:dyDescent="0.3">
      <c r="A612" s="5" t="s">
        <v>1694</v>
      </c>
      <c r="B612" s="5" t="s">
        <v>1695</v>
      </c>
      <c r="C612" s="5">
        <v>61</v>
      </c>
      <c r="D612" s="5" t="s">
        <v>37</v>
      </c>
      <c r="E612" s="5">
        <v>1960000</v>
      </c>
      <c r="F612" s="35">
        <v>0.11</v>
      </c>
      <c r="G612" s="5">
        <v>84</v>
      </c>
      <c r="H612" s="5" t="s">
        <v>1696</v>
      </c>
      <c r="I612" s="5">
        <v>33559.980000000003</v>
      </c>
      <c r="J612" s="5">
        <v>2819037.93</v>
      </c>
      <c r="K612" s="5" t="s">
        <v>312</v>
      </c>
      <c r="L612" s="5" t="s">
        <v>115</v>
      </c>
      <c r="M612" s="5">
        <v>713</v>
      </c>
    </row>
    <row r="613" spans="1:13" x14ac:dyDescent="0.3">
      <c r="A613" s="4" t="s">
        <v>1697</v>
      </c>
      <c r="B613" s="4" t="s">
        <v>1096</v>
      </c>
      <c r="C613" s="4">
        <v>59</v>
      </c>
      <c r="D613" s="4" t="s">
        <v>27</v>
      </c>
      <c r="E613" s="4">
        <v>680000</v>
      </c>
      <c r="F613" s="3">
        <v>7.4999999999999997E-2</v>
      </c>
      <c r="G613" s="4">
        <v>240</v>
      </c>
      <c r="H613" s="4" t="s">
        <v>1698</v>
      </c>
      <c r="I613" s="4">
        <v>5478.03</v>
      </c>
      <c r="J613" s="4">
        <v>1314728.0900000001</v>
      </c>
      <c r="K613" s="4" t="s">
        <v>16</v>
      </c>
      <c r="L613" s="4" t="s">
        <v>155</v>
      </c>
      <c r="M613" s="4">
        <v>800</v>
      </c>
    </row>
    <row r="614" spans="1:13" x14ac:dyDescent="0.3">
      <c r="A614" s="5" t="s">
        <v>1699</v>
      </c>
      <c r="B614" s="5" t="s">
        <v>1254</v>
      </c>
      <c r="C614" s="5">
        <v>21</v>
      </c>
      <c r="D614" s="5" t="s">
        <v>18</v>
      </c>
      <c r="E614" s="5">
        <v>540000</v>
      </c>
      <c r="F614" s="35">
        <v>9.5000000000000001E-2</v>
      </c>
      <c r="G614" s="5">
        <v>12</v>
      </c>
      <c r="H614" s="5" t="s">
        <v>1700</v>
      </c>
      <c r="I614" s="5">
        <v>47349.1</v>
      </c>
      <c r="J614" s="5">
        <v>568189.16</v>
      </c>
      <c r="K614" s="5" t="s">
        <v>16</v>
      </c>
      <c r="L614" s="5" t="s">
        <v>119</v>
      </c>
      <c r="M614" s="5">
        <v>776</v>
      </c>
    </row>
    <row r="615" spans="1:13" x14ac:dyDescent="0.3">
      <c r="A615" s="4" t="s">
        <v>1701</v>
      </c>
      <c r="B615" s="4" t="s">
        <v>138</v>
      </c>
      <c r="C615" s="4">
        <v>23</v>
      </c>
      <c r="D615" s="4" t="s">
        <v>23</v>
      </c>
      <c r="E615" s="4">
        <v>6550000</v>
      </c>
      <c r="F615" s="3">
        <v>0.11</v>
      </c>
      <c r="G615" s="4">
        <v>48</v>
      </c>
      <c r="H615" s="4" t="s">
        <v>1702</v>
      </c>
      <c r="I615" s="4">
        <v>169288.17</v>
      </c>
      <c r="J615" s="4">
        <v>8125832.3099999996</v>
      </c>
      <c r="K615" s="4" t="s">
        <v>20</v>
      </c>
      <c r="L615" s="4" t="s">
        <v>21</v>
      </c>
      <c r="M615" s="4">
        <v>556</v>
      </c>
    </row>
    <row r="616" spans="1:13" x14ac:dyDescent="0.3">
      <c r="A616" s="5" t="s">
        <v>1703</v>
      </c>
      <c r="B616" s="5" t="s">
        <v>1704</v>
      </c>
      <c r="C616" s="5">
        <v>33</v>
      </c>
      <c r="D616" s="5" t="s">
        <v>23</v>
      </c>
      <c r="E616" s="5">
        <v>8150000</v>
      </c>
      <c r="F616" s="35">
        <v>0.11</v>
      </c>
      <c r="G616" s="5">
        <v>36</v>
      </c>
      <c r="H616" s="5" t="s">
        <v>1705</v>
      </c>
      <c r="I616" s="5">
        <v>266820.53999999998</v>
      </c>
      <c r="J616" s="5">
        <v>9605539.5999999996</v>
      </c>
      <c r="K616" s="5" t="s">
        <v>20</v>
      </c>
      <c r="L616" s="5" t="s">
        <v>86</v>
      </c>
      <c r="M616" s="5">
        <v>578</v>
      </c>
    </row>
    <row r="617" spans="1:13" x14ac:dyDescent="0.3">
      <c r="A617" s="4" t="s">
        <v>1706</v>
      </c>
      <c r="B617" s="4" t="s">
        <v>1707</v>
      </c>
      <c r="C617" s="4">
        <v>48</v>
      </c>
      <c r="D617" s="4" t="s">
        <v>37</v>
      </c>
      <c r="E617" s="4">
        <v>4380000</v>
      </c>
      <c r="F617" s="3">
        <v>9.5000000000000001E-2</v>
      </c>
      <c r="G617" s="4">
        <v>240</v>
      </c>
      <c r="H617" s="4" t="s">
        <v>1708</v>
      </c>
      <c r="I617" s="4">
        <v>40827.35</v>
      </c>
      <c r="J617" s="4">
        <v>9798563.0500000007</v>
      </c>
      <c r="K617" s="4" t="s">
        <v>16</v>
      </c>
      <c r="L617" s="4" t="s">
        <v>52</v>
      </c>
      <c r="M617" s="4">
        <v>582</v>
      </c>
    </row>
    <row r="618" spans="1:13" x14ac:dyDescent="0.3">
      <c r="A618" s="5" t="s">
        <v>1709</v>
      </c>
      <c r="B618" s="5" t="s">
        <v>1604</v>
      </c>
      <c r="C618" s="5">
        <v>45</v>
      </c>
      <c r="D618" s="5" t="s">
        <v>37</v>
      </c>
      <c r="E618" s="5">
        <v>2440000</v>
      </c>
      <c r="F618" s="35">
        <v>0.09</v>
      </c>
      <c r="G618" s="5">
        <v>36</v>
      </c>
      <c r="H618" s="5" t="s">
        <v>1710</v>
      </c>
      <c r="I618" s="5">
        <v>77591.350000000006</v>
      </c>
      <c r="J618" s="5">
        <v>2793288.52</v>
      </c>
      <c r="K618" s="5" t="s">
        <v>16</v>
      </c>
      <c r="L618" s="5" t="s">
        <v>155</v>
      </c>
      <c r="M618" s="5">
        <v>683</v>
      </c>
    </row>
    <row r="619" spans="1:13" x14ac:dyDescent="0.3">
      <c r="A619" s="4" t="s">
        <v>1711</v>
      </c>
      <c r="B619" s="4" t="s">
        <v>1712</v>
      </c>
      <c r="C619" s="4">
        <v>53</v>
      </c>
      <c r="D619" s="4" t="s">
        <v>42</v>
      </c>
      <c r="E619" s="4">
        <v>1150000</v>
      </c>
      <c r="F619" s="3">
        <v>9.5000000000000001E-2</v>
      </c>
      <c r="G619" s="4">
        <v>180</v>
      </c>
      <c r="H619" s="4" t="s">
        <v>1713</v>
      </c>
      <c r="I619" s="4">
        <v>12008.58</v>
      </c>
      <c r="J619" s="4">
        <v>2161545.09</v>
      </c>
      <c r="K619" s="4" t="s">
        <v>16</v>
      </c>
      <c r="L619" s="4" t="s">
        <v>159</v>
      </c>
      <c r="M619" s="4">
        <v>628</v>
      </c>
    </row>
    <row r="620" spans="1:13" x14ac:dyDescent="0.3">
      <c r="A620" s="5" t="s">
        <v>1714</v>
      </c>
      <c r="B620" s="5" t="s">
        <v>1715</v>
      </c>
      <c r="C620" s="5">
        <v>58</v>
      </c>
      <c r="D620" s="5" t="s">
        <v>37</v>
      </c>
      <c r="E620" s="5">
        <v>2050000</v>
      </c>
      <c r="F620" s="35">
        <v>0.12</v>
      </c>
      <c r="G620" s="5">
        <v>36</v>
      </c>
      <c r="H620" s="5" t="s">
        <v>1716</v>
      </c>
      <c r="I620" s="5">
        <v>68089.34</v>
      </c>
      <c r="J620" s="5">
        <v>2451216.06</v>
      </c>
      <c r="K620" s="5" t="s">
        <v>16</v>
      </c>
      <c r="L620" s="5" t="s">
        <v>52</v>
      </c>
      <c r="M620" s="5">
        <v>607</v>
      </c>
    </row>
    <row r="621" spans="1:13" x14ac:dyDescent="0.3">
      <c r="A621" s="4" t="s">
        <v>1717</v>
      </c>
      <c r="B621" s="4" t="s">
        <v>1192</v>
      </c>
      <c r="C621" s="4">
        <v>26</v>
      </c>
      <c r="D621" s="4" t="s">
        <v>15</v>
      </c>
      <c r="E621" s="4">
        <v>590000</v>
      </c>
      <c r="F621" s="3">
        <v>7.4999999999999997E-2</v>
      </c>
      <c r="G621" s="4">
        <v>36</v>
      </c>
      <c r="H621" s="4" t="s">
        <v>1718</v>
      </c>
      <c r="I621" s="4">
        <v>18352.669999999998</v>
      </c>
      <c r="J621" s="4">
        <v>660696.06999999995</v>
      </c>
      <c r="K621" s="4" t="s">
        <v>20</v>
      </c>
      <c r="L621" s="4" t="s">
        <v>159</v>
      </c>
      <c r="M621" s="4">
        <v>575</v>
      </c>
    </row>
    <row r="622" spans="1:13" x14ac:dyDescent="0.3">
      <c r="A622" s="5" t="s">
        <v>1719</v>
      </c>
      <c r="B622" s="5" t="s">
        <v>1648</v>
      </c>
      <c r="C622" s="5">
        <v>64</v>
      </c>
      <c r="D622" s="5" t="s">
        <v>15</v>
      </c>
      <c r="E622" s="5">
        <v>1540000</v>
      </c>
      <c r="F622" s="35">
        <v>8.5000000000000006E-2</v>
      </c>
      <c r="G622" s="5">
        <v>36</v>
      </c>
      <c r="H622" s="5" t="s">
        <v>1720</v>
      </c>
      <c r="I622" s="5">
        <v>48614.01</v>
      </c>
      <c r="J622" s="5">
        <v>1750104.27</v>
      </c>
      <c r="K622" s="5" t="s">
        <v>60</v>
      </c>
      <c r="L622" s="5" t="s">
        <v>108</v>
      </c>
      <c r="M622" s="5">
        <v>775</v>
      </c>
    </row>
    <row r="623" spans="1:13" x14ac:dyDescent="0.3">
      <c r="A623" s="4" t="s">
        <v>1721</v>
      </c>
      <c r="B623" s="4" t="s">
        <v>1722</v>
      </c>
      <c r="C623" s="4">
        <v>52</v>
      </c>
      <c r="D623" s="4" t="s">
        <v>15</v>
      </c>
      <c r="E623" s="4">
        <v>1580000</v>
      </c>
      <c r="F623" s="3">
        <v>0.13</v>
      </c>
      <c r="G623" s="4">
        <v>180</v>
      </c>
      <c r="H623" s="4" t="s">
        <v>1723</v>
      </c>
      <c r="I623" s="4">
        <v>19990.830000000002</v>
      </c>
      <c r="J623" s="4">
        <v>3598348.72</v>
      </c>
      <c r="K623" s="4" t="s">
        <v>20</v>
      </c>
      <c r="L623" s="4" t="s">
        <v>316</v>
      </c>
      <c r="M623" s="4">
        <v>834</v>
      </c>
    </row>
    <row r="624" spans="1:13" x14ac:dyDescent="0.3">
      <c r="A624" s="5" t="s">
        <v>1724</v>
      </c>
      <c r="B624" s="5" t="s">
        <v>1725</v>
      </c>
      <c r="C624" s="5">
        <v>41</v>
      </c>
      <c r="D624" s="5" t="s">
        <v>23</v>
      </c>
      <c r="E624" s="5">
        <v>8250000</v>
      </c>
      <c r="F624" s="35">
        <v>0.125</v>
      </c>
      <c r="G624" s="5">
        <v>84</v>
      </c>
      <c r="H624" s="5" t="s">
        <v>38</v>
      </c>
      <c r="I624" s="5">
        <v>147850.22</v>
      </c>
      <c r="J624" s="5">
        <v>12419418.23</v>
      </c>
      <c r="K624" s="5" t="s">
        <v>16</v>
      </c>
      <c r="L624" s="5" t="s">
        <v>52</v>
      </c>
      <c r="M624" s="5">
        <v>553</v>
      </c>
    </row>
    <row r="625" spans="1:13" x14ac:dyDescent="0.3">
      <c r="A625" s="4" t="s">
        <v>1726</v>
      </c>
      <c r="B625" s="4" t="s">
        <v>1727</v>
      </c>
      <c r="C625" s="4">
        <v>36</v>
      </c>
      <c r="D625" s="4" t="s">
        <v>32</v>
      </c>
      <c r="E625" s="4">
        <v>260000</v>
      </c>
      <c r="F625" s="3">
        <v>0.08</v>
      </c>
      <c r="G625" s="4">
        <v>12</v>
      </c>
      <c r="H625" s="4" t="s">
        <v>1728</v>
      </c>
      <c r="I625" s="4">
        <v>22616.99</v>
      </c>
      <c r="J625" s="4">
        <v>271403.90000000002</v>
      </c>
      <c r="K625" s="4" t="s">
        <v>16</v>
      </c>
      <c r="L625" s="4" t="s">
        <v>155</v>
      </c>
      <c r="M625" s="4">
        <v>648</v>
      </c>
    </row>
    <row r="626" spans="1:13" x14ac:dyDescent="0.3">
      <c r="A626" s="5" t="s">
        <v>1729</v>
      </c>
      <c r="B626" s="5" t="s">
        <v>310</v>
      </c>
      <c r="C626" s="5">
        <v>41</v>
      </c>
      <c r="D626" s="5" t="s">
        <v>27</v>
      </c>
      <c r="E626" s="5">
        <v>130000</v>
      </c>
      <c r="F626" s="35">
        <v>0.08</v>
      </c>
      <c r="G626" s="5">
        <v>48</v>
      </c>
      <c r="H626" s="5" t="s">
        <v>1730</v>
      </c>
      <c r="I626" s="5">
        <v>3173.68</v>
      </c>
      <c r="J626" s="5">
        <v>152336.64000000001</v>
      </c>
      <c r="K626" s="5" t="s">
        <v>20</v>
      </c>
      <c r="L626" s="5" t="s">
        <v>29</v>
      </c>
      <c r="M626" s="5">
        <v>588</v>
      </c>
    </row>
    <row r="627" spans="1:13" x14ac:dyDescent="0.3">
      <c r="A627" s="4" t="s">
        <v>1731</v>
      </c>
      <c r="B627" s="4" t="s">
        <v>1732</v>
      </c>
      <c r="C627" s="4">
        <v>31</v>
      </c>
      <c r="D627" s="4" t="s">
        <v>18</v>
      </c>
      <c r="E627" s="4">
        <v>1750000</v>
      </c>
      <c r="F627" s="3">
        <v>0.125</v>
      </c>
      <c r="G627" s="4">
        <v>180</v>
      </c>
      <c r="H627" s="4" t="s">
        <v>1733</v>
      </c>
      <c r="I627" s="4">
        <v>21569.14</v>
      </c>
      <c r="J627" s="4">
        <v>3882444.56</v>
      </c>
      <c r="K627" s="4" t="s">
        <v>20</v>
      </c>
      <c r="L627" s="4" t="s">
        <v>52</v>
      </c>
      <c r="M627" s="4">
        <v>820</v>
      </c>
    </row>
    <row r="628" spans="1:13" x14ac:dyDescent="0.3">
      <c r="A628" s="5" t="s">
        <v>1734</v>
      </c>
      <c r="B628" s="5" t="s">
        <v>330</v>
      </c>
      <c r="C628" s="5">
        <v>57</v>
      </c>
      <c r="D628" s="5" t="s">
        <v>42</v>
      </c>
      <c r="E628" s="5">
        <v>710000</v>
      </c>
      <c r="F628" s="35">
        <v>0.1</v>
      </c>
      <c r="G628" s="5">
        <v>48</v>
      </c>
      <c r="H628" s="5" t="s">
        <v>1323</v>
      </c>
      <c r="I628" s="5">
        <v>18007.43</v>
      </c>
      <c r="J628" s="5">
        <v>864356.84</v>
      </c>
      <c r="K628" s="5" t="s">
        <v>16</v>
      </c>
      <c r="L628" s="5" t="s">
        <v>44</v>
      </c>
      <c r="M628" s="5">
        <v>834</v>
      </c>
    </row>
    <row r="629" spans="1:13" x14ac:dyDescent="0.3">
      <c r="A629" s="4" t="s">
        <v>1735</v>
      </c>
      <c r="B629" s="4" t="s">
        <v>1736</v>
      </c>
      <c r="C629" s="4">
        <v>56</v>
      </c>
      <c r="D629" s="4" t="s">
        <v>37</v>
      </c>
      <c r="E629" s="4">
        <v>4270000</v>
      </c>
      <c r="F629" s="3">
        <v>0.115</v>
      </c>
      <c r="G629" s="4">
        <v>24</v>
      </c>
      <c r="H629" s="4" t="s">
        <v>1737</v>
      </c>
      <c r="I629" s="4">
        <v>200008.15</v>
      </c>
      <c r="J629" s="4">
        <v>4800195.51</v>
      </c>
      <c r="K629" s="4" t="s">
        <v>16</v>
      </c>
      <c r="L629" s="4" t="s">
        <v>249</v>
      </c>
      <c r="M629" s="4">
        <v>706</v>
      </c>
    </row>
    <row r="630" spans="1:13" x14ac:dyDescent="0.3">
      <c r="A630" s="5" t="s">
        <v>1738</v>
      </c>
      <c r="B630" s="5" t="s">
        <v>1236</v>
      </c>
      <c r="C630" s="5">
        <v>55</v>
      </c>
      <c r="D630" s="5" t="s">
        <v>42</v>
      </c>
      <c r="E630" s="5">
        <v>1200000</v>
      </c>
      <c r="F630" s="35">
        <v>0.105</v>
      </c>
      <c r="G630" s="5">
        <v>60</v>
      </c>
      <c r="H630" s="5" t="s">
        <v>1739</v>
      </c>
      <c r="I630" s="5">
        <v>25792.68</v>
      </c>
      <c r="J630" s="5">
        <v>1547560.83</v>
      </c>
      <c r="K630" s="5" t="s">
        <v>20</v>
      </c>
      <c r="L630" s="5" t="s">
        <v>29</v>
      </c>
      <c r="M630" s="5">
        <v>624</v>
      </c>
    </row>
    <row r="631" spans="1:13" x14ac:dyDescent="0.3">
      <c r="A631" s="4" t="s">
        <v>1740</v>
      </c>
      <c r="B631" s="4" t="s">
        <v>1505</v>
      </c>
      <c r="C631" s="4">
        <v>39</v>
      </c>
      <c r="D631" s="4" t="s">
        <v>23</v>
      </c>
      <c r="E631" s="4">
        <v>7520000</v>
      </c>
      <c r="F631" s="3">
        <v>0.12</v>
      </c>
      <c r="G631" s="4">
        <v>84</v>
      </c>
      <c r="H631" s="4" t="s">
        <v>1741</v>
      </c>
      <c r="I631" s="4">
        <v>132748.54999999999</v>
      </c>
      <c r="J631" s="4">
        <v>11150878.25</v>
      </c>
      <c r="K631" s="4" t="s">
        <v>20</v>
      </c>
      <c r="L631" s="4" t="s">
        <v>222</v>
      </c>
      <c r="M631" s="4">
        <v>837</v>
      </c>
    </row>
    <row r="632" spans="1:13" x14ac:dyDescent="0.3">
      <c r="A632" s="5" t="s">
        <v>1742</v>
      </c>
      <c r="B632" s="5" t="s">
        <v>444</v>
      </c>
      <c r="C632" s="5">
        <v>40</v>
      </c>
      <c r="D632" s="5" t="s">
        <v>37</v>
      </c>
      <c r="E632" s="5">
        <v>540000</v>
      </c>
      <c r="F632" s="35">
        <v>0.09</v>
      </c>
      <c r="G632" s="5">
        <v>48</v>
      </c>
      <c r="H632" s="5" t="s">
        <v>1743</v>
      </c>
      <c r="I632" s="5">
        <v>13437.92</v>
      </c>
      <c r="J632" s="5">
        <v>645020.30000000005</v>
      </c>
      <c r="K632" s="5" t="s">
        <v>16</v>
      </c>
      <c r="L632" s="5" t="s">
        <v>104</v>
      </c>
      <c r="M632" s="5">
        <v>679</v>
      </c>
    </row>
    <row r="633" spans="1:13" x14ac:dyDescent="0.3">
      <c r="A633" s="4" t="s">
        <v>1744</v>
      </c>
      <c r="B633" s="4" t="s">
        <v>1281</v>
      </c>
      <c r="C633" s="4">
        <v>38</v>
      </c>
      <c r="D633" s="4" t="s">
        <v>37</v>
      </c>
      <c r="E633" s="4">
        <v>2300000</v>
      </c>
      <c r="F633" s="3">
        <v>0.115</v>
      </c>
      <c r="G633" s="4">
        <v>12</v>
      </c>
      <c r="H633" s="4" t="s">
        <v>1745</v>
      </c>
      <c r="I633" s="4">
        <v>203814.62</v>
      </c>
      <c r="J633" s="4">
        <v>2445775.4900000002</v>
      </c>
      <c r="K633" s="4" t="s">
        <v>16</v>
      </c>
      <c r="L633" s="4" t="s">
        <v>56</v>
      </c>
      <c r="M633" s="4">
        <v>724</v>
      </c>
    </row>
    <row r="634" spans="1:13" x14ac:dyDescent="0.3">
      <c r="A634" s="5" t="s">
        <v>1746</v>
      </c>
      <c r="B634" s="5" t="s">
        <v>1747</v>
      </c>
      <c r="C634" s="5">
        <v>61</v>
      </c>
      <c r="D634" s="5" t="s">
        <v>23</v>
      </c>
      <c r="E634" s="5">
        <v>4450000</v>
      </c>
      <c r="F634" s="35">
        <v>7.4999999999999997E-2</v>
      </c>
      <c r="G634" s="5">
        <v>48</v>
      </c>
      <c r="H634" s="5" t="s">
        <v>1748</v>
      </c>
      <c r="I634" s="5">
        <v>107596.11</v>
      </c>
      <c r="J634" s="5">
        <v>5164613.45</v>
      </c>
      <c r="K634" s="5" t="s">
        <v>20</v>
      </c>
      <c r="L634" s="5" t="s">
        <v>249</v>
      </c>
      <c r="M634" s="5">
        <v>633</v>
      </c>
    </row>
    <row r="635" spans="1:13" x14ac:dyDescent="0.3">
      <c r="A635" s="4" t="s">
        <v>1749</v>
      </c>
      <c r="B635" s="4" t="s">
        <v>1750</v>
      </c>
      <c r="C635" s="4">
        <v>34</v>
      </c>
      <c r="D635" s="4" t="s">
        <v>27</v>
      </c>
      <c r="E635" s="4">
        <v>390000</v>
      </c>
      <c r="F635" s="3">
        <v>0.105</v>
      </c>
      <c r="G635" s="4">
        <v>240</v>
      </c>
      <c r="H635" s="4" t="s">
        <v>1751</v>
      </c>
      <c r="I635" s="4">
        <v>3893.68</v>
      </c>
      <c r="J635" s="4">
        <v>934483.57</v>
      </c>
      <c r="K635" s="4" t="s">
        <v>16</v>
      </c>
      <c r="L635" s="4" t="s">
        <v>34</v>
      </c>
      <c r="M635" s="4">
        <v>571</v>
      </c>
    </row>
    <row r="636" spans="1:13" x14ac:dyDescent="0.3">
      <c r="A636" s="5" t="s">
        <v>1752</v>
      </c>
      <c r="B636" s="5" t="s">
        <v>564</v>
      </c>
      <c r="C636" s="5">
        <v>35</v>
      </c>
      <c r="D636" s="5" t="s">
        <v>37</v>
      </c>
      <c r="E636" s="5">
        <v>1020000</v>
      </c>
      <c r="F636" s="35">
        <v>0.115</v>
      </c>
      <c r="G636" s="5">
        <v>84</v>
      </c>
      <c r="H636" s="5" t="s">
        <v>1753</v>
      </c>
      <c r="I636" s="5">
        <v>17734.189999999999</v>
      </c>
      <c r="J636" s="5">
        <v>1489671.96</v>
      </c>
      <c r="K636" s="5" t="s">
        <v>20</v>
      </c>
      <c r="L636" s="5" t="s">
        <v>151</v>
      </c>
      <c r="M636" s="5">
        <v>576</v>
      </c>
    </row>
    <row r="637" spans="1:13" x14ac:dyDescent="0.3">
      <c r="A637" s="4" t="s">
        <v>1754</v>
      </c>
      <c r="B637" s="4" t="s">
        <v>1727</v>
      </c>
      <c r="C637" s="4">
        <v>51</v>
      </c>
      <c r="D637" s="4" t="s">
        <v>27</v>
      </c>
      <c r="E637" s="4">
        <v>710000</v>
      </c>
      <c r="F637" s="3">
        <v>0.105</v>
      </c>
      <c r="G637" s="4">
        <v>120</v>
      </c>
      <c r="H637" s="4" t="s">
        <v>1470</v>
      </c>
      <c r="I637" s="4">
        <v>9580.3799999999992</v>
      </c>
      <c r="J637" s="4">
        <v>1149646.17</v>
      </c>
      <c r="K637" s="4" t="s">
        <v>20</v>
      </c>
      <c r="L637" s="4" t="s">
        <v>29</v>
      </c>
      <c r="M637" s="4">
        <v>744</v>
      </c>
    </row>
    <row r="638" spans="1:13" x14ac:dyDescent="0.3">
      <c r="A638" s="5" t="s">
        <v>1755</v>
      </c>
      <c r="B638" s="5" t="s">
        <v>1695</v>
      </c>
      <c r="C638" s="5">
        <v>21</v>
      </c>
      <c r="D638" s="5" t="s">
        <v>23</v>
      </c>
      <c r="E638" s="5">
        <v>2710000</v>
      </c>
      <c r="F638" s="35">
        <v>0.115</v>
      </c>
      <c r="G638" s="5">
        <v>180</v>
      </c>
      <c r="H638" s="5" t="s">
        <v>1756</v>
      </c>
      <c r="I638" s="5">
        <v>31657.94</v>
      </c>
      <c r="J638" s="5">
        <v>5698429.8899999997</v>
      </c>
      <c r="K638" s="5" t="s">
        <v>16</v>
      </c>
      <c r="L638" s="5" t="s">
        <v>52</v>
      </c>
      <c r="M638" s="5">
        <v>886</v>
      </c>
    </row>
    <row r="639" spans="1:13" x14ac:dyDescent="0.3">
      <c r="A639" s="4" t="s">
        <v>1757</v>
      </c>
      <c r="B639" s="4" t="s">
        <v>1758</v>
      </c>
      <c r="C639" s="4">
        <v>23</v>
      </c>
      <c r="D639" s="4" t="s">
        <v>42</v>
      </c>
      <c r="E639" s="4">
        <v>1430000</v>
      </c>
      <c r="F639" s="3">
        <v>0.125</v>
      </c>
      <c r="G639" s="4">
        <v>180</v>
      </c>
      <c r="H639" s="4" t="s">
        <v>1759</v>
      </c>
      <c r="I639" s="4">
        <v>17625.07</v>
      </c>
      <c r="J639" s="4">
        <v>3172511.84</v>
      </c>
      <c r="K639" s="4" t="s">
        <v>312</v>
      </c>
      <c r="L639" s="4" t="s">
        <v>222</v>
      </c>
      <c r="M639" s="4">
        <v>785</v>
      </c>
    </row>
    <row r="640" spans="1:13" x14ac:dyDescent="0.3">
      <c r="A640" s="5" t="s">
        <v>1760</v>
      </c>
      <c r="B640" s="5" t="s">
        <v>1682</v>
      </c>
      <c r="C640" s="5">
        <v>36</v>
      </c>
      <c r="D640" s="5" t="s">
        <v>37</v>
      </c>
      <c r="E640" s="5">
        <v>2070000</v>
      </c>
      <c r="F640" s="35">
        <v>0.11</v>
      </c>
      <c r="G640" s="5">
        <v>12</v>
      </c>
      <c r="H640" s="5" t="s">
        <v>1761</v>
      </c>
      <c r="I640" s="5">
        <v>182950.03</v>
      </c>
      <c r="J640" s="5">
        <v>2195400.4</v>
      </c>
      <c r="K640" s="5" t="s">
        <v>16</v>
      </c>
      <c r="L640" s="5" t="s">
        <v>136</v>
      </c>
      <c r="M640" s="5">
        <v>641</v>
      </c>
    </row>
    <row r="641" spans="1:13" x14ac:dyDescent="0.3">
      <c r="A641" s="4" t="s">
        <v>1762</v>
      </c>
      <c r="B641" s="4" t="s">
        <v>546</v>
      </c>
      <c r="C641" s="4">
        <v>43</v>
      </c>
      <c r="D641" s="4" t="s">
        <v>32</v>
      </c>
      <c r="E641" s="4">
        <v>240000</v>
      </c>
      <c r="F641" s="3">
        <v>0.12</v>
      </c>
      <c r="G641" s="4">
        <v>12</v>
      </c>
      <c r="H641" s="4" t="s">
        <v>721</v>
      </c>
      <c r="I641" s="4">
        <v>21323.71</v>
      </c>
      <c r="J641" s="4">
        <v>255884.51</v>
      </c>
      <c r="K641" s="4" t="s">
        <v>16</v>
      </c>
      <c r="L641" s="4" t="s">
        <v>226</v>
      </c>
      <c r="M641" s="4">
        <v>570</v>
      </c>
    </row>
    <row r="642" spans="1:13" x14ac:dyDescent="0.3">
      <c r="A642" s="5" t="s">
        <v>1763</v>
      </c>
      <c r="B642" s="5" t="s">
        <v>1764</v>
      </c>
      <c r="C642" s="5">
        <v>31</v>
      </c>
      <c r="D642" s="5" t="s">
        <v>18</v>
      </c>
      <c r="E642" s="5">
        <v>880000</v>
      </c>
      <c r="F642" s="35">
        <v>0.09</v>
      </c>
      <c r="G642" s="5">
        <v>84</v>
      </c>
      <c r="H642" s="5" t="s">
        <v>1765</v>
      </c>
      <c r="I642" s="5">
        <v>14158.39</v>
      </c>
      <c r="J642" s="5">
        <v>1189304.6599999999</v>
      </c>
      <c r="K642" s="5" t="s">
        <v>20</v>
      </c>
      <c r="L642" s="5" t="s">
        <v>90</v>
      </c>
      <c r="M642" s="5">
        <v>852</v>
      </c>
    </row>
    <row r="643" spans="1:13" x14ac:dyDescent="0.3">
      <c r="A643" s="4" t="s">
        <v>1766</v>
      </c>
      <c r="B643" s="4" t="s">
        <v>1767</v>
      </c>
      <c r="C643" s="4">
        <v>32</v>
      </c>
      <c r="D643" s="4" t="s">
        <v>27</v>
      </c>
      <c r="E643" s="4">
        <v>310000</v>
      </c>
      <c r="F643" s="3">
        <v>0.11</v>
      </c>
      <c r="G643" s="4">
        <v>24</v>
      </c>
      <c r="H643" s="4" t="s">
        <v>1768</v>
      </c>
      <c r="I643" s="4">
        <v>14448.43</v>
      </c>
      <c r="J643" s="4">
        <v>346762.32</v>
      </c>
      <c r="K643" s="4" t="s">
        <v>16</v>
      </c>
      <c r="L643" s="4" t="s">
        <v>249</v>
      </c>
      <c r="M643" s="4">
        <v>633</v>
      </c>
    </row>
    <row r="644" spans="1:13" x14ac:dyDescent="0.3">
      <c r="A644" s="5" t="s">
        <v>1769</v>
      </c>
      <c r="B644" s="5" t="s">
        <v>1018</v>
      </c>
      <c r="C644" s="5">
        <v>30</v>
      </c>
      <c r="D644" s="5" t="s">
        <v>37</v>
      </c>
      <c r="E644" s="5">
        <v>4340000</v>
      </c>
      <c r="F644" s="35">
        <v>9.5000000000000001E-2</v>
      </c>
      <c r="G644" s="5">
        <v>240</v>
      </c>
      <c r="H644" s="5" t="s">
        <v>1770</v>
      </c>
      <c r="I644" s="5">
        <v>40454.49</v>
      </c>
      <c r="J644" s="5">
        <v>9709078.4499999993</v>
      </c>
      <c r="K644" s="5" t="s">
        <v>16</v>
      </c>
      <c r="L644" s="5" t="s">
        <v>21</v>
      </c>
      <c r="M644" s="5">
        <v>811</v>
      </c>
    </row>
    <row r="645" spans="1:13" x14ac:dyDescent="0.3">
      <c r="A645" s="4" t="s">
        <v>1771</v>
      </c>
      <c r="B645" s="4" t="s">
        <v>587</v>
      </c>
      <c r="C645" s="4">
        <v>52</v>
      </c>
      <c r="D645" s="4" t="s">
        <v>27</v>
      </c>
      <c r="E645" s="4">
        <v>220000</v>
      </c>
      <c r="F645" s="3">
        <v>0.08</v>
      </c>
      <c r="G645" s="4">
        <v>60</v>
      </c>
      <c r="H645" s="4" t="s">
        <v>1772</v>
      </c>
      <c r="I645" s="4">
        <v>4460.8100000000004</v>
      </c>
      <c r="J645" s="4">
        <v>267648.40000000002</v>
      </c>
      <c r="K645" s="4" t="s">
        <v>20</v>
      </c>
      <c r="L645" s="4" t="s">
        <v>119</v>
      </c>
      <c r="M645" s="4">
        <v>696</v>
      </c>
    </row>
    <row r="646" spans="1:13" x14ac:dyDescent="0.3">
      <c r="A646" s="5" t="s">
        <v>1773</v>
      </c>
      <c r="B646" s="5" t="s">
        <v>959</v>
      </c>
      <c r="C646" s="5">
        <v>36</v>
      </c>
      <c r="D646" s="5" t="s">
        <v>37</v>
      </c>
      <c r="E646" s="5">
        <v>2700000</v>
      </c>
      <c r="F646" s="35">
        <v>0.105</v>
      </c>
      <c r="G646" s="5">
        <v>60</v>
      </c>
      <c r="H646" s="5" t="s">
        <v>1774</v>
      </c>
      <c r="I646" s="5">
        <v>58033.53</v>
      </c>
      <c r="J646" s="5">
        <v>3482011.86</v>
      </c>
      <c r="K646" s="5" t="s">
        <v>20</v>
      </c>
      <c r="L646" s="5" t="s">
        <v>212</v>
      </c>
      <c r="M646" s="5">
        <v>806</v>
      </c>
    </row>
    <row r="647" spans="1:13" x14ac:dyDescent="0.3">
      <c r="A647" s="4" t="s">
        <v>1775</v>
      </c>
      <c r="B647" s="4" t="s">
        <v>1776</v>
      </c>
      <c r="C647" s="4">
        <v>28</v>
      </c>
      <c r="D647" s="4" t="s">
        <v>18</v>
      </c>
      <c r="E647" s="4">
        <v>1610000</v>
      </c>
      <c r="F647" s="3">
        <v>0.13</v>
      </c>
      <c r="G647" s="4">
        <v>240</v>
      </c>
      <c r="H647" s="4" t="s">
        <v>1777</v>
      </c>
      <c r="I647" s="4">
        <v>18862.37</v>
      </c>
      <c r="J647" s="4">
        <v>4526968.55</v>
      </c>
      <c r="K647" s="4" t="s">
        <v>16</v>
      </c>
      <c r="L647" s="4" t="s">
        <v>143</v>
      </c>
      <c r="M647" s="4">
        <v>607</v>
      </c>
    </row>
    <row r="648" spans="1:13" x14ac:dyDescent="0.3">
      <c r="A648" s="5" t="s">
        <v>1778</v>
      </c>
      <c r="B648" s="5" t="s">
        <v>80</v>
      </c>
      <c r="C648" s="5">
        <v>58</v>
      </c>
      <c r="D648" s="5" t="s">
        <v>37</v>
      </c>
      <c r="E648" s="5">
        <v>4610000</v>
      </c>
      <c r="F648" s="35">
        <v>7.4999999999999997E-2</v>
      </c>
      <c r="G648" s="5">
        <v>36</v>
      </c>
      <c r="H648" s="5" t="s">
        <v>1779</v>
      </c>
      <c r="I648" s="5">
        <v>143399.67000000001</v>
      </c>
      <c r="J648" s="5">
        <v>5162387.97</v>
      </c>
      <c r="K648" s="5" t="s">
        <v>20</v>
      </c>
      <c r="L648" s="5" t="s">
        <v>205</v>
      </c>
      <c r="M648" s="5">
        <v>564</v>
      </c>
    </row>
    <row r="649" spans="1:13" x14ac:dyDescent="0.3">
      <c r="A649" s="4" t="s">
        <v>1780</v>
      </c>
      <c r="B649" s="4" t="s">
        <v>1781</v>
      </c>
      <c r="C649" s="4">
        <v>32</v>
      </c>
      <c r="D649" s="4" t="s">
        <v>37</v>
      </c>
      <c r="E649" s="4">
        <v>4930000</v>
      </c>
      <c r="F649" s="3">
        <v>0.115</v>
      </c>
      <c r="G649" s="4">
        <v>120</v>
      </c>
      <c r="H649" s="4" t="s">
        <v>1317</v>
      </c>
      <c r="I649" s="4">
        <v>69313.55</v>
      </c>
      <c r="J649" s="4">
        <v>8317626.4699999997</v>
      </c>
      <c r="K649" s="4" t="s">
        <v>60</v>
      </c>
      <c r="L649" s="4" t="s">
        <v>56</v>
      </c>
      <c r="M649" s="4">
        <v>711</v>
      </c>
    </row>
    <row r="650" spans="1:13" x14ac:dyDescent="0.3">
      <c r="A650" s="5" t="s">
        <v>1782</v>
      </c>
      <c r="B650" s="5" t="s">
        <v>931</v>
      </c>
      <c r="C650" s="5">
        <v>44</v>
      </c>
      <c r="D650" s="5" t="s">
        <v>42</v>
      </c>
      <c r="E650" s="5">
        <v>960000</v>
      </c>
      <c r="F650" s="35">
        <v>0.12</v>
      </c>
      <c r="G650" s="5">
        <v>120</v>
      </c>
      <c r="H650" s="5" t="s">
        <v>632</v>
      </c>
      <c r="I650" s="5">
        <v>13773.21</v>
      </c>
      <c r="J650" s="5">
        <v>1652785.33</v>
      </c>
      <c r="K650" s="5" t="s">
        <v>16</v>
      </c>
      <c r="L650" s="5" t="s">
        <v>132</v>
      </c>
      <c r="M650" s="5">
        <v>712</v>
      </c>
    </row>
    <row r="651" spans="1:13" x14ac:dyDescent="0.3">
      <c r="A651" s="4" t="s">
        <v>1783</v>
      </c>
      <c r="B651" s="4" t="s">
        <v>1784</v>
      </c>
      <c r="C651" s="4">
        <v>48</v>
      </c>
      <c r="D651" s="4" t="s">
        <v>32</v>
      </c>
      <c r="E651" s="4">
        <v>360000</v>
      </c>
      <c r="F651" s="3">
        <v>0.115</v>
      </c>
      <c r="G651" s="4">
        <v>84</v>
      </c>
      <c r="H651" s="4" t="s">
        <v>1785</v>
      </c>
      <c r="I651" s="4">
        <v>6259.13</v>
      </c>
      <c r="J651" s="4">
        <v>525766.57999999996</v>
      </c>
      <c r="K651" s="4" t="s">
        <v>20</v>
      </c>
      <c r="L651" s="4" t="s">
        <v>68</v>
      </c>
      <c r="M651" s="4">
        <v>869</v>
      </c>
    </row>
    <row r="652" spans="1:13" x14ac:dyDescent="0.3">
      <c r="A652" s="5" t="s">
        <v>1786</v>
      </c>
      <c r="B652" s="5" t="s">
        <v>1787</v>
      </c>
      <c r="C652" s="5">
        <v>28</v>
      </c>
      <c r="D652" s="5" t="s">
        <v>37</v>
      </c>
      <c r="E652" s="5">
        <v>3760000</v>
      </c>
      <c r="F652" s="35">
        <v>0.12</v>
      </c>
      <c r="G652" s="5">
        <v>24</v>
      </c>
      <c r="H652" s="5" t="s">
        <v>415</v>
      </c>
      <c r="I652" s="5">
        <v>176996.26</v>
      </c>
      <c r="J652" s="5">
        <v>4247910.13</v>
      </c>
      <c r="K652" s="5" t="s">
        <v>60</v>
      </c>
      <c r="L652" s="5" t="s">
        <v>191</v>
      </c>
      <c r="M652" s="5">
        <v>830</v>
      </c>
    </row>
    <row r="653" spans="1:13" x14ac:dyDescent="0.3">
      <c r="A653" s="4" t="s">
        <v>1788</v>
      </c>
      <c r="B653" s="4" t="s">
        <v>1789</v>
      </c>
      <c r="C653" s="4">
        <v>48</v>
      </c>
      <c r="D653" s="4" t="s">
        <v>27</v>
      </c>
      <c r="E653" s="4">
        <v>740000</v>
      </c>
      <c r="F653" s="3">
        <v>0.125</v>
      </c>
      <c r="G653" s="4">
        <v>240</v>
      </c>
      <c r="H653" s="4" t="s">
        <v>1790</v>
      </c>
      <c r="I653" s="4">
        <v>8407.44</v>
      </c>
      <c r="J653" s="4">
        <v>2017785.62</v>
      </c>
      <c r="K653" s="4" t="s">
        <v>16</v>
      </c>
      <c r="L653" s="4" t="s">
        <v>90</v>
      </c>
      <c r="M653" s="4">
        <v>829</v>
      </c>
    </row>
    <row r="654" spans="1:13" x14ac:dyDescent="0.3">
      <c r="A654" s="5" t="s">
        <v>1791</v>
      </c>
      <c r="B654" s="5" t="s">
        <v>720</v>
      </c>
      <c r="C654" s="5">
        <v>56</v>
      </c>
      <c r="D654" s="5" t="s">
        <v>42</v>
      </c>
      <c r="E654" s="5">
        <v>1120000</v>
      </c>
      <c r="F654" s="35">
        <v>0.12</v>
      </c>
      <c r="G654" s="5">
        <v>60</v>
      </c>
      <c r="H654" s="5" t="s">
        <v>1792</v>
      </c>
      <c r="I654" s="5">
        <v>24913.78</v>
      </c>
      <c r="J654" s="5">
        <v>1494826.88</v>
      </c>
      <c r="K654" s="5" t="s">
        <v>16</v>
      </c>
      <c r="L654" s="5" t="s">
        <v>191</v>
      </c>
      <c r="M654" s="5">
        <v>561</v>
      </c>
    </row>
    <row r="655" spans="1:13" x14ac:dyDescent="0.3">
      <c r="A655" s="4" t="s">
        <v>1793</v>
      </c>
      <c r="B655" s="4" t="s">
        <v>1794</v>
      </c>
      <c r="C655" s="4">
        <v>46</v>
      </c>
      <c r="D655" s="4" t="s">
        <v>18</v>
      </c>
      <c r="E655" s="4">
        <v>1430000</v>
      </c>
      <c r="F655" s="3">
        <v>8.5000000000000006E-2</v>
      </c>
      <c r="G655" s="4">
        <v>120</v>
      </c>
      <c r="H655" s="4" t="s">
        <v>1795</v>
      </c>
      <c r="I655" s="4">
        <v>17729.95</v>
      </c>
      <c r="J655" s="4">
        <v>2127594.42</v>
      </c>
      <c r="K655" s="4" t="s">
        <v>20</v>
      </c>
      <c r="L655" s="4" t="s">
        <v>48</v>
      </c>
      <c r="M655" s="4">
        <v>823</v>
      </c>
    </row>
    <row r="656" spans="1:13" x14ac:dyDescent="0.3">
      <c r="A656" s="5" t="s">
        <v>1796</v>
      </c>
      <c r="B656" s="5" t="s">
        <v>1797</v>
      </c>
      <c r="C656" s="5">
        <v>28</v>
      </c>
      <c r="D656" s="5" t="s">
        <v>15</v>
      </c>
      <c r="E656" s="5">
        <v>440000</v>
      </c>
      <c r="F656" s="35">
        <v>0.08</v>
      </c>
      <c r="G656" s="5">
        <v>48</v>
      </c>
      <c r="H656" s="5" t="s">
        <v>1798</v>
      </c>
      <c r="I656" s="5">
        <v>10741.69</v>
      </c>
      <c r="J656" s="5">
        <v>515600.92</v>
      </c>
      <c r="K656" s="5" t="s">
        <v>16</v>
      </c>
      <c r="L656" s="5" t="s">
        <v>143</v>
      </c>
      <c r="M656" s="5">
        <v>820</v>
      </c>
    </row>
    <row r="657" spans="1:13" x14ac:dyDescent="0.3">
      <c r="A657" s="4" t="s">
        <v>1799</v>
      </c>
      <c r="B657" s="4" t="s">
        <v>1800</v>
      </c>
      <c r="C657" s="4">
        <v>48</v>
      </c>
      <c r="D657" s="4" t="s">
        <v>27</v>
      </c>
      <c r="E657" s="4">
        <v>460000</v>
      </c>
      <c r="F657" s="3">
        <v>0.11</v>
      </c>
      <c r="G657" s="4">
        <v>240</v>
      </c>
      <c r="H657" s="4" t="s">
        <v>1733</v>
      </c>
      <c r="I657" s="4">
        <v>4748.07</v>
      </c>
      <c r="J657" s="4">
        <v>1139535.99</v>
      </c>
      <c r="K657" s="4" t="s">
        <v>60</v>
      </c>
      <c r="L657" s="4" t="s">
        <v>136</v>
      </c>
      <c r="M657" s="4">
        <v>757</v>
      </c>
    </row>
    <row r="658" spans="1:13" x14ac:dyDescent="0.3">
      <c r="A658" s="5" t="s">
        <v>1801</v>
      </c>
      <c r="B658" s="5" t="s">
        <v>567</v>
      </c>
      <c r="C658" s="5">
        <v>48</v>
      </c>
      <c r="D658" s="5" t="s">
        <v>27</v>
      </c>
      <c r="E658" s="5">
        <v>470000</v>
      </c>
      <c r="F658" s="35">
        <v>8.5000000000000006E-2</v>
      </c>
      <c r="G658" s="5">
        <v>120</v>
      </c>
      <c r="H658" s="5" t="s">
        <v>1802</v>
      </c>
      <c r="I658" s="5">
        <v>5827.33</v>
      </c>
      <c r="J658" s="5">
        <v>699279.29</v>
      </c>
      <c r="K658" s="5" t="s">
        <v>16</v>
      </c>
      <c r="L658" s="5" t="s">
        <v>151</v>
      </c>
      <c r="M658" s="5">
        <v>576</v>
      </c>
    </row>
    <row r="659" spans="1:13" x14ac:dyDescent="0.3">
      <c r="A659" s="4" t="s">
        <v>1803</v>
      </c>
      <c r="B659" s="4" t="s">
        <v>937</v>
      </c>
      <c r="C659" s="4">
        <v>57</v>
      </c>
      <c r="D659" s="4" t="s">
        <v>32</v>
      </c>
      <c r="E659" s="4">
        <v>490000</v>
      </c>
      <c r="F659" s="3">
        <v>8.5000000000000006E-2</v>
      </c>
      <c r="G659" s="4">
        <v>84</v>
      </c>
      <c r="H659" s="4" t="s">
        <v>1804</v>
      </c>
      <c r="I659" s="4">
        <v>7759.88</v>
      </c>
      <c r="J659" s="4">
        <v>651829.74</v>
      </c>
      <c r="K659" s="4" t="s">
        <v>20</v>
      </c>
      <c r="L659" s="4" t="s">
        <v>39</v>
      </c>
      <c r="M659" s="4">
        <v>621</v>
      </c>
    </row>
    <row r="660" spans="1:13" x14ac:dyDescent="0.3">
      <c r="A660" s="5" t="s">
        <v>1805</v>
      </c>
      <c r="B660" s="5" t="s">
        <v>272</v>
      </c>
      <c r="C660" s="5">
        <v>61</v>
      </c>
      <c r="D660" s="5" t="s">
        <v>15</v>
      </c>
      <c r="E660" s="5">
        <v>1160000</v>
      </c>
      <c r="F660" s="35">
        <v>0.09</v>
      </c>
      <c r="G660" s="5">
        <v>84</v>
      </c>
      <c r="H660" s="5" t="s">
        <v>1806</v>
      </c>
      <c r="I660" s="5">
        <v>18663.330000000002</v>
      </c>
      <c r="J660" s="5">
        <v>1567719.79</v>
      </c>
      <c r="K660" s="5" t="s">
        <v>16</v>
      </c>
      <c r="L660" s="5" t="s">
        <v>90</v>
      </c>
      <c r="M660" s="5">
        <v>609</v>
      </c>
    </row>
    <row r="661" spans="1:13" x14ac:dyDescent="0.3">
      <c r="A661" s="4" t="s">
        <v>1807</v>
      </c>
      <c r="B661" s="4" t="s">
        <v>934</v>
      </c>
      <c r="C661" s="4">
        <v>56</v>
      </c>
      <c r="D661" s="4" t="s">
        <v>42</v>
      </c>
      <c r="E661" s="4">
        <v>660000</v>
      </c>
      <c r="F661" s="3">
        <v>0.09</v>
      </c>
      <c r="G661" s="4">
        <v>180</v>
      </c>
      <c r="H661" s="4" t="s">
        <v>1808</v>
      </c>
      <c r="I661" s="4">
        <v>6694.16</v>
      </c>
      <c r="J661" s="4">
        <v>1204948.7</v>
      </c>
      <c r="K661" s="4" t="s">
        <v>16</v>
      </c>
      <c r="L661" s="4" t="s">
        <v>64</v>
      </c>
      <c r="M661" s="4">
        <v>694</v>
      </c>
    </row>
    <row r="662" spans="1:13" x14ac:dyDescent="0.3">
      <c r="A662" s="5" t="s">
        <v>1809</v>
      </c>
      <c r="B662" s="5" t="s">
        <v>1810</v>
      </c>
      <c r="C662" s="5">
        <v>47</v>
      </c>
      <c r="D662" s="5" t="s">
        <v>37</v>
      </c>
      <c r="E662" s="5">
        <v>3000000</v>
      </c>
      <c r="F662" s="35">
        <v>8.5000000000000006E-2</v>
      </c>
      <c r="G662" s="5">
        <v>180</v>
      </c>
      <c r="H662" s="5" t="s">
        <v>1811</v>
      </c>
      <c r="I662" s="5">
        <v>29542.19</v>
      </c>
      <c r="J662" s="5">
        <v>5317593.6100000003</v>
      </c>
      <c r="K662" s="5" t="s">
        <v>16</v>
      </c>
      <c r="L662" s="5" t="s">
        <v>159</v>
      </c>
      <c r="M662" s="5">
        <v>642</v>
      </c>
    </row>
    <row r="663" spans="1:13" x14ac:dyDescent="0.3">
      <c r="A663" s="4" t="s">
        <v>1812</v>
      </c>
      <c r="B663" s="4" t="s">
        <v>70</v>
      </c>
      <c r="C663" s="4">
        <v>37</v>
      </c>
      <c r="D663" s="4" t="s">
        <v>27</v>
      </c>
      <c r="E663" s="4">
        <v>740000</v>
      </c>
      <c r="F663" s="3">
        <v>7.4999999999999997E-2</v>
      </c>
      <c r="G663" s="4">
        <v>12</v>
      </c>
      <c r="H663" s="4" t="s">
        <v>1063</v>
      </c>
      <c r="I663" s="4">
        <v>64200.49</v>
      </c>
      <c r="J663" s="4">
        <v>770405.86</v>
      </c>
      <c r="K663" s="4" t="s">
        <v>16</v>
      </c>
      <c r="L663" s="4" t="s">
        <v>132</v>
      </c>
      <c r="M663" s="4">
        <v>858</v>
      </c>
    </row>
    <row r="664" spans="1:13" x14ac:dyDescent="0.3">
      <c r="A664" s="5" t="s">
        <v>1813</v>
      </c>
      <c r="B664" s="5" t="s">
        <v>1814</v>
      </c>
      <c r="C664" s="5">
        <v>29</v>
      </c>
      <c r="D664" s="5" t="s">
        <v>18</v>
      </c>
      <c r="E664" s="5">
        <v>1440000</v>
      </c>
      <c r="F664" s="35">
        <v>0.105</v>
      </c>
      <c r="G664" s="5">
        <v>240</v>
      </c>
      <c r="H664" s="5" t="s">
        <v>325</v>
      </c>
      <c r="I664" s="5">
        <v>14376.67</v>
      </c>
      <c r="J664" s="5">
        <v>3450400.89</v>
      </c>
      <c r="K664" s="5" t="s">
        <v>20</v>
      </c>
      <c r="L664" s="5" t="s">
        <v>201</v>
      </c>
      <c r="M664" s="5">
        <v>557</v>
      </c>
    </row>
    <row r="665" spans="1:13" x14ac:dyDescent="0.3">
      <c r="A665" s="4" t="s">
        <v>1815</v>
      </c>
      <c r="B665" s="4" t="s">
        <v>1816</v>
      </c>
      <c r="C665" s="4">
        <v>53</v>
      </c>
      <c r="D665" s="4" t="s">
        <v>32</v>
      </c>
      <c r="E665" s="4">
        <v>90000</v>
      </c>
      <c r="F665" s="3">
        <v>0.08</v>
      </c>
      <c r="G665" s="4">
        <v>36</v>
      </c>
      <c r="H665" s="4" t="s">
        <v>1817</v>
      </c>
      <c r="I665" s="4">
        <v>2820.27</v>
      </c>
      <c r="J665" s="4">
        <v>101529.82</v>
      </c>
      <c r="K665" s="4" t="s">
        <v>16</v>
      </c>
      <c r="L665" s="4" t="s">
        <v>191</v>
      </c>
      <c r="M665" s="4">
        <v>628</v>
      </c>
    </row>
    <row r="666" spans="1:13" x14ac:dyDescent="0.3">
      <c r="A666" s="5" t="s">
        <v>1818</v>
      </c>
      <c r="B666" s="5" t="s">
        <v>956</v>
      </c>
      <c r="C666" s="5">
        <v>40</v>
      </c>
      <c r="D666" s="5" t="s">
        <v>18</v>
      </c>
      <c r="E666" s="5">
        <v>1610000</v>
      </c>
      <c r="F666" s="35">
        <v>0.125</v>
      </c>
      <c r="G666" s="5">
        <v>180</v>
      </c>
      <c r="H666" s="5" t="s">
        <v>1779</v>
      </c>
      <c r="I666" s="5">
        <v>19843.61</v>
      </c>
      <c r="J666" s="5">
        <v>3571849</v>
      </c>
      <c r="K666" s="5" t="s">
        <v>16</v>
      </c>
      <c r="L666" s="5" t="s">
        <v>151</v>
      </c>
      <c r="M666" s="5">
        <v>576</v>
      </c>
    </row>
    <row r="667" spans="1:13" x14ac:dyDescent="0.3">
      <c r="A667" s="4" t="s">
        <v>1819</v>
      </c>
      <c r="B667" s="4" t="s">
        <v>1820</v>
      </c>
      <c r="C667" s="4">
        <v>33</v>
      </c>
      <c r="D667" s="4" t="s">
        <v>32</v>
      </c>
      <c r="E667" s="4">
        <v>120000</v>
      </c>
      <c r="F667" s="3">
        <v>0.105</v>
      </c>
      <c r="G667" s="4">
        <v>36</v>
      </c>
      <c r="H667" s="4" t="s">
        <v>28</v>
      </c>
      <c r="I667" s="4">
        <v>3900.29</v>
      </c>
      <c r="J667" s="4">
        <v>140410.56</v>
      </c>
      <c r="K667" s="4" t="s">
        <v>20</v>
      </c>
      <c r="L667" s="4" t="s">
        <v>34</v>
      </c>
      <c r="M667" s="4">
        <v>723</v>
      </c>
    </row>
    <row r="668" spans="1:13" x14ac:dyDescent="0.3">
      <c r="A668" s="5" t="s">
        <v>1821</v>
      </c>
      <c r="B668" s="5" t="s">
        <v>1822</v>
      </c>
      <c r="C668" s="5">
        <v>48</v>
      </c>
      <c r="D668" s="5" t="s">
        <v>32</v>
      </c>
      <c r="E668" s="5">
        <v>210000</v>
      </c>
      <c r="F668" s="35">
        <v>0.09</v>
      </c>
      <c r="G668" s="5">
        <v>48</v>
      </c>
      <c r="H668" s="5" t="s">
        <v>1823</v>
      </c>
      <c r="I668" s="5">
        <v>5225.8599999999997</v>
      </c>
      <c r="J668" s="5">
        <v>250841.23</v>
      </c>
      <c r="K668" s="5" t="s">
        <v>20</v>
      </c>
      <c r="L668" s="5" t="s">
        <v>64</v>
      </c>
      <c r="M668" s="5">
        <v>599</v>
      </c>
    </row>
    <row r="669" spans="1:13" x14ac:dyDescent="0.3">
      <c r="A669" s="4" t="s">
        <v>1824</v>
      </c>
      <c r="B669" s="4" t="s">
        <v>1825</v>
      </c>
      <c r="C669" s="4">
        <v>49</v>
      </c>
      <c r="D669" s="4" t="s">
        <v>15</v>
      </c>
      <c r="E669" s="4">
        <v>450000</v>
      </c>
      <c r="F669" s="3">
        <v>0.125</v>
      </c>
      <c r="G669" s="4">
        <v>24</v>
      </c>
      <c r="H669" s="4" t="s">
        <v>1826</v>
      </c>
      <c r="I669" s="4">
        <v>21288.29</v>
      </c>
      <c r="J669" s="4">
        <v>510918.93</v>
      </c>
      <c r="K669" s="4" t="s">
        <v>16</v>
      </c>
      <c r="L669" s="4" t="s">
        <v>68</v>
      </c>
      <c r="M669" s="4">
        <v>748</v>
      </c>
    </row>
    <row r="670" spans="1:13" x14ac:dyDescent="0.3">
      <c r="A670" s="5" t="s">
        <v>1827</v>
      </c>
      <c r="B670" s="5" t="s">
        <v>491</v>
      </c>
      <c r="C670" s="5">
        <v>33</v>
      </c>
      <c r="D670" s="5" t="s">
        <v>37</v>
      </c>
      <c r="E670" s="5">
        <v>2500000</v>
      </c>
      <c r="F670" s="35">
        <v>8.5000000000000006E-2</v>
      </c>
      <c r="G670" s="5">
        <v>240</v>
      </c>
      <c r="H670" s="5" t="s">
        <v>1713</v>
      </c>
      <c r="I670" s="5">
        <v>21695.58</v>
      </c>
      <c r="J670" s="5">
        <v>5206939.4000000004</v>
      </c>
      <c r="K670" s="5" t="s">
        <v>16</v>
      </c>
      <c r="L670" s="5" t="s">
        <v>249</v>
      </c>
      <c r="M670" s="5">
        <v>898</v>
      </c>
    </row>
    <row r="671" spans="1:13" x14ac:dyDescent="0.3">
      <c r="A671" s="4" t="s">
        <v>1828</v>
      </c>
      <c r="B671" s="4" t="s">
        <v>1829</v>
      </c>
      <c r="C671" s="4">
        <v>55</v>
      </c>
      <c r="D671" s="4" t="s">
        <v>42</v>
      </c>
      <c r="E671" s="4">
        <v>940000</v>
      </c>
      <c r="F671" s="3">
        <v>0.12</v>
      </c>
      <c r="G671" s="4">
        <v>60</v>
      </c>
      <c r="H671" s="4" t="s">
        <v>1830</v>
      </c>
      <c r="I671" s="4">
        <v>20909.78</v>
      </c>
      <c r="J671" s="4">
        <v>1254586.8500000001</v>
      </c>
      <c r="K671" s="4" t="s">
        <v>20</v>
      </c>
      <c r="L671" s="4" t="s">
        <v>226</v>
      </c>
      <c r="M671" s="4">
        <v>730</v>
      </c>
    </row>
    <row r="672" spans="1:13" x14ac:dyDescent="0.3">
      <c r="A672" s="5" t="s">
        <v>1831</v>
      </c>
      <c r="B672" s="5" t="s">
        <v>1832</v>
      </c>
      <c r="C672" s="5">
        <v>26</v>
      </c>
      <c r="D672" s="5" t="s">
        <v>27</v>
      </c>
      <c r="E672" s="5">
        <v>220000</v>
      </c>
      <c r="F672" s="35">
        <v>9.5000000000000001E-2</v>
      </c>
      <c r="G672" s="5">
        <v>48</v>
      </c>
      <c r="H672" s="5" t="s">
        <v>1833</v>
      </c>
      <c r="I672" s="5">
        <v>5527.09</v>
      </c>
      <c r="J672" s="5">
        <v>265300.32</v>
      </c>
      <c r="K672" s="5" t="s">
        <v>16</v>
      </c>
      <c r="L672" s="5" t="s">
        <v>226</v>
      </c>
      <c r="M672" s="5">
        <v>573</v>
      </c>
    </row>
    <row r="673" spans="1:13" x14ac:dyDescent="0.3">
      <c r="A673" s="4" t="s">
        <v>1834</v>
      </c>
      <c r="B673" s="4" t="s">
        <v>528</v>
      </c>
      <c r="C673" s="4">
        <v>38</v>
      </c>
      <c r="D673" s="4" t="s">
        <v>32</v>
      </c>
      <c r="E673" s="4">
        <v>150000</v>
      </c>
      <c r="F673" s="3">
        <v>0.1</v>
      </c>
      <c r="G673" s="4">
        <v>36</v>
      </c>
      <c r="H673" s="4" t="s">
        <v>1835</v>
      </c>
      <c r="I673" s="4">
        <v>4840.08</v>
      </c>
      <c r="J673" s="4">
        <v>174242.81</v>
      </c>
      <c r="K673" s="4" t="s">
        <v>20</v>
      </c>
      <c r="L673" s="4" t="s">
        <v>86</v>
      </c>
      <c r="M673" s="4">
        <v>865</v>
      </c>
    </row>
    <row r="674" spans="1:13" x14ac:dyDescent="0.3">
      <c r="A674" s="5" t="s">
        <v>1836</v>
      </c>
      <c r="B674" s="5" t="s">
        <v>1814</v>
      </c>
      <c r="C674" s="5">
        <v>25</v>
      </c>
      <c r="D674" s="5" t="s">
        <v>18</v>
      </c>
      <c r="E674" s="5">
        <v>980000</v>
      </c>
      <c r="F674" s="35">
        <v>0.13</v>
      </c>
      <c r="G674" s="5">
        <v>36</v>
      </c>
      <c r="H674" s="5" t="s">
        <v>1837</v>
      </c>
      <c r="I674" s="5">
        <v>33020.07</v>
      </c>
      <c r="J674" s="5">
        <v>1188722.6299999999</v>
      </c>
      <c r="K674" s="5" t="s">
        <v>16</v>
      </c>
      <c r="L674" s="5" t="s">
        <v>191</v>
      </c>
      <c r="M674" s="5">
        <v>595</v>
      </c>
    </row>
    <row r="675" spans="1:13" x14ac:dyDescent="0.3">
      <c r="A675" s="4" t="s">
        <v>1838</v>
      </c>
      <c r="B675" s="4" t="s">
        <v>1839</v>
      </c>
      <c r="C675" s="4">
        <v>45</v>
      </c>
      <c r="D675" s="4" t="s">
        <v>18</v>
      </c>
      <c r="E675" s="4">
        <v>1650000</v>
      </c>
      <c r="F675" s="3">
        <v>0.08</v>
      </c>
      <c r="G675" s="4">
        <v>36</v>
      </c>
      <c r="H675" s="4" t="s">
        <v>1840</v>
      </c>
      <c r="I675" s="4">
        <v>51705</v>
      </c>
      <c r="J675" s="4">
        <v>1861380.11</v>
      </c>
      <c r="K675" s="4" t="s">
        <v>20</v>
      </c>
      <c r="L675" s="4" t="s">
        <v>104</v>
      </c>
      <c r="M675" s="4">
        <v>564</v>
      </c>
    </row>
    <row r="676" spans="1:13" x14ac:dyDescent="0.3">
      <c r="A676" s="5" t="s">
        <v>1841</v>
      </c>
      <c r="B676" s="5" t="s">
        <v>1067</v>
      </c>
      <c r="C676" s="5">
        <v>22</v>
      </c>
      <c r="D676" s="5" t="s">
        <v>37</v>
      </c>
      <c r="E676" s="5">
        <v>1690000</v>
      </c>
      <c r="F676" s="35">
        <v>0.08</v>
      </c>
      <c r="G676" s="5">
        <v>84</v>
      </c>
      <c r="H676" s="5" t="s">
        <v>1508</v>
      </c>
      <c r="I676" s="5">
        <v>26340.7</v>
      </c>
      <c r="J676" s="5">
        <v>2212619</v>
      </c>
      <c r="K676" s="5" t="s">
        <v>312</v>
      </c>
      <c r="L676" s="5" t="s">
        <v>48</v>
      </c>
      <c r="M676" s="5">
        <v>702</v>
      </c>
    </row>
    <row r="677" spans="1:13" x14ac:dyDescent="0.3">
      <c r="A677" s="4" t="s">
        <v>1842</v>
      </c>
      <c r="B677" s="4" t="s">
        <v>1408</v>
      </c>
      <c r="C677" s="4">
        <v>30</v>
      </c>
      <c r="D677" s="4" t="s">
        <v>37</v>
      </c>
      <c r="E677" s="4">
        <v>4790000</v>
      </c>
      <c r="F677" s="3">
        <v>0.105</v>
      </c>
      <c r="G677" s="4">
        <v>24</v>
      </c>
      <c r="H677" s="4" t="s">
        <v>691</v>
      </c>
      <c r="I677" s="4">
        <v>222141.24</v>
      </c>
      <c r="J677" s="4">
        <v>5331389.75</v>
      </c>
      <c r="K677" s="4" t="s">
        <v>20</v>
      </c>
      <c r="L677" s="4" t="s">
        <v>159</v>
      </c>
      <c r="M677" s="4">
        <v>771</v>
      </c>
    </row>
    <row r="678" spans="1:13" x14ac:dyDescent="0.3">
      <c r="A678" s="5" t="s">
        <v>1843</v>
      </c>
      <c r="B678" s="5" t="s">
        <v>572</v>
      </c>
      <c r="C678" s="5">
        <v>50</v>
      </c>
      <c r="D678" s="5" t="s">
        <v>23</v>
      </c>
      <c r="E678" s="5">
        <v>7520000</v>
      </c>
      <c r="F678" s="35">
        <v>0.115</v>
      </c>
      <c r="G678" s="5">
        <v>48</v>
      </c>
      <c r="H678" s="5" t="s">
        <v>1844</v>
      </c>
      <c r="I678" s="5">
        <v>196189.35</v>
      </c>
      <c r="J678" s="5">
        <v>9417088.6500000004</v>
      </c>
      <c r="K678" s="5" t="s">
        <v>16</v>
      </c>
      <c r="L678" s="5" t="s">
        <v>143</v>
      </c>
      <c r="M678" s="5">
        <v>755</v>
      </c>
    </row>
    <row r="679" spans="1:13" x14ac:dyDescent="0.3">
      <c r="A679" s="4" t="s">
        <v>1845</v>
      </c>
      <c r="B679" s="4" t="s">
        <v>1846</v>
      </c>
      <c r="C679" s="4">
        <v>25</v>
      </c>
      <c r="D679" s="4" t="s">
        <v>32</v>
      </c>
      <c r="E679" s="4">
        <v>270000</v>
      </c>
      <c r="F679" s="3">
        <v>0.105</v>
      </c>
      <c r="G679" s="4">
        <v>120</v>
      </c>
      <c r="H679" s="4" t="s">
        <v>553</v>
      </c>
      <c r="I679" s="4">
        <v>3643.24</v>
      </c>
      <c r="J679" s="4">
        <v>437189.39</v>
      </c>
      <c r="K679" s="4" t="s">
        <v>312</v>
      </c>
      <c r="L679" s="4" t="s">
        <v>366</v>
      </c>
      <c r="M679" s="4">
        <v>822</v>
      </c>
    </row>
    <row r="680" spans="1:13" x14ac:dyDescent="0.3">
      <c r="A680" s="5" t="s">
        <v>1847</v>
      </c>
      <c r="B680" s="5" t="s">
        <v>884</v>
      </c>
      <c r="C680" s="5">
        <v>53</v>
      </c>
      <c r="D680" s="5" t="s">
        <v>15</v>
      </c>
      <c r="E680" s="5">
        <v>1450000</v>
      </c>
      <c r="F680" s="35">
        <v>0.115</v>
      </c>
      <c r="G680" s="5">
        <v>84</v>
      </c>
      <c r="H680" s="5" t="s">
        <v>1848</v>
      </c>
      <c r="I680" s="5">
        <v>25210.37</v>
      </c>
      <c r="J680" s="5">
        <v>2117670.9300000002</v>
      </c>
      <c r="K680" s="5" t="s">
        <v>20</v>
      </c>
      <c r="L680" s="5" t="s">
        <v>68</v>
      </c>
      <c r="M680" s="5">
        <v>785</v>
      </c>
    </row>
    <row r="681" spans="1:13" x14ac:dyDescent="0.3">
      <c r="A681" s="4" t="s">
        <v>1849</v>
      </c>
      <c r="B681" s="4" t="s">
        <v>1850</v>
      </c>
      <c r="C681" s="4">
        <v>21</v>
      </c>
      <c r="D681" s="4" t="s">
        <v>37</v>
      </c>
      <c r="E681" s="4">
        <v>1660000</v>
      </c>
      <c r="F681" s="3">
        <v>0.1</v>
      </c>
      <c r="G681" s="4">
        <v>24</v>
      </c>
      <c r="H681" s="4" t="s">
        <v>1851</v>
      </c>
      <c r="I681" s="4">
        <v>76600.58</v>
      </c>
      <c r="J681" s="4">
        <v>1838413.87</v>
      </c>
      <c r="K681" s="4" t="s">
        <v>16</v>
      </c>
      <c r="L681" s="4" t="s">
        <v>136</v>
      </c>
      <c r="M681" s="4">
        <v>889</v>
      </c>
    </row>
    <row r="682" spans="1:13" x14ac:dyDescent="0.3">
      <c r="A682" s="5" t="s">
        <v>1852</v>
      </c>
      <c r="B682" s="5" t="s">
        <v>1523</v>
      </c>
      <c r="C682" s="5">
        <v>38</v>
      </c>
      <c r="D682" s="5" t="s">
        <v>42</v>
      </c>
      <c r="E682" s="5">
        <v>1100000</v>
      </c>
      <c r="F682" s="35">
        <v>9.5000000000000001E-2</v>
      </c>
      <c r="G682" s="5">
        <v>180</v>
      </c>
      <c r="H682" s="5" t="s">
        <v>1853</v>
      </c>
      <c r="I682" s="5">
        <v>11486.47</v>
      </c>
      <c r="J682" s="5">
        <v>2067564.87</v>
      </c>
      <c r="K682" s="5" t="s">
        <v>20</v>
      </c>
      <c r="L682" s="5" t="s">
        <v>151</v>
      </c>
      <c r="M682" s="5">
        <v>777</v>
      </c>
    </row>
    <row r="683" spans="1:13" x14ac:dyDescent="0.3">
      <c r="A683" s="4" t="s">
        <v>1854</v>
      </c>
      <c r="B683" s="4" t="s">
        <v>1395</v>
      </c>
      <c r="C683" s="4">
        <v>52</v>
      </c>
      <c r="D683" s="4" t="s">
        <v>23</v>
      </c>
      <c r="E683" s="4">
        <v>8100000</v>
      </c>
      <c r="F683" s="3">
        <v>0.115</v>
      </c>
      <c r="G683" s="4">
        <v>180</v>
      </c>
      <c r="H683" s="4" t="s">
        <v>1855</v>
      </c>
      <c r="I683" s="4">
        <v>94623.37</v>
      </c>
      <c r="J683" s="4">
        <v>17032207.43</v>
      </c>
      <c r="K683" s="4" t="s">
        <v>20</v>
      </c>
      <c r="L683" s="4" t="s">
        <v>326</v>
      </c>
      <c r="M683" s="4">
        <v>558</v>
      </c>
    </row>
    <row r="684" spans="1:13" x14ac:dyDescent="0.3">
      <c r="A684" s="5" t="s">
        <v>1856</v>
      </c>
      <c r="B684" s="5" t="s">
        <v>1857</v>
      </c>
      <c r="C684" s="5">
        <v>31</v>
      </c>
      <c r="D684" s="5" t="s">
        <v>37</v>
      </c>
      <c r="E684" s="5">
        <v>2060000</v>
      </c>
      <c r="F684" s="35">
        <v>0.11</v>
      </c>
      <c r="G684" s="5">
        <v>180</v>
      </c>
      <c r="H684" s="5" t="s">
        <v>1858</v>
      </c>
      <c r="I684" s="5">
        <v>23413.9</v>
      </c>
      <c r="J684" s="5">
        <v>4214501.43</v>
      </c>
      <c r="K684" s="5" t="s">
        <v>20</v>
      </c>
      <c r="L684" s="5" t="s">
        <v>94</v>
      </c>
      <c r="M684" s="5">
        <v>715</v>
      </c>
    </row>
    <row r="685" spans="1:13" x14ac:dyDescent="0.3">
      <c r="A685" s="4" t="s">
        <v>1859</v>
      </c>
      <c r="B685" s="4" t="s">
        <v>1860</v>
      </c>
      <c r="C685" s="4">
        <v>41</v>
      </c>
      <c r="D685" s="4" t="s">
        <v>32</v>
      </c>
      <c r="E685" s="4">
        <v>310000</v>
      </c>
      <c r="F685" s="3">
        <v>7.4999999999999997E-2</v>
      </c>
      <c r="G685" s="4">
        <v>48</v>
      </c>
      <c r="H685" s="4" t="s">
        <v>1861</v>
      </c>
      <c r="I685" s="4">
        <v>7495.46</v>
      </c>
      <c r="J685" s="4">
        <v>359782.06</v>
      </c>
      <c r="K685" s="4" t="s">
        <v>20</v>
      </c>
      <c r="L685" s="4" t="s">
        <v>34</v>
      </c>
      <c r="M685" s="4">
        <v>868</v>
      </c>
    </row>
    <row r="686" spans="1:13" x14ac:dyDescent="0.3">
      <c r="A686" s="5" t="s">
        <v>1862</v>
      </c>
      <c r="B686" s="5" t="s">
        <v>356</v>
      </c>
      <c r="C686" s="5">
        <v>46</v>
      </c>
      <c r="D686" s="5" t="s">
        <v>32</v>
      </c>
      <c r="E686" s="5">
        <v>380000</v>
      </c>
      <c r="F686" s="35">
        <v>0.13</v>
      </c>
      <c r="G686" s="5">
        <v>36</v>
      </c>
      <c r="H686" s="5" t="s">
        <v>1863</v>
      </c>
      <c r="I686" s="5">
        <v>12803.7</v>
      </c>
      <c r="J686" s="5">
        <v>460933.26</v>
      </c>
      <c r="K686" s="5" t="s">
        <v>16</v>
      </c>
      <c r="L686" s="5" t="s">
        <v>151</v>
      </c>
      <c r="M686" s="5">
        <v>763</v>
      </c>
    </row>
    <row r="687" spans="1:13" x14ac:dyDescent="0.3">
      <c r="A687" s="4" t="s">
        <v>1864</v>
      </c>
      <c r="B687" s="4" t="s">
        <v>1865</v>
      </c>
      <c r="C687" s="4">
        <v>45</v>
      </c>
      <c r="D687" s="4" t="s">
        <v>37</v>
      </c>
      <c r="E687" s="4">
        <v>1950000</v>
      </c>
      <c r="F687" s="3">
        <v>0.12</v>
      </c>
      <c r="G687" s="4">
        <v>120</v>
      </c>
      <c r="H687" s="4" t="s">
        <v>751</v>
      </c>
      <c r="I687" s="4">
        <v>27976.83</v>
      </c>
      <c r="J687" s="4">
        <v>3357220.19</v>
      </c>
      <c r="K687" s="4" t="s">
        <v>16</v>
      </c>
      <c r="L687" s="4" t="s">
        <v>119</v>
      </c>
      <c r="M687" s="4">
        <v>666</v>
      </c>
    </row>
    <row r="688" spans="1:13" x14ac:dyDescent="0.3">
      <c r="A688" s="5" t="s">
        <v>1866</v>
      </c>
      <c r="B688" s="5" t="s">
        <v>1867</v>
      </c>
      <c r="C688" s="5">
        <v>42</v>
      </c>
      <c r="D688" s="5" t="s">
        <v>18</v>
      </c>
      <c r="E688" s="5">
        <v>1360000</v>
      </c>
      <c r="F688" s="35">
        <v>0.12</v>
      </c>
      <c r="G688" s="5">
        <v>12</v>
      </c>
      <c r="H688" s="5" t="s">
        <v>1868</v>
      </c>
      <c r="I688" s="5">
        <v>120834.35</v>
      </c>
      <c r="J688" s="5">
        <v>1450012.23</v>
      </c>
      <c r="K688" s="5" t="s">
        <v>16</v>
      </c>
      <c r="L688" s="5" t="s">
        <v>316</v>
      </c>
      <c r="M688" s="5">
        <v>893</v>
      </c>
    </row>
    <row r="689" spans="1:13" x14ac:dyDescent="0.3">
      <c r="A689" s="4" t="s">
        <v>1869</v>
      </c>
      <c r="B689" s="4" t="s">
        <v>1144</v>
      </c>
      <c r="C689" s="4">
        <v>47</v>
      </c>
      <c r="D689" s="4" t="s">
        <v>18</v>
      </c>
      <c r="E689" s="4">
        <v>550000</v>
      </c>
      <c r="F689" s="3">
        <v>0.115</v>
      </c>
      <c r="G689" s="4">
        <v>48</v>
      </c>
      <c r="H689" s="4" t="s">
        <v>1870</v>
      </c>
      <c r="I689" s="4">
        <v>14348.95</v>
      </c>
      <c r="J689" s="4">
        <v>688749.84</v>
      </c>
      <c r="K689" s="4" t="s">
        <v>16</v>
      </c>
      <c r="L689" s="4" t="s">
        <v>151</v>
      </c>
      <c r="M689" s="4">
        <v>621</v>
      </c>
    </row>
    <row r="690" spans="1:13" x14ac:dyDescent="0.3">
      <c r="A690" s="5" t="s">
        <v>1871</v>
      </c>
      <c r="B690" s="5" t="s">
        <v>1872</v>
      </c>
      <c r="C690" s="5">
        <v>33</v>
      </c>
      <c r="D690" s="5" t="s">
        <v>42</v>
      </c>
      <c r="E690" s="5">
        <v>1330000</v>
      </c>
      <c r="F690" s="35">
        <v>0.105</v>
      </c>
      <c r="G690" s="5">
        <v>12</v>
      </c>
      <c r="H690" s="5" t="s">
        <v>1873</v>
      </c>
      <c r="I690" s="5">
        <v>117237.64</v>
      </c>
      <c r="J690" s="5">
        <v>1406851.7</v>
      </c>
      <c r="K690" s="5" t="s">
        <v>20</v>
      </c>
      <c r="L690" s="5" t="s">
        <v>326</v>
      </c>
      <c r="M690" s="5">
        <v>613</v>
      </c>
    </row>
    <row r="691" spans="1:13" x14ac:dyDescent="0.3">
      <c r="A691" s="4" t="s">
        <v>1874</v>
      </c>
      <c r="B691" s="4" t="s">
        <v>1816</v>
      </c>
      <c r="C691" s="4">
        <v>53</v>
      </c>
      <c r="D691" s="4" t="s">
        <v>23</v>
      </c>
      <c r="E691" s="4">
        <v>5850000</v>
      </c>
      <c r="F691" s="3">
        <v>0.08</v>
      </c>
      <c r="G691" s="4">
        <v>36</v>
      </c>
      <c r="H691" s="4" t="s">
        <v>1875</v>
      </c>
      <c r="I691" s="4">
        <v>183317.74</v>
      </c>
      <c r="J691" s="4">
        <v>6599438.5700000003</v>
      </c>
      <c r="K691" s="4" t="s">
        <v>20</v>
      </c>
      <c r="L691" s="4" t="s">
        <v>143</v>
      </c>
      <c r="M691" s="4">
        <v>754</v>
      </c>
    </row>
    <row r="692" spans="1:13" x14ac:dyDescent="0.3">
      <c r="A692" s="5" t="s">
        <v>1876</v>
      </c>
      <c r="B692" s="5" t="s">
        <v>693</v>
      </c>
      <c r="C692" s="5">
        <v>54</v>
      </c>
      <c r="D692" s="5" t="s">
        <v>18</v>
      </c>
      <c r="E692" s="5">
        <v>490000</v>
      </c>
      <c r="F692" s="35">
        <v>0.105</v>
      </c>
      <c r="G692" s="5">
        <v>36</v>
      </c>
      <c r="H692" s="5" t="s">
        <v>1710</v>
      </c>
      <c r="I692" s="5">
        <v>15926.2</v>
      </c>
      <c r="J692" s="5">
        <v>573343.1</v>
      </c>
      <c r="K692" s="5" t="s">
        <v>16</v>
      </c>
      <c r="L692" s="5" t="s">
        <v>119</v>
      </c>
      <c r="M692" s="5">
        <v>758</v>
      </c>
    </row>
    <row r="693" spans="1:13" x14ac:dyDescent="0.3">
      <c r="A693" s="4" t="s">
        <v>1877</v>
      </c>
      <c r="B693" s="4" t="s">
        <v>655</v>
      </c>
      <c r="C693" s="4">
        <v>61</v>
      </c>
      <c r="D693" s="4" t="s">
        <v>32</v>
      </c>
      <c r="E693" s="4">
        <v>150000</v>
      </c>
      <c r="F693" s="3">
        <v>8.5000000000000006E-2</v>
      </c>
      <c r="G693" s="4">
        <v>36</v>
      </c>
      <c r="H693" s="4" t="s">
        <v>1878</v>
      </c>
      <c r="I693" s="4">
        <v>4735.13</v>
      </c>
      <c r="J693" s="4">
        <v>170464.7</v>
      </c>
      <c r="K693" s="4" t="s">
        <v>60</v>
      </c>
      <c r="L693" s="4" t="s">
        <v>159</v>
      </c>
      <c r="M693" s="4">
        <v>621</v>
      </c>
    </row>
    <row r="694" spans="1:13" x14ac:dyDescent="0.3">
      <c r="A694" s="5" t="s">
        <v>1879</v>
      </c>
      <c r="B694" s="5" t="s">
        <v>723</v>
      </c>
      <c r="C694" s="5">
        <v>55</v>
      </c>
      <c r="D694" s="5" t="s">
        <v>23</v>
      </c>
      <c r="E694" s="5">
        <v>6280000</v>
      </c>
      <c r="F694" s="35">
        <v>8.5000000000000006E-2</v>
      </c>
      <c r="G694" s="5">
        <v>240</v>
      </c>
      <c r="H694" s="5" t="s">
        <v>1880</v>
      </c>
      <c r="I694" s="5">
        <v>54499.3</v>
      </c>
      <c r="J694" s="5">
        <v>13079831.77</v>
      </c>
      <c r="K694" s="5" t="s">
        <v>16</v>
      </c>
      <c r="L694" s="5" t="s">
        <v>29</v>
      </c>
      <c r="M694" s="5">
        <v>826</v>
      </c>
    </row>
    <row r="695" spans="1:13" x14ac:dyDescent="0.3">
      <c r="A695" s="4" t="s">
        <v>1881</v>
      </c>
      <c r="B695" s="4" t="s">
        <v>1882</v>
      </c>
      <c r="C695" s="4">
        <v>21</v>
      </c>
      <c r="D695" s="4" t="s">
        <v>15</v>
      </c>
      <c r="E695" s="4">
        <v>1970000</v>
      </c>
      <c r="F695" s="3">
        <v>0.12</v>
      </c>
      <c r="G695" s="4">
        <v>12</v>
      </c>
      <c r="H695" s="4" t="s">
        <v>1883</v>
      </c>
      <c r="I695" s="4">
        <v>175032.11</v>
      </c>
      <c r="J695" s="4">
        <v>2100385.36</v>
      </c>
      <c r="K695" s="4" t="s">
        <v>16</v>
      </c>
      <c r="L695" s="4" t="s">
        <v>201</v>
      </c>
      <c r="M695" s="4">
        <v>823</v>
      </c>
    </row>
    <row r="696" spans="1:13" x14ac:dyDescent="0.3">
      <c r="A696" s="5" t="s">
        <v>1884</v>
      </c>
      <c r="B696" s="5" t="s">
        <v>1322</v>
      </c>
      <c r="C696" s="5">
        <v>41</v>
      </c>
      <c r="D696" s="5" t="s">
        <v>37</v>
      </c>
      <c r="E696" s="5">
        <v>4280000</v>
      </c>
      <c r="F696" s="35">
        <v>0.12</v>
      </c>
      <c r="G696" s="5">
        <v>36</v>
      </c>
      <c r="H696" s="5" t="s">
        <v>1885</v>
      </c>
      <c r="I696" s="5">
        <v>142157.25</v>
      </c>
      <c r="J696" s="5">
        <v>5117660.8600000003</v>
      </c>
      <c r="K696" s="5" t="s">
        <v>20</v>
      </c>
      <c r="L696" s="5" t="s">
        <v>143</v>
      </c>
      <c r="M696" s="5">
        <v>869</v>
      </c>
    </row>
    <row r="697" spans="1:13" x14ac:dyDescent="0.3">
      <c r="A697" s="4" t="s">
        <v>1886</v>
      </c>
      <c r="B697" s="4" t="s">
        <v>1887</v>
      </c>
      <c r="C697" s="4">
        <v>26</v>
      </c>
      <c r="D697" s="4" t="s">
        <v>32</v>
      </c>
      <c r="E697" s="4">
        <v>370000</v>
      </c>
      <c r="F697" s="3">
        <v>0.12</v>
      </c>
      <c r="G697" s="4">
        <v>12</v>
      </c>
      <c r="H697" s="4" t="s">
        <v>1888</v>
      </c>
      <c r="I697" s="4">
        <v>32874.050000000003</v>
      </c>
      <c r="J697" s="4">
        <v>394488.62</v>
      </c>
      <c r="K697" s="4" t="s">
        <v>20</v>
      </c>
      <c r="L697" s="4" t="s">
        <v>34</v>
      </c>
      <c r="M697" s="4">
        <v>887</v>
      </c>
    </row>
    <row r="698" spans="1:13" x14ac:dyDescent="0.3">
      <c r="A698" s="5" t="s">
        <v>1889</v>
      </c>
      <c r="B698" s="5" t="s">
        <v>1890</v>
      </c>
      <c r="C698" s="5">
        <v>48</v>
      </c>
      <c r="D698" s="5" t="s">
        <v>15</v>
      </c>
      <c r="E698" s="5">
        <v>310000</v>
      </c>
      <c r="F698" s="35">
        <v>0.08</v>
      </c>
      <c r="G698" s="5">
        <v>36</v>
      </c>
      <c r="H698" s="5" t="s">
        <v>33</v>
      </c>
      <c r="I698" s="5">
        <v>9714.27</v>
      </c>
      <c r="J698" s="5">
        <v>349713.84</v>
      </c>
      <c r="K698" s="5" t="s">
        <v>20</v>
      </c>
      <c r="L698" s="5" t="s">
        <v>52</v>
      </c>
      <c r="M698" s="5">
        <v>644</v>
      </c>
    </row>
    <row r="699" spans="1:13" x14ac:dyDescent="0.3">
      <c r="A699" s="4" t="s">
        <v>1891</v>
      </c>
      <c r="B699" s="4" t="s">
        <v>1892</v>
      </c>
      <c r="C699" s="4">
        <v>37</v>
      </c>
      <c r="D699" s="4" t="s">
        <v>23</v>
      </c>
      <c r="E699" s="4">
        <v>7020000</v>
      </c>
      <c r="F699" s="3">
        <v>0.08</v>
      </c>
      <c r="G699" s="4">
        <v>60</v>
      </c>
      <c r="H699" s="4" t="s">
        <v>1893</v>
      </c>
      <c r="I699" s="4">
        <v>142340.29</v>
      </c>
      <c r="J699" s="4">
        <v>8540417.2699999996</v>
      </c>
      <c r="K699" s="4" t="s">
        <v>16</v>
      </c>
      <c r="L699" s="4" t="s">
        <v>132</v>
      </c>
      <c r="M699" s="4">
        <v>715</v>
      </c>
    </row>
    <row r="700" spans="1:13" x14ac:dyDescent="0.3">
      <c r="A700" s="5" t="s">
        <v>1894</v>
      </c>
      <c r="B700" s="5" t="s">
        <v>321</v>
      </c>
      <c r="C700" s="5">
        <v>25</v>
      </c>
      <c r="D700" s="5" t="s">
        <v>15</v>
      </c>
      <c r="E700" s="5">
        <v>220000</v>
      </c>
      <c r="F700" s="35">
        <v>0.12</v>
      </c>
      <c r="G700" s="5">
        <v>36</v>
      </c>
      <c r="H700" s="5" t="s">
        <v>1895</v>
      </c>
      <c r="I700" s="5">
        <v>7307.15</v>
      </c>
      <c r="J700" s="5">
        <v>263057.33</v>
      </c>
      <c r="K700" s="5" t="s">
        <v>16</v>
      </c>
      <c r="L700" s="5" t="s">
        <v>21</v>
      </c>
      <c r="M700" s="5">
        <v>581</v>
      </c>
    </row>
    <row r="701" spans="1:13" x14ac:dyDescent="0.3">
      <c r="A701" s="4" t="s">
        <v>1896</v>
      </c>
      <c r="B701" s="4" t="s">
        <v>1897</v>
      </c>
      <c r="C701" s="4">
        <v>51</v>
      </c>
      <c r="D701" s="4" t="s">
        <v>42</v>
      </c>
      <c r="E701" s="4">
        <v>1320000</v>
      </c>
      <c r="F701" s="3">
        <v>0.08</v>
      </c>
      <c r="G701" s="4">
        <v>240</v>
      </c>
      <c r="H701" s="4" t="s">
        <v>1898</v>
      </c>
      <c r="I701" s="4">
        <v>11041.01</v>
      </c>
      <c r="J701" s="4">
        <v>2649842.14</v>
      </c>
      <c r="K701" s="4" t="s">
        <v>16</v>
      </c>
      <c r="L701" s="4" t="s">
        <v>159</v>
      </c>
      <c r="M701" s="4">
        <v>560</v>
      </c>
    </row>
    <row r="702" spans="1:13" x14ac:dyDescent="0.3">
      <c r="A702" s="5" t="s">
        <v>1899</v>
      </c>
      <c r="B702" s="5" t="s">
        <v>1900</v>
      </c>
      <c r="C702" s="5">
        <v>25</v>
      </c>
      <c r="D702" s="5" t="s">
        <v>27</v>
      </c>
      <c r="E702" s="5">
        <v>240000</v>
      </c>
      <c r="F702" s="35">
        <v>9.5000000000000001E-2</v>
      </c>
      <c r="G702" s="5">
        <v>120</v>
      </c>
      <c r="H702" s="5" t="s">
        <v>1901</v>
      </c>
      <c r="I702" s="5">
        <v>3105.54</v>
      </c>
      <c r="J702" s="5">
        <v>372664.97</v>
      </c>
      <c r="K702" s="5" t="s">
        <v>16</v>
      </c>
      <c r="L702" s="5" t="s">
        <v>68</v>
      </c>
      <c r="M702" s="5">
        <v>850</v>
      </c>
    </row>
    <row r="703" spans="1:13" x14ac:dyDescent="0.3">
      <c r="A703" s="4" t="s">
        <v>1902</v>
      </c>
      <c r="B703" s="4" t="s">
        <v>1903</v>
      </c>
      <c r="C703" s="4">
        <v>58</v>
      </c>
      <c r="D703" s="4" t="s">
        <v>42</v>
      </c>
      <c r="E703" s="4">
        <v>710000</v>
      </c>
      <c r="F703" s="3">
        <v>0.115</v>
      </c>
      <c r="G703" s="4">
        <v>12</v>
      </c>
      <c r="H703" s="4" t="s">
        <v>1904</v>
      </c>
      <c r="I703" s="4">
        <v>62916.69</v>
      </c>
      <c r="J703" s="4">
        <v>755000.26</v>
      </c>
      <c r="K703" s="4" t="s">
        <v>16</v>
      </c>
      <c r="L703" s="4" t="s">
        <v>68</v>
      </c>
      <c r="M703" s="4">
        <v>766</v>
      </c>
    </row>
    <row r="704" spans="1:13" x14ac:dyDescent="0.3">
      <c r="A704" s="5" t="s">
        <v>1905</v>
      </c>
      <c r="B704" s="5" t="s">
        <v>1503</v>
      </c>
      <c r="C704" s="5">
        <v>23</v>
      </c>
      <c r="D704" s="5" t="s">
        <v>23</v>
      </c>
      <c r="E704" s="5">
        <v>7440000</v>
      </c>
      <c r="F704" s="35">
        <v>0.1</v>
      </c>
      <c r="G704" s="5">
        <v>60</v>
      </c>
      <c r="H704" s="5" t="s">
        <v>1906</v>
      </c>
      <c r="I704" s="5">
        <v>158078.01</v>
      </c>
      <c r="J704" s="5">
        <v>9484680.7599999998</v>
      </c>
      <c r="K704" s="5" t="s">
        <v>20</v>
      </c>
      <c r="L704" s="5" t="s">
        <v>25</v>
      </c>
      <c r="M704" s="5">
        <v>838</v>
      </c>
    </row>
    <row r="705" spans="1:13" x14ac:dyDescent="0.3">
      <c r="A705" s="4" t="s">
        <v>1907</v>
      </c>
      <c r="B705" s="4" t="s">
        <v>371</v>
      </c>
      <c r="C705" s="4">
        <v>43</v>
      </c>
      <c r="D705" s="4" t="s">
        <v>42</v>
      </c>
      <c r="E705" s="4">
        <v>1480000</v>
      </c>
      <c r="F705" s="3">
        <v>0.105</v>
      </c>
      <c r="G705" s="4">
        <v>24</v>
      </c>
      <c r="H705" s="4" t="s">
        <v>1908</v>
      </c>
      <c r="I705" s="4">
        <v>68636.539999999994</v>
      </c>
      <c r="J705" s="4">
        <v>1647277</v>
      </c>
      <c r="K705" s="4" t="s">
        <v>60</v>
      </c>
      <c r="L705" s="4" t="s">
        <v>94</v>
      </c>
      <c r="M705" s="4">
        <v>651</v>
      </c>
    </row>
    <row r="706" spans="1:13" x14ac:dyDescent="0.3">
      <c r="A706" s="5" t="s">
        <v>1909</v>
      </c>
      <c r="B706" s="5" t="s">
        <v>444</v>
      </c>
      <c r="C706" s="5">
        <v>57</v>
      </c>
      <c r="D706" s="5" t="s">
        <v>32</v>
      </c>
      <c r="E706" s="5">
        <v>310000</v>
      </c>
      <c r="F706" s="35">
        <v>9.5000000000000001E-2</v>
      </c>
      <c r="G706" s="5">
        <v>48</v>
      </c>
      <c r="H706" s="5" t="s">
        <v>1910</v>
      </c>
      <c r="I706" s="5">
        <v>7788.17</v>
      </c>
      <c r="J706" s="5">
        <v>373832.27</v>
      </c>
      <c r="K706" s="5" t="s">
        <v>16</v>
      </c>
      <c r="L706" s="5" t="s">
        <v>86</v>
      </c>
      <c r="M706" s="5">
        <v>816</v>
      </c>
    </row>
    <row r="707" spans="1:13" x14ac:dyDescent="0.3">
      <c r="A707" s="4" t="s">
        <v>1911</v>
      </c>
      <c r="B707" s="4" t="s">
        <v>1912</v>
      </c>
      <c r="C707" s="4">
        <v>57</v>
      </c>
      <c r="D707" s="4" t="s">
        <v>23</v>
      </c>
      <c r="E707" s="4">
        <v>9300000</v>
      </c>
      <c r="F707" s="3">
        <v>0.105</v>
      </c>
      <c r="G707" s="4">
        <v>180</v>
      </c>
      <c r="H707" s="4" t="s">
        <v>1913</v>
      </c>
      <c r="I707" s="4">
        <v>102802.1</v>
      </c>
      <c r="J707" s="4">
        <v>18504377.98</v>
      </c>
      <c r="K707" s="4" t="s">
        <v>20</v>
      </c>
      <c r="L707" s="4" t="s">
        <v>25</v>
      </c>
      <c r="M707" s="4">
        <v>763</v>
      </c>
    </row>
    <row r="708" spans="1:13" x14ac:dyDescent="0.3">
      <c r="A708" s="5" t="s">
        <v>1914</v>
      </c>
      <c r="B708" s="5" t="s">
        <v>471</v>
      </c>
      <c r="C708" s="5">
        <v>30</v>
      </c>
      <c r="D708" s="5" t="s">
        <v>42</v>
      </c>
      <c r="E708" s="5">
        <v>1160000</v>
      </c>
      <c r="F708" s="35">
        <v>0.125</v>
      </c>
      <c r="G708" s="5">
        <v>180</v>
      </c>
      <c r="H708" s="5" t="s">
        <v>1848</v>
      </c>
      <c r="I708" s="5">
        <v>14297.26</v>
      </c>
      <c r="J708" s="5">
        <v>2573506.11</v>
      </c>
      <c r="K708" s="5" t="s">
        <v>20</v>
      </c>
      <c r="L708" s="5" t="s">
        <v>56</v>
      </c>
      <c r="M708" s="5">
        <v>728</v>
      </c>
    </row>
    <row r="709" spans="1:13" x14ac:dyDescent="0.3">
      <c r="A709" s="4" t="s">
        <v>1915</v>
      </c>
      <c r="B709" s="4" t="s">
        <v>975</v>
      </c>
      <c r="C709" s="4">
        <v>30</v>
      </c>
      <c r="D709" s="4" t="s">
        <v>37</v>
      </c>
      <c r="E709" s="4">
        <v>4620000</v>
      </c>
      <c r="F709" s="3">
        <v>0.11</v>
      </c>
      <c r="G709" s="4">
        <v>180</v>
      </c>
      <c r="H709" s="4" t="s">
        <v>1916</v>
      </c>
      <c r="I709" s="4">
        <v>52510.78</v>
      </c>
      <c r="J709" s="4">
        <v>9451940.1099999994</v>
      </c>
      <c r="K709" s="4" t="s">
        <v>20</v>
      </c>
      <c r="L709" s="4" t="s">
        <v>316</v>
      </c>
      <c r="M709" s="4">
        <v>637</v>
      </c>
    </row>
    <row r="710" spans="1:13" x14ac:dyDescent="0.3">
      <c r="A710" s="5" t="s">
        <v>1917</v>
      </c>
      <c r="B710" s="5" t="s">
        <v>1918</v>
      </c>
      <c r="C710" s="5">
        <v>39</v>
      </c>
      <c r="D710" s="5" t="s">
        <v>18</v>
      </c>
      <c r="E710" s="5">
        <v>1070000</v>
      </c>
      <c r="F710" s="35">
        <v>0.12</v>
      </c>
      <c r="G710" s="5">
        <v>36</v>
      </c>
      <c r="H710" s="5" t="s">
        <v>988</v>
      </c>
      <c r="I710" s="5">
        <v>35539.31</v>
      </c>
      <c r="J710" s="5">
        <v>1279415.21</v>
      </c>
      <c r="K710" s="5" t="s">
        <v>16</v>
      </c>
      <c r="L710" s="5" t="s">
        <v>90</v>
      </c>
      <c r="M710" s="5">
        <v>590</v>
      </c>
    </row>
    <row r="711" spans="1:13" x14ac:dyDescent="0.3">
      <c r="A711" s="4" t="s">
        <v>1919</v>
      </c>
      <c r="B711" s="4" t="s">
        <v>153</v>
      </c>
      <c r="C711" s="4">
        <v>37</v>
      </c>
      <c r="D711" s="4" t="s">
        <v>37</v>
      </c>
      <c r="E711" s="4">
        <v>4220000</v>
      </c>
      <c r="F711" s="3">
        <v>0.12</v>
      </c>
      <c r="G711" s="4">
        <v>48</v>
      </c>
      <c r="H711" s="4" t="s">
        <v>1920</v>
      </c>
      <c r="I711" s="4">
        <v>111128.79</v>
      </c>
      <c r="J711" s="4">
        <v>5334181.71</v>
      </c>
      <c r="K711" s="4" t="s">
        <v>20</v>
      </c>
      <c r="L711" s="4" t="s">
        <v>191</v>
      </c>
      <c r="M711" s="4">
        <v>625</v>
      </c>
    </row>
    <row r="712" spans="1:13" x14ac:dyDescent="0.3">
      <c r="A712" s="5" t="s">
        <v>1921</v>
      </c>
      <c r="B712" s="5" t="s">
        <v>1595</v>
      </c>
      <c r="C712" s="5">
        <v>41</v>
      </c>
      <c r="D712" s="5" t="s">
        <v>42</v>
      </c>
      <c r="E712" s="5">
        <v>1320000</v>
      </c>
      <c r="F712" s="35">
        <v>0.11</v>
      </c>
      <c r="G712" s="5">
        <v>120</v>
      </c>
      <c r="H712" s="5" t="s">
        <v>1922</v>
      </c>
      <c r="I712" s="5">
        <v>18183</v>
      </c>
      <c r="J712" s="5">
        <v>2181960.1800000002</v>
      </c>
      <c r="K712" s="5" t="s">
        <v>20</v>
      </c>
      <c r="L712" s="5" t="s">
        <v>48</v>
      </c>
      <c r="M712" s="5">
        <v>595</v>
      </c>
    </row>
    <row r="713" spans="1:13" x14ac:dyDescent="0.3">
      <c r="A713" s="4" t="s">
        <v>1923</v>
      </c>
      <c r="B713" s="4" t="s">
        <v>1924</v>
      </c>
      <c r="C713" s="4">
        <v>34</v>
      </c>
      <c r="D713" s="4" t="s">
        <v>18</v>
      </c>
      <c r="E713" s="4">
        <v>550000</v>
      </c>
      <c r="F713" s="3">
        <v>7.4999999999999997E-2</v>
      </c>
      <c r="G713" s="4">
        <v>36</v>
      </c>
      <c r="H713" s="4" t="s">
        <v>1925</v>
      </c>
      <c r="I713" s="4">
        <v>17108.419999999998</v>
      </c>
      <c r="J713" s="4">
        <v>615903.12</v>
      </c>
      <c r="K713" s="4" t="s">
        <v>16</v>
      </c>
      <c r="L713" s="4" t="s">
        <v>366</v>
      </c>
      <c r="M713" s="4">
        <v>709</v>
      </c>
    </row>
    <row r="714" spans="1:13" x14ac:dyDescent="0.3">
      <c r="A714" s="5" t="s">
        <v>1926</v>
      </c>
      <c r="B714" s="5" t="s">
        <v>1927</v>
      </c>
      <c r="C714" s="5">
        <v>29</v>
      </c>
      <c r="D714" s="5" t="s">
        <v>18</v>
      </c>
      <c r="E714" s="5">
        <v>370000</v>
      </c>
      <c r="F714" s="35">
        <v>8.5000000000000006E-2</v>
      </c>
      <c r="G714" s="5">
        <v>36</v>
      </c>
      <c r="H714" s="5" t="s">
        <v>1928</v>
      </c>
      <c r="I714" s="5">
        <v>11679.99</v>
      </c>
      <c r="J714" s="5">
        <v>420479.6</v>
      </c>
      <c r="K714" s="5" t="s">
        <v>60</v>
      </c>
      <c r="L714" s="5" t="s">
        <v>56</v>
      </c>
      <c r="M714" s="5">
        <v>629</v>
      </c>
    </row>
    <row r="715" spans="1:13" x14ac:dyDescent="0.3">
      <c r="A715" s="4" t="s">
        <v>1929</v>
      </c>
      <c r="B715" s="4" t="s">
        <v>1930</v>
      </c>
      <c r="C715" s="4">
        <v>21</v>
      </c>
      <c r="D715" s="4" t="s">
        <v>32</v>
      </c>
      <c r="E715" s="4">
        <v>350000</v>
      </c>
      <c r="F715" s="3">
        <v>9.5000000000000001E-2</v>
      </c>
      <c r="G715" s="4">
        <v>240</v>
      </c>
      <c r="H715" s="4" t="s">
        <v>1931</v>
      </c>
      <c r="I715" s="4">
        <v>3262.46</v>
      </c>
      <c r="J715" s="4">
        <v>782990.2</v>
      </c>
      <c r="K715" s="4" t="s">
        <v>20</v>
      </c>
      <c r="L715" s="4" t="s">
        <v>316</v>
      </c>
      <c r="M715" s="4">
        <v>859</v>
      </c>
    </row>
    <row r="716" spans="1:13" x14ac:dyDescent="0.3">
      <c r="A716" s="5" t="s">
        <v>1932</v>
      </c>
      <c r="B716" s="5" t="s">
        <v>278</v>
      </c>
      <c r="C716" s="5">
        <v>33</v>
      </c>
      <c r="D716" s="5" t="s">
        <v>32</v>
      </c>
      <c r="E716" s="5">
        <v>70000</v>
      </c>
      <c r="F716" s="35">
        <v>0.105</v>
      </c>
      <c r="G716" s="5">
        <v>60</v>
      </c>
      <c r="H716" s="5" t="s">
        <v>1933</v>
      </c>
      <c r="I716" s="5">
        <v>1504.57</v>
      </c>
      <c r="J716" s="5">
        <v>90274.38</v>
      </c>
      <c r="K716" s="5" t="s">
        <v>16</v>
      </c>
      <c r="L716" s="5" t="s">
        <v>155</v>
      </c>
      <c r="M716" s="5">
        <v>635</v>
      </c>
    </row>
    <row r="717" spans="1:13" x14ac:dyDescent="0.3">
      <c r="A717" s="4" t="s">
        <v>1934</v>
      </c>
      <c r="B717" s="4" t="s">
        <v>975</v>
      </c>
      <c r="C717" s="4">
        <v>24</v>
      </c>
      <c r="D717" s="4" t="s">
        <v>15</v>
      </c>
      <c r="E717" s="4">
        <v>1870000</v>
      </c>
      <c r="F717" s="3">
        <v>8.5000000000000006E-2</v>
      </c>
      <c r="G717" s="4">
        <v>36</v>
      </c>
      <c r="H717" s="4" t="s">
        <v>1935</v>
      </c>
      <c r="I717" s="4">
        <v>59031.29</v>
      </c>
      <c r="J717" s="4">
        <v>2125126.62</v>
      </c>
      <c r="K717" s="4" t="s">
        <v>16</v>
      </c>
      <c r="L717" s="4" t="s">
        <v>94</v>
      </c>
      <c r="M717" s="4">
        <v>641</v>
      </c>
    </row>
    <row r="718" spans="1:13" x14ac:dyDescent="0.3">
      <c r="A718" s="5" t="s">
        <v>1936</v>
      </c>
      <c r="B718" s="5" t="s">
        <v>1937</v>
      </c>
      <c r="C718" s="5">
        <v>21</v>
      </c>
      <c r="D718" s="5" t="s">
        <v>32</v>
      </c>
      <c r="E718" s="5">
        <v>450000</v>
      </c>
      <c r="F718" s="35">
        <v>0.12</v>
      </c>
      <c r="G718" s="5">
        <v>84</v>
      </c>
      <c r="H718" s="5" t="s">
        <v>1938</v>
      </c>
      <c r="I718" s="5">
        <v>7943.73</v>
      </c>
      <c r="J718" s="5">
        <v>667273.30000000005</v>
      </c>
      <c r="K718" s="5" t="s">
        <v>16</v>
      </c>
      <c r="L718" s="5" t="s">
        <v>25</v>
      </c>
      <c r="M718" s="5">
        <v>697</v>
      </c>
    </row>
    <row r="719" spans="1:13" x14ac:dyDescent="0.3">
      <c r="A719" s="4" t="s">
        <v>1939</v>
      </c>
      <c r="B719" s="4" t="s">
        <v>1940</v>
      </c>
      <c r="C719" s="4">
        <v>60</v>
      </c>
      <c r="D719" s="4" t="s">
        <v>23</v>
      </c>
      <c r="E719" s="4">
        <v>4700000</v>
      </c>
      <c r="F719" s="3">
        <v>0.12</v>
      </c>
      <c r="G719" s="4">
        <v>180</v>
      </c>
      <c r="H719" s="4" t="s">
        <v>1941</v>
      </c>
      <c r="I719" s="4">
        <v>56407.9</v>
      </c>
      <c r="J719" s="4">
        <v>10153421.810000001</v>
      </c>
      <c r="K719" s="4" t="s">
        <v>312</v>
      </c>
      <c r="L719" s="4" t="s">
        <v>136</v>
      </c>
      <c r="M719" s="4">
        <v>710</v>
      </c>
    </row>
    <row r="720" spans="1:13" x14ac:dyDescent="0.3">
      <c r="A720" s="5" t="s">
        <v>1942</v>
      </c>
      <c r="B720" s="5" t="s">
        <v>1943</v>
      </c>
      <c r="C720" s="5">
        <v>52</v>
      </c>
      <c r="D720" s="5" t="s">
        <v>37</v>
      </c>
      <c r="E720" s="5">
        <v>2950000</v>
      </c>
      <c r="F720" s="35">
        <v>0.125</v>
      </c>
      <c r="G720" s="5">
        <v>24</v>
      </c>
      <c r="H720" s="5" t="s">
        <v>1944</v>
      </c>
      <c r="I720" s="5">
        <v>139556.56</v>
      </c>
      <c r="J720" s="5">
        <v>3349357.42</v>
      </c>
      <c r="K720" s="5" t="s">
        <v>20</v>
      </c>
      <c r="L720" s="5" t="s">
        <v>86</v>
      </c>
      <c r="M720" s="5">
        <v>751</v>
      </c>
    </row>
    <row r="721" spans="1:13" x14ac:dyDescent="0.3">
      <c r="A721" s="4" t="s">
        <v>1945</v>
      </c>
      <c r="B721" s="4" t="s">
        <v>1946</v>
      </c>
      <c r="C721" s="4">
        <v>54</v>
      </c>
      <c r="D721" s="4" t="s">
        <v>23</v>
      </c>
      <c r="E721" s="4">
        <v>1550000</v>
      </c>
      <c r="F721" s="3">
        <v>0.13</v>
      </c>
      <c r="G721" s="4">
        <v>48</v>
      </c>
      <c r="H721" s="4" t="s">
        <v>1947</v>
      </c>
      <c r="I721" s="4">
        <v>41582.620000000003</v>
      </c>
      <c r="J721" s="4">
        <v>1995965.69</v>
      </c>
      <c r="K721" s="4" t="s">
        <v>20</v>
      </c>
      <c r="L721" s="4" t="s">
        <v>44</v>
      </c>
      <c r="M721" s="4">
        <v>791</v>
      </c>
    </row>
    <row r="722" spans="1:13" x14ac:dyDescent="0.3">
      <c r="A722" s="5" t="s">
        <v>1948</v>
      </c>
      <c r="B722" s="5" t="s">
        <v>1076</v>
      </c>
      <c r="C722" s="5">
        <v>48</v>
      </c>
      <c r="D722" s="5" t="s">
        <v>37</v>
      </c>
      <c r="E722" s="5">
        <v>2810000</v>
      </c>
      <c r="F722" s="35">
        <v>0.105</v>
      </c>
      <c r="G722" s="5">
        <v>120</v>
      </c>
      <c r="H722" s="5" t="s">
        <v>1949</v>
      </c>
      <c r="I722" s="5">
        <v>37916.730000000003</v>
      </c>
      <c r="J722" s="5">
        <v>4550008.09</v>
      </c>
      <c r="K722" s="5" t="s">
        <v>16</v>
      </c>
      <c r="L722" s="5" t="s">
        <v>86</v>
      </c>
      <c r="M722" s="5">
        <v>551</v>
      </c>
    </row>
    <row r="723" spans="1:13" x14ac:dyDescent="0.3">
      <c r="A723" s="4" t="s">
        <v>1950</v>
      </c>
      <c r="B723" s="4" t="s">
        <v>1157</v>
      </c>
      <c r="C723" s="4">
        <v>51</v>
      </c>
      <c r="D723" s="4" t="s">
        <v>27</v>
      </c>
      <c r="E723" s="4">
        <v>340000</v>
      </c>
      <c r="F723" s="3">
        <v>7.4999999999999997E-2</v>
      </c>
      <c r="G723" s="4">
        <v>120</v>
      </c>
      <c r="H723" s="4" t="s">
        <v>1951</v>
      </c>
      <c r="I723" s="4">
        <v>4035.86</v>
      </c>
      <c r="J723" s="4">
        <v>484303.22</v>
      </c>
      <c r="K723" s="4" t="s">
        <v>16</v>
      </c>
      <c r="L723" s="4" t="s">
        <v>222</v>
      </c>
      <c r="M723" s="4">
        <v>774</v>
      </c>
    </row>
    <row r="724" spans="1:13" x14ac:dyDescent="0.3">
      <c r="A724" s="5" t="s">
        <v>1952</v>
      </c>
      <c r="B724" s="5" t="s">
        <v>1333</v>
      </c>
      <c r="C724" s="5">
        <v>28</v>
      </c>
      <c r="D724" s="5" t="s">
        <v>32</v>
      </c>
      <c r="E724" s="5">
        <v>330000</v>
      </c>
      <c r="F724" s="35">
        <v>0.105</v>
      </c>
      <c r="G724" s="5">
        <v>36</v>
      </c>
      <c r="H724" s="5" t="s">
        <v>1953</v>
      </c>
      <c r="I724" s="5">
        <v>10725.81</v>
      </c>
      <c r="J724" s="5">
        <v>386129.03</v>
      </c>
      <c r="K724" s="5" t="s">
        <v>16</v>
      </c>
      <c r="L724" s="5" t="s">
        <v>326</v>
      </c>
      <c r="M724" s="5">
        <v>838</v>
      </c>
    </row>
    <row r="725" spans="1:13" x14ac:dyDescent="0.3">
      <c r="A725" s="4" t="s">
        <v>1954</v>
      </c>
      <c r="B725" s="4" t="s">
        <v>1433</v>
      </c>
      <c r="C725" s="4">
        <v>59</v>
      </c>
      <c r="D725" s="4" t="s">
        <v>42</v>
      </c>
      <c r="E725" s="4">
        <v>910000</v>
      </c>
      <c r="F725" s="3">
        <v>0.1</v>
      </c>
      <c r="G725" s="4">
        <v>24</v>
      </c>
      <c r="H725" s="4" t="s">
        <v>1955</v>
      </c>
      <c r="I725" s="4">
        <v>41991.88</v>
      </c>
      <c r="J725" s="4">
        <v>1007805.19</v>
      </c>
      <c r="K725" s="4" t="s">
        <v>16</v>
      </c>
      <c r="L725" s="4" t="s">
        <v>147</v>
      </c>
      <c r="M725" s="4">
        <v>782</v>
      </c>
    </row>
    <row r="726" spans="1:13" x14ac:dyDescent="0.3">
      <c r="A726" s="5" t="s">
        <v>1956</v>
      </c>
      <c r="B726" s="5" t="s">
        <v>1957</v>
      </c>
      <c r="C726" s="5">
        <v>46</v>
      </c>
      <c r="D726" s="5" t="s">
        <v>37</v>
      </c>
      <c r="E726" s="5">
        <v>1910000</v>
      </c>
      <c r="F726" s="35">
        <v>0.13</v>
      </c>
      <c r="G726" s="5">
        <v>12</v>
      </c>
      <c r="H726" s="5" t="s">
        <v>1958</v>
      </c>
      <c r="I726" s="5">
        <v>170596</v>
      </c>
      <c r="J726" s="5">
        <v>2047151.96</v>
      </c>
      <c r="K726" s="5" t="s">
        <v>20</v>
      </c>
      <c r="L726" s="5" t="s">
        <v>82</v>
      </c>
      <c r="M726" s="5">
        <v>626</v>
      </c>
    </row>
    <row r="727" spans="1:13" x14ac:dyDescent="0.3">
      <c r="A727" s="4" t="s">
        <v>1959</v>
      </c>
      <c r="B727" s="4" t="s">
        <v>1096</v>
      </c>
      <c r="C727" s="4">
        <v>54</v>
      </c>
      <c r="D727" s="4" t="s">
        <v>42</v>
      </c>
      <c r="E727" s="4">
        <v>1260000</v>
      </c>
      <c r="F727" s="3">
        <v>0.09</v>
      </c>
      <c r="G727" s="4">
        <v>48</v>
      </c>
      <c r="H727" s="4" t="s">
        <v>1960</v>
      </c>
      <c r="I727" s="4">
        <v>31355.15</v>
      </c>
      <c r="J727" s="4">
        <v>1505047.36</v>
      </c>
      <c r="K727" s="4" t="s">
        <v>16</v>
      </c>
      <c r="L727" s="4" t="s">
        <v>48</v>
      </c>
      <c r="M727" s="4">
        <v>665</v>
      </c>
    </row>
    <row r="728" spans="1:13" x14ac:dyDescent="0.3">
      <c r="A728" s="5" t="s">
        <v>1961</v>
      </c>
      <c r="B728" s="5" t="s">
        <v>1832</v>
      </c>
      <c r="C728" s="5">
        <v>23</v>
      </c>
      <c r="D728" s="5" t="s">
        <v>27</v>
      </c>
      <c r="E728" s="5">
        <v>690000</v>
      </c>
      <c r="F728" s="35">
        <v>7.4999999999999997E-2</v>
      </c>
      <c r="G728" s="5">
        <v>240</v>
      </c>
      <c r="H728" s="5" t="s">
        <v>582</v>
      </c>
      <c r="I728" s="5">
        <v>5558.59</v>
      </c>
      <c r="J728" s="5">
        <v>1334062.33</v>
      </c>
      <c r="K728" s="5" t="s">
        <v>16</v>
      </c>
      <c r="L728" s="5" t="s">
        <v>48</v>
      </c>
      <c r="M728" s="5">
        <v>703</v>
      </c>
    </row>
    <row r="729" spans="1:13" x14ac:dyDescent="0.3">
      <c r="A729" s="4" t="s">
        <v>1962</v>
      </c>
      <c r="B729" s="4" t="s">
        <v>1963</v>
      </c>
      <c r="C729" s="4">
        <v>32</v>
      </c>
      <c r="D729" s="4" t="s">
        <v>23</v>
      </c>
      <c r="E729" s="4">
        <v>9310000</v>
      </c>
      <c r="F729" s="3">
        <v>0.13</v>
      </c>
      <c r="G729" s="4">
        <v>240</v>
      </c>
      <c r="H729" s="4" t="s">
        <v>1964</v>
      </c>
      <c r="I729" s="4">
        <v>109073.7</v>
      </c>
      <c r="J729" s="4">
        <v>26177687.690000001</v>
      </c>
      <c r="K729" s="4" t="s">
        <v>20</v>
      </c>
      <c r="L729" s="4" t="s">
        <v>48</v>
      </c>
      <c r="M729" s="4">
        <v>652</v>
      </c>
    </row>
    <row r="730" spans="1:13" x14ac:dyDescent="0.3">
      <c r="A730" s="5" t="s">
        <v>1965</v>
      </c>
      <c r="B730" s="5" t="s">
        <v>1966</v>
      </c>
      <c r="C730" s="5">
        <v>21</v>
      </c>
      <c r="D730" s="5" t="s">
        <v>42</v>
      </c>
      <c r="E730" s="5">
        <v>1450000</v>
      </c>
      <c r="F730" s="35">
        <v>0.11</v>
      </c>
      <c r="G730" s="5">
        <v>120</v>
      </c>
      <c r="H730" s="5" t="s">
        <v>1967</v>
      </c>
      <c r="I730" s="5">
        <v>19973.75</v>
      </c>
      <c r="J730" s="5">
        <v>2396850.2000000002</v>
      </c>
      <c r="K730" s="5" t="s">
        <v>20</v>
      </c>
      <c r="L730" s="5" t="s">
        <v>326</v>
      </c>
      <c r="M730" s="5">
        <v>743</v>
      </c>
    </row>
    <row r="731" spans="1:13" x14ac:dyDescent="0.3">
      <c r="A731" s="4" t="s">
        <v>1968</v>
      </c>
      <c r="B731" s="4" t="s">
        <v>723</v>
      </c>
      <c r="C731" s="4">
        <v>64</v>
      </c>
      <c r="D731" s="4" t="s">
        <v>37</v>
      </c>
      <c r="E731" s="4">
        <v>4780000</v>
      </c>
      <c r="F731" s="3">
        <v>9.5000000000000001E-2</v>
      </c>
      <c r="G731" s="4">
        <v>36</v>
      </c>
      <c r="H731" s="4" t="s">
        <v>1969</v>
      </c>
      <c r="I731" s="4">
        <v>153117.5</v>
      </c>
      <c r="J731" s="4">
        <v>5512229.9900000002</v>
      </c>
      <c r="K731" s="4" t="s">
        <v>16</v>
      </c>
      <c r="L731" s="4" t="s">
        <v>226</v>
      </c>
      <c r="M731" s="4">
        <v>715</v>
      </c>
    </row>
    <row r="732" spans="1:13" x14ac:dyDescent="0.3">
      <c r="A732" s="5" t="s">
        <v>1970</v>
      </c>
      <c r="B732" s="5" t="s">
        <v>1229</v>
      </c>
      <c r="C732" s="5">
        <v>25</v>
      </c>
      <c r="D732" s="5" t="s">
        <v>27</v>
      </c>
      <c r="E732" s="5">
        <v>220000</v>
      </c>
      <c r="F732" s="35">
        <v>0.1</v>
      </c>
      <c r="G732" s="5">
        <v>24</v>
      </c>
      <c r="H732" s="5" t="s">
        <v>1971</v>
      </c>
      <c r="I732" s="5">
        <v>10151.879999999999</v>
      </c>
      <c r="J732" s="5">
        <v>243645.21</v>
      </c>
      <c r="K732" s="5" t="s">
        <v>20</v>
      </c>
      <c r="L732" s="5" t="s">
        <v>151</v>
      </c>
      <c r="M732" s="5">
        <v>639</v>
      </c>
    </row>
    <row r="733" spans="1:13" x14ac:dyDescent="0.3">
      <c r="A733" s="4" t="s">
        <v>1972</v>
      </c>
      <c r="B733" s="4" t="s">
        <v>474</v>
      </c>
      <c r="C733" s="4">
        <v>50</v>
      </c>
      <c r="D733" s="4" t="s">
        <v>37</v>
      </c>
      <c r="E733" s="4">
        <v>1460000</v>
      </c>
      <c r="F733" s="3">
        <v>7.4999999999999997E-2</v>
      </c>
      <c r="G733" s="4">
        <v>36</v>
      </c>
      <c r="H733" s="4" t="s">
        <v>1973</v>
      </c>
      <c r="I733" s="4">
        <v>45415.08</v>
      </c>
      <c r="J733" s="4">
        <v>1634942.83</v>
      </c>
      <c r="K733" s="4" t="s">
        <v>20</v>
      </c>
      <c r="L733" s="4" t="s">
        <v>212</v>
      </c>
      <c r="M733" s="4">
        <v>723</v>
      </c>
    </row>
    <row r="734" spans="1:13" x14ac:dyDescent="0.3">
      <c r="A734" s="5" t="s">
        <v>1974</v>
      </c>
      <c r="B734" s="5" t="s">
        <v>435</v>
      </c>
      <c r="C734" s="5">
        <v>50</v>
      </c>
      <c r="D734" s="5" t="s">
        <v>27</v>
      </c>
      <c r="E734" s="5">
        <v>380000</v>
      </c>
      <c r="F734" s="35">
        <v>0.1</v>
      </c>
      <c r="G734" s="5">
        <v>180</v>
      </c>
      <c r="H734" s="5" t="s">
        <v>1975</v>
      </c>
      <c r="I734" s="5">
        <v>4083.5</v>
      </c>
      <c r="J734" s="5">
        <v>735029.9</v>
      </c>
      <c r="K734" s="5" t="s">
        <v>16</v>
      </c>
      <c r="L734" s="5" t="s">
        <v>68</v>
      </c>
      <c r="M734" s="5">
        <v>671</v>
      </c>
    </row>
    <row r="735" spans="1:13" x14ac:dyDescent="0.3">
      <c r="A735" s="4" t="s">
        <v>1976</v>
      </c>
      <c r="B735" s="4" t="s">
        <v>1977</v>
      </c>
      <c r="C735" s="4">
        <v>37</v>
      </c>
      <c r="D735" s="4" t="s">
        <v>32</v>
      </c>
      <c r="E735" s="4">
        <v>460000</v>
      </c>
      <c r="F735" s="3">
        <v>9.5000000000000001E-2</v>
      </c>
      <c r="G735" s="4">
        <v>12</v>
      </c>
      <c r="H735" s="4" t="s">
        <v>1978</v>
      </c>
      <c r="I735" s="4">
        <v>40334.42</v>
      </c>
      <c r="J735" s="4">
        <v>484012.98</v>
      </c>
      <c r="K735" s="4" t="s">
        <v>16</v>
      </c>
      <c r="L735" s="4" t="s">
        <v>56</v>
      </c>
      <c r="M735" s="4">
        <v>692</v>
      </c>
    </row>
    <row r="736" spans="1:13" x14ac:dyDescent="0.3">
      <c r="A736" s="5" t="s">
        <v>1979</v>
      </c>
      <c r="B736" s="5" t="s">
        <v>1937</v>
      </c>
      <c r="C736" s="5">
        <v>43</v>
      </c>
      <c r="D736" s="5" t="s">
        <v>18</v>
      </c>
      <c r="E736" s="5">
        <v>1340000</v>
      </c>
      <c r="F736" s="35">
        <v>9.5000000000000001E-2</v>
      </c>
      <c r="G736" s="5">
        <v>240</v>
      </c>
      <c r="H736" s="5" t="s">
        <v>1980</v>
      </c>
      <c r="I736" s="5">
        <v>12490.56</v>
      </c>
      <c r="J736" s="5">
        <v>2997733.9</v>
      </c>
      <c r="K736" s="5" t="s">
        <v>20</v>
      </c>
      <c r="L736" s="5" t="s">
        <v>104</v>
      </c>
      <c r="M736" s="5">
        <v>655</v>
      </c>
    </row>
    <row r="737" spans="1:13" x14ac:dyDescent="0.3">
      <c r="A737" s="4" t="s">
        <v>1981</v>
      </c>
      <c r="B737" s="4" t="s">
        <v>66</v>
      </c>
      <c r="C737" s="4">
        <v>35</v>
      </c>
      <c r="D737" s="4" t="s">
        <v>18</v>
      </c>
      <c r="E737" s="4">
        <v>1930000</v>
      </c>
      <c r="F737" s="3">
        <v>9.5000000000000001E-2</v>
      </c>
      <c r="G737" s="4">
        <v>240</v>
      </c>
      <c r="H737" s="4" t="s">
        <v>1982</v>
      </c>
      <c r="I737" s="4">
        <v>17990.13</v>
      </c>
      <c r="J737" s="4">
        <v>4317631.66</v>
      </c>
      <c r="K737" s="4" t="s">
        <v>20</v>
      </c>
      <c r="L737" s="4" t="s">
        <v>44</v>
      </c>
      <c r="M737" s="4">
        <v>854</v>
      </c>
    </row>
    <row r="738" spans="1:13" x14ac:dyDescent="0.3">
      <c r="A738" s="5" t="s">
        <v>1983</v>
      </c>
      <c r="B738" s="5" t="s">
        <v>543</v>
      </c>
      <c r="C738" s="5">
        <v>57</v>
      </c>
      <c r="D738" s="5" t="s">
        <v>32</v>
      </c>
      <c r="E738" s="5">
        <v>240000</v>
      </c>
      <c r="F738" s="35">
        <v>0.11</v>
      </c>
      <c r="G738" s="5">
        <v>24</v>
      </c>
      <c r="H738" s="5" t="s">
        <v>1984</v>
      </c>
      <c r="I738" s="5">
        <v>11185.88</v>
      </c>
      <c r="J738" s="5">
        <v>268461.15000000002</v>
      </c>
      <c r="K738" s="5" t="s">
        <v>312</v>
      </c>
      <c r="L738" s="5" t="s">
        <v>82</v>
      </c>
      <c r="M738" s="5">
        <v>866</v>
      </c>
    </row>
    <row r="739" spans="1:13" x14ac:dyDescent="0.3">
      <c r="A739" s="4" t="s">
        <v>1985</v>
      </c>
      <c r="B739" s="4" t="s">
        <v>1986</v>
      </c>
      <c r="C739" s="4">
        <v>41</v>
      </c>
      <c r="D739" s="4" t="s">
        <v>32</v>
      </c>
      <c r="E739" s="4">
        <v>330000</v>
      </c>
      <c r="F739" s="3">
        <v>0.13</v>
      </c>
      <c r="G739" s="4">
        <v>24</v>
      </c>
      <c r="H739" s="4" t="s">
        <v>1987</v>
      </c>
      <c r="I739" s="4">
        <v>15688.8</v>
      </c>
      <c r="J739" s="4">
        <v>376531.23</v>
      </c>
      <c r="K739" s="4" t="s">
        <v>16</v>
      </c>
      <c r="L739" s="4" t="s">
        <v>64</v>
      </c>
      <c r="M739" s="4">
        <v>672</v>
      </c>
    </row>
    <row r="740" spans="1:13" x14ac:dyDescent="0.3">
      <c r="A740" s="5" t="s">
        <v>1988</v>
      </c>
      <c r="B740" s="5" t="s">
        <v>1989</v>
      </c>
      <c r="C740" s="5">
        <v>34</v>
      </c>
      <c r="D740" s="5" t="s">
        <v>32</v>
      </c>
      <c r="E740" s="5">
        <v>480000</v>
      </c>
      <c r="F740" s="35">
        <v>0.125</v>
      </c>
      <c r="G740" s="5">
        <v>180</v>
      </c>
      <c r="H740" s="5" t="s">
        <v>1990</v>
      </c>
      <c r="I740" s="5">
        <v>5916.11</v>
      </c>
      <c r="J740" s="5">
        <v>1064899.08</v>
      </c>
      <c r="K740" s="5" t="s">
        <v>16</v>
      </c>
      <c r="L740" s="5" t="s">
        <v>151</v>
      </c>
      <c r="M740" s="5">
        <v>558</v>
      </c>
    </row>
    <row r="741" spans="1:13" x14ac:dyDescent="0.3">
      <c r="A741" s="4" t="s">
        <v>1991</v>
      </c>
      <c r="B741" s="4" t="s">
        <v>1992</v>
      </c>
      <c r="C741" s="4">
        <v>22</v>
      </c>
      <c r="D741" s="4" t="s">
        <v>18</v>
      </c>
      <c r="E741" s="4">
        <v>1790000</v>
      </c>
      <c r="F741" s="3">
        <v>0.08</v>
      </c>
      <c r="G741" s="4">
        <v>36</v>
      </c>
      <c r="H741" s="4" t="s">
        <v>469</v>
      </c>
      <c r="I741" s="4">
        <v>56092.09</v>
      </c>
      <c r="J741" s="4">
        <v>2019315.39</v>
      </c>
      <c r="K741" s="4" t="s">
        <v>20</v>
      </c>
      <c r="L741" s="4" t="s">
        <v>48</v>
      </c>
      <c r="M741" s="4">
        <v>811</v>
      </c>
    </row>
    <row r="742" spans="1:13" x14ac:dyDescent="0.3">
      <c r="A742" s="5" t="s">
        <v>1993</v>
      </c>
      <c r="B742" s="5" t="s">
        <v>1994</v>
      </c>
      <c r="C742" s="5">
        <v>31</v>
      </c>
      <c r="D742" s="5" t="s">
        <v>32</v>
      </c>
      <c r="E742" s="5">
        <v>70000</v>
      </c>
      <c r="F742" s="35">
        <v>0.09</v>
      </c>
      <c r="G742" s="5">
        <v>240</v>
      </c>
      <c r="H742" s="5" t="s">
        <v>457</v>
      </c>
      <c r="I742" s="5">
        <v>629.80999999999995</v>
      </c>
      <c r="J742" s="5">
        <v>151153.96</v>
      </c>
      <c r="K742" s="5" t="s">
        <v>16</v>
      </c>
      <c r="L742" s="5" t="s">
        <v>56</v>
      </c>
      <c r="M742" s="5">
        <v>622</v>
      </c>
    </row>
    <row r="743" spans="1:13" x14ac:dyDescent="0.3">
      <c r="A743" s="4" t="s">
        <v>1995</v>
      </c>
      <c r="B743" s="4" t="s">
        <v>1133</v>
      </c>
      <c r="C743" s="4">
        <v>59</v>
      </c>
      <c r="D743" s="4" t="s">
        <v>27</v>
      </c>
      <c r="E743" s="4">
        <v>900000</v>
      </c>
      <c r="F743" s="3">
        <v>8.5000000000000006E-2</v>
      </c>
      <c r="G743" s="4">
        <v>12</v>
      </c>
      <c r="H743" s="4" t="s">
        <v>1996</v>
      </c>
      <c r="I743" s="4">
        <v>78497.8</v>
      </c>
      <c r="J743" s="4">
        <v>941973.65</v>
      </c>
      <c r="K743" s="4" t="s">
        <v>20</v>
      </c>
      <c r="L743" s="4" t="s">
        <v>249</v>
      </c>
      <c r="M743" s="4">
        <v>772</v>
      </c>
    </row>
    <row r="744" spans="1:13" x14ac:dyDescent="0.3">
      <c r="A744" s="5" t="s">
        <v>1997</v>
      </c>
      <c r="B744" s="5" t="s">
        <v>1998</v>
      </c>
      <c r="C744" s="5">
        <v>58</v>
      </c>
      <c r="D744" s="5" t="s">
        <v>37</v>
      </c>
      <c r="E744" s="5">
        <v>4200000</v>
      </c>
      <c r="F744" s="35">
        <v>9.5000000000000001E-2</v>
      </c>
      <c r="G744" s="5">
        <v>120</v>
      </c>
      <c r="H744" s="5" t="s">
        <v>1999</v>
      </c>
      <c r="I744" s="5">
        <v>54346.97</v>
      </c>
      <c r="J744" s="5">
        <v>6521636.9000000004</v>
      </c>
      <c r="K744" s="5" t="s">
        <v>16</v>
      </c>
      <c r="L744" s="5" t="s">
        <v>159</v>
      </c>
      <c r="M744" s="5">
        <v>590</v>
      </c>
    </row>
    <row r="745" spans="1:13" x14ac:dyDescent="0.3">
      <c r="A745" s="4" t="s">
        <v>2000</v>
      </c>
      <c r="B745" s="4" t="s">
        <v>2001</v>
      </c>
      <c r="C745" s="4">
        <v>54</v>
      </c>
      <c r="D745" s="4" t="s">
        <v>42</v>
      </c>
      <c r="E745" s="4">
        <v>1450000</v>
      </c>
      <c r="F745" s="3">
        <v>0.13</v>
      </c>
      <c r="G745" s="4">
        <v>240</v>
      </c>
      <c r="H745" s="4" t="s">
        <v>2002</v>
      </c>
      <c r="I745" s="4">
        <v>16987.849999999999</v>
      </c>
      <c r="J745" s="4">
        <v>4077083.48</v>
      </c>
      <c r="K745" s="4" t="s">
        <v>16</v>
      </c>
      <c r="L745" s="4" t="s">
        <v>25</v>
      </c>
      <c r="M745" s="4">
        <v>753</v>
      </c>
    </row>
    <row r="746" spans="1:13" x14ac:dyDescent="0.3">
      <c r="A746" s="5" t="s">
        <v>2003</v>
      </c>
      <c r="B746" s="5" t="s">
        <v>904</v>
      </c>
      <c r="C746" s="5">
        <v>58</v>
      </c>
      <c r="D746" s="5" t="s">
        <v>23</v>
      </c>
      <c r="E746" s="5">
        <v>4670000</v>
      </c>
      <c r="F746" s="35">
        <v>0.11</v>
      </c>
      <c r="G746" s="5">
        <v>120</v>
      </c>
      <c r="H746" s="5" t="s">
        <v>2004</v>
      </c>
      <c r="I746" s="5">
        <v>64329.26</v>
      </c>
      <c r="J746" s="5">
        <v>7719510.6299999999</v>
      </c>
      <c r="K746" s="5" t="s">
        <v>16</v>
      </c>
      <c r="L746" s="5" t="s">
        <v>52</v>
      </c>
      <c r="M746" s="5">
        <v>813</v>
      </c>
    </row>
    <row r="747" spans="1:13" x14ac:dyDescent="0.3">
      <c r="A747" s="4" t="s">
        <v>2005</v>
      </c>
      <c r="B747" s="4" t="s">
        <v>748</v>
      </c>
      <c r="C747" s="4">
        <v>54</v>
      </c>
      <c r="D747" s="4" t="s">
        <v>23</v>
      </c>
      <c r="E747" s="4">
        <v>8130000</v>
      </c>
      <c r="F747" s="3">
        <v>0.1</v>
      </c>
      <c r="G747" s="4">
        <v>84</v>
      </c>
      <c r="H747" s="4" t="s">
        <v>442</v>
      </c>
      <c r="I747" s="4">
        <v>134967.63</v>
      </c>
      <c r="J747" s="4">
        <v>11337280.6</v>
      </c>
      <c r="K747" s="4" t="s">
        <v>20</v>
      </c>
      <c r="L747" s="4" t="s">
        <v>191</v>
      </c>
      <c r="M747" s="4">
        <v>877</v>
      </c>
    </row>
    <row r="748" spans="1:13" x14ac:dyDescent="0.3">
      <c r="A748" s="5" t="s">
        <v>2006</v>
      </c>
      <c r="B748" s="5" t="s">
        <v>1946</v>
      </c>
      <c r="C748" s="5">
        <v>38</v>
      </c>
      <c r="D748" s="5" t="s">
        <v>27</v>
      </c>
      <c r="E748" s="5">
        <v>210000</v>
      </c>
      <c r="F748" s="35">
        <v>9.5000000000000001E-2</v>
      </c>
      <c r="G748" s="5">
        <v>12</v>
      </c>
      <c r="H748" s="5" t="s">
        <v>2007</v>
      </c>
      <c r="I748" s="5">
        <v>18413.54</v>
      </c>
      <c r="J748" s="5">
        <v>220962.45</v>
      </c>
      <c r="K748" s="5" t="s">
        <v>20</v>
      </c>
      <c r="L748" s="5" t="s">
        <v>226</v>
      </c>
      <c r="M748" s="5">
        <v>727</v>
      </c>
    </row>
    <row r="749" spans="1:13" x14ac:dyDescent="0.3">
      <c r="A749" s="4" t="s">
        <v>2008</v>
      </c>
      <c r="B749" s="4" t="s">
        <v>2009</v>
      </c>
      <c r="C749" s="4">
        <v>50</v>
      </c>
      <c r="D749" s="4" t="s">
        <v>37</v>
      </c>
      <c r="E749" s="4">
        <v>2580000</v>
      </c>
      <c r="F749" s="3">
        <v>0.13</v>
      </c>
      <c r="G749" s="4">
        <v>240</v>
      </c>
      <c r="H749" s="4" t="s">
        <v>2010</v>
      </c>
      <c r="I749" s="4">
        <v>30226.65</v>
      </c>
      <c r="J749" s="4">
        <v>7254396.7999999998</v>
      </c>
      <c r="K749" s="4" t="s">
        <v>16</v>
      </c>
      <c r="L749" s="4" t="s">
        <v>75</v>
      </c>
      <c r="M749" s="4">
        <v>897</v>
      </c>
    </row>
    <row r="750" spans="1:13" x14ac:dyDescent="0.3">
      <c r="A750" s="5" t="s">
        <v>2011</v>
      </c>
      <c r="B750" s="5" t="s">
        <v>2012</v>
      </c>
      <c r="C750" s="5">
        <v>35</v>
      </c>
      <c r="D750" s="5" t="s">
        <v>27</v>
      </c>
      <c r="E750" s="5">
        <v>410000</v>
      </c>
      <c r="F750" s="35">
        <v>0.105</v>
      </c>
      <c r="G750" s="5">
        <v>120</v>
      </c>
      <c r="H750" s="5" t="s">
        <v>418</v>
      </c>
      <c r="I750" s="5">
        <v>5532.33</v>
      </c>
      <c r="J750" s="5">
        <v>663880.18000000005</v>
      </c>
      <c r="K750" s="5" t="s">
        <v>20</v>
      </c>
      <c r="L750" s="5" t="s">
        <v>39</v>
      </c>
      <c r="M750" s="5">
        <v>867</v>
      </c>
    </row>
    <row r="751" spans="1:13" x14ac:dyDescent="0.3">
      <c r="A751" s="4" t="s">
        <v>2013</v>
      </c>
      <c r="B751" s="4" t="s">
        <v>1523</v>
      </c>
      <c r="C751" s="4">
        <v>47</v>
      </c>
      <c r="D751" s="4" t="s">
        <v>23</v>
      </c>
      <c r="E751" s="4">
        <v>1540000</v>
      </c>
      <c r="F751" s="3">
        <v>0.12</v>
      </c>
      <c r="G751" s="4">
        <v>48</v>
      </c>
      <c r="H751" s="4" t="s">
        <v>328</v>
      </c>
      <c r="I751" s="4">
        <v>40554.11</v>
      </c>
      <c r="J751" s="4">
        <v>1946597.12</v>
      </c>
      <c r="K751" s="4" t="s">
        <v>60</v>
      </c>
      <c r="L751" s="4" t="s">
        <v>132</v>
      </c>
      <c r="M751" s="4">
        <v>633</v>
      </c>
    </row>
    <row r="752" spans="1:13" x14ac:dyDescent="0.3">
      <c r="A752" s="5" t="s">
        <v>2014</v>
      </c>
      <c r="B752" s="5" t="s">
        <v>2015</v>
      </c>
      <c r="C752" s="5">
        <v>54</v>
      </c>
      <c r="D752" s="5" t="s">
        <v>27</v>
      </c>
      <c r="E752" s="5">
        <v>570000</v>
      </c>
      <c r="F752" s="35">
        <v>0.125</v>
      </c>
      <c r="G752" s="5">
        <v>180</v>
      </c>
      <c r="H752" s="5" t="s">
        <v>2016</v>
      </c>
      <c r="I752" s="5">
        <v>7025.38</v>
      </c>
      <c r="J752" s="5">
        <v>1264567.6599999999</v>
      </c>
      <c r="K752" s="5" t="s">
        <v>16</v>
      </c>
      <c r="L752" s="5" t="s">
        <v>366</v>
      </c>
      <c r="M752" s="5">
        <v>867</v>
      </c>
    </row>
    <row r="753" spans="1:13" x14ac:dyDescent="0.3">
      <c r="A753" s="4" t="s">
        <v>2017</v>
      </c>
      <c r="B753" s="4" t="s">
        <v>1485</v>
      </c>
      <c r="C753" s="4">
        <v>58</v>
      </c>
      <c r="D753" s="4" t="s">
        <v>18</v>
      </c>
      <c r="E753" s="4">
        <v>750000</v>
      </c>
      <c r="F753" s="3">
        <v>0.08</v>
      </c>
      <c r="G753" s="4">
        <v>120</v>
      </c>
      <c r="H753" s="4" t="s">
        <v>2018</v>
      </c>
      <c r="I753" s="4">
        <v>9099.57</v>
      </c>
      <c r="J753" s="4">
        <v>1091948.3500000001</v>
      </c>
      <c r="K753" s="4" t="s">
        <v>20</v>
      </c>
      <c r="L753" s="4" t="s">
        <v>75</v>
      </c>
      <c r="M753" s="4">
        <v>660</v>
      </c>
    </row>
    <row r="754" spans="1:13" x14ac:dyDescent="0.3">
      <c r="A754" s="5" t="s">
        <v>2019</v>
      </c>
      <c r="B754" s="5" t="s">
        <v>1456</v>
      </c>
      <c r="C754" s="5">
        <v>53</v>
      </c>
      <c r="D754" s="5" t="s">
        <v>27</v>
      </c>
      <c r="E754" s="5">
        <v>470000</v>
      </c>
      <c r="F754" s="35">
        <v>0.09</v>
      </c>
      <c r="G754" s="5">
        <v>84</v>
      </c>
      <c r="H754" s="5" t="s">
        <v>2020</v>
      </c>
      <c r="I754" s="5">
        <v>7561.87</v>
      </c>
      <c r="J754" s="5">
        <v>635196.81000000006</v>
      </c>
      <c r="K754" s="5" t="s">
        <v>16</v>
      </c>
      <c r="L754" s="5" t="s">
        <v>249</v>
      </c>
      <c r="M754" s="5">
        <v>800</v>
      </c>
    </row>
    <row r="755" spans="1:13" x14ac:dyDescent="0.3">
      <c r="A755" s="4" t="s">
        <v>2021</v>
      </c>
      <c r="B755" s="4" t="s">
        <v>58</v>
      </c>
      <c r="C755" s="4">
        <v>44</v>
      </c>
      <c r="D755" s="4" t="s">
        <v>32</v>
      </c>
      <c r="E755" s="4">
        <v>480000</v>
      </c>
      <c r="F755" s="3">
        <v>0.11</v>
      </c>
      <c r="G755" s="4">
        <v>24</v>
      </c>
      <c r="H755" s="4" t="s">
        <v>600</v>
      </c>
      <c r="I755" s="4">
        <v>22371.759999999998</v>
      </c>
      <c r="J755" s="4">
        <v>536922.30000000005</v>
      </c>
      <c r="K755" s="4" t="s">
        <v>16</v>
      </c>
      <c r="L755" s="4" t="s">
        <v>44</v>
      </c>
      <c r="M755" s="4">
        <v>556</v>
      </c>
    </row>
    <row r="756" spans="1:13" x14ac:dyDescent="0.3">
      <c r="A756" s="5" t="s">
        <v>2022</v>
      </c>
      <c r="B756" s="5" t="s">
        <v>2023</v>
      </c>
      <c r="C756" s="5">
        <v>35</v>
      </c>
      <c r="D756" s="5" t="s">
        <v>23</v>
      </c>
      <c r="E756" s="5">
        <v>2460000</v>
      </c>
      <c r="F756" s="35">
        <v>0.09</v>
      </c>
      <c r="G756" s="5">
        <v>120</v>
      </c>
      <c r="H756" s="5" t="s">
        <v>2024</v>
      </c>
      <c r="I756" s="5">
        <v>31162.240000000002</v>
      </c>
      <c r="J756" s="5">
        <v>3739468.84</v>
      </c>
      <c r="K756" s="5" t="s">
        <v>60</v>
      </c>
      <c r="L756" s="5" t="s">
        <v>212</v>
      </c>
      <c r="M756" s="5">
        <v>633</v>
      </c>
    </row>
    <row r="757" spans="1:13" x14ac:dyDescent="0.3">
      <c r="A757" s="4" t="s">
        <v>2025</v>
      </c>
      <c r="B757" s="4" t="s">
        <v>2026</v>
      </c>
      <c r="C757" s="4">
        <v>50</v>
      </c>
      <c r="D757" s="4" t="s">
        <v>32</v>
      </c>
      <c r="E757" s="4">
        <v>280000</v>
      </c>
      <c r="F757" s="3">
        <v>0.105</v>
      </c>
      <c r="G757" s="4">
        <v>36</v>
      </c>
      <c r="H757" s="4" t="s">
        <v>1298</v>
      </c>
      <c r="I757" s="4">
        <v>9100.68</v>
      </c>
      <c r="J757" s="4">
        <v>327624.63</v>
      </c>
      <c r="K757" s="4" t="s">
        <v>20</v>
      </c>
      <c r="L757" s="4" t="s">
        <v>143</v>
      </c>
      <c r="M757" s="4">
        <v>757</v>
      </c>
    </row>
    <row r="758" spans="1:13" x14ac:dyDescent="0.3">
      <c r="A758" s="5" t="s">
        <v>2027</v>
      </c>
      <c r="B758" s="5" t="s">
        <v>978</v>
      </c>
      <c r="C758" s="5">
        <v>62</v>
      </c>
      <c r="D758" s="5" t="s">
        <v>32</v>
      </c>
      <c r="E758" s="5">
        <v>110000</v>
      </c>
      <c r="F758" s="35">
        <v>0.13</v>
      </c>
      <c r="G758" s="5">
        <v>60</v>
      </c>
      <c r="H758" s="5" t="s">
        <v>2028</v>
      </c>
      <c r="I758" s="5">
        <v>2502.84</v>
      </c>
      <c r="J758" s="5">
        <v>150170.28</v>
      </c>
      <c r="K758" s="5" t="s">
        <v>20</v>
      </c>
      <c r="L758" s="5" t="s">
        <v>48</v>
      </c>
      <c r="M758" s="5">
        <v>863</v>
      </c>
    </row>
    <row r="759" spans="1:13" x14ac:dyDescent="0.3">
      <c r="A759" s="4" t="s">
        <v>2029</v>
      </c>
      <c r="B759" s="4" t="s">
        <v>829</v>
      </c>
      <c r="C759" s="4">
        <v>37</v>
      </c>
      <c r="D759" s="4" t="s">
        <v>42</v>
      </c>
      <c r="E759" s="4">
        <v>800000</v>
      </c>
      <c r="F759" s="3">
        <v>0.11</v>
      </c>
      <c r="G759" s="4">
        <v>180</v>
      </c>
      <c r="H759" s="4" t="s">
        <v>328</v>
      </c>
      <c r="I759" s="4">
        <v>9092.7800000000007</v>
      </c>
      <c r="J759" s="4">
        <v>1636699.59</v>
      </c>
      <c r="K759" s="4" t="s">
        <v>16</v>
      </c>
      <c r="L759" s="4" t="s">
        <v>108</v>
      </c>
      <c r="M759" s="4">
        <v>571</v>
      </c>
    </row>
    <row r="760" spans="1:13" x14ac:dyDescent="0.3">
      <c r="A760" s="5" t="s">
        <v>2030</v>
      </c>
      <c r="B760" s="5" t="s">
        <v>2031</v>
      </c>
      <c r="C760" s="5">
        <v>25</v>
      </c>
      <c r="D760" s="5" t="s">
        <v>27</v>
      </c>
      <c r="E760" s="5">
        <v>320000</v>
      </c>
      <c r="F760" s="35">
        <v>0.115</v>
      </c>
      <c r="G760" s="5">
        <v>48</v>
      </c>
      <c r="H760" s="5" t="s">
        <v>2032</v>
      </c>
      <c r="I760" s="5">
        <v>8348.48</v>
      </c>
      <c r="J760" s="5">
        <v>400727.18</v>
      </c>
      <c r="K760" s="5" t="s">
        <v>16</v>
      </c>
      <c r="L760" s="5" t="s">
        <v>366</v>
      </c>
      <c r="M760" s="5">
        <v>552</v>
      </c>
    </row>
    <row r="761" spans="1:13" x14ac:dyDescent="0.3">
      <c r="A761" s="4" t="s">
        <v>2033</v>
      </c>
      <c r="B761" s="4" t="s">
        <v>62</v>
      </c>
      <c r="C761" s="4">
        <v>49</v>
      </c>
      <c r="D761" s="4" t="s">
        <v>42</v>
      </c>
      <c r="E761" s="4">
        <v>1040000</v>
      </c>
      <c r="F761" s="3">
        <v>0.1</v>
      </c>
      <c r="G761" s="4">
        <v>24</v>
      </c>
      <c r="H761" s="4" t="s">
        <v>2034</v>
      </c>
      <c r="I761" s="4">
        <v>47990.720000000001</v>
      </c>
      <c r="J761" s="4">
        <v>1151777.3600000001</v>
      </c>
      <c r="K761" s="4" t="s">
        <v>20</v>
      </c>
      <c r="L761" s="4" t="s">
        <v>191</v>
      </c>
      <c r="M761" s="4">
        <v>676</v>
      </c>
    </row>
    <row r="762" spans="1:13" x14ac:dyDescent="0.3">
      <c r="A762" s="5" t="s">
        <v>2035</v>
      </c>
      <c r="B762" s="5" t="s">
        <v>2036</v>
      </c>
      <c r="C762" s="5">
        <v>24</v>
      </c>
      <c r="D762" s="5" t="s">
        <v>27</v>
      </c>
      <c r="E762" s="5">
        <v>850000</v>
      </c>
      <c r="F762" s="35">
        <v>7.4999999999999997E-2</v>
      </c>
      <c r="G762" s="5">
        <v>60</v>
      </c>
      <c r="H762" s="5" t="s">
        <v>158</v>
      </c>
      <c r="I762" s="5">
        <v>17032.259999999998</v>
      </c>
      <c r="J762" s="5">
        <v>1021935.38</v>
      </c>
      <c r="K762" s="5" t="s">
        <v>16</v>
      </c>
      <c r="L762" s="5" t="s">
        <v>151</v>
      </c>
      <c r="M762" s="5">
        <v>846</v>
      </c>
    </row>
    <row r="763" spans="1:13" x14ac:dyDescent="0.3">
      <c r="A763" s="4" t="s">
        <v>2037</v>
      </c>
      <c r="B763" s="4" t="s">
        <v>2038</v>
      </c>
      <c r="C763" s="4">
        <v>30</v>
      </c>
      <c r="D763" s="4" t="s">
        <v>37</v>
      </c>
      <c r="E763" s="4">
        <v>4090000</v>
      </c>
      <c r="F763" s="3">
        <v>0.115</v>
      </c>
      <c r="G763" s="4">
        <v>240</v>
      </c>
      <c r="H763" s="4" t="s">
        <v>2039</v>
      </c>
      <c r="I763" s="4">
        <v>43616.97</v>
      </c>
      <c r="J763" s="4">
        <v>10468073.26</v>
      </c>
      <c r="K763" s="4" t="s">
        <v>20</v>
      </c>
      <c r="L763" s="4" t="s">
        <v>48</v>
      </c>
      <c r="M763" s="4">
        <v>737</v>
      </c>
    </row>
    <row r="764" spans="1:13" x14ac:dyDescent="0.3">
      <c r="A764" s="5" t="s">
        <v>2040</v>
      </c>
      <c r="B764" s="5" t="s">
        <v>1420</v>
      </c>
      <c r="C764" s="5">
        <v>37</v>
      </c>
      <c r="D764" s="5" t="s">
        <v>18</v>
      </c>
      <c r="E764" s="5">
        <v>550000</v>
      </c>
      <c r="F764" s="35">
        <v>8.5000000000000006E-2</v>
      </c>
      <c r="G764" s="5">
        <v>120</v>
      </c>
      <c r="H764" s="5" t="s">
        <v>2041</v>
      </c>
      <c r="I764" s="5">
        <v>6819.21</v>
      </c>
      <c r="J764" s="5">
        <v>818305.55</v>
      </c>
      <c r="K764" s="5" t="s">
        <v>16</v>
      </c>
      <c r="L764" s="5" t="s">
        <v>191</v>
      </c>
      <c r="M764" s="5">
        <v>563</v>
      </c>
    </row>
    <row r="765" spans="1:13" x14ac:dyDescent="0.3">
      <c r="A765" s="4" t="s">
        <v>2042</v>
      </c>
      <c r="B765" s="4" t="s">
        <v>58</v>
      </c>
      <c r="C765" s="4">
        <v>30</v>
      </c>
      <c r="D765" s="4" t="s">
        <v>32</v>
      </c>
      <c r="E765" s="4">
        <v>370000</v>
      </c>
      <c r="F765" s="3">
        <v>0.08</v>
      </c>
      <c r="G765" s="4">
        <v>60</v>
      </c>
      <c r="H765" s="4" t="s">
        <v>2043</v>
      </c>
      <c r="I765" s="4">
        <v>7502.27</v>
      </c>
      <c r="J765" s="4">
        <v>450135.95</v>
      </c>
      <c r="K765" s="4" t="s">
        <v>16</v>
      </c>
      <c r="L765" s="4" t="s">
        <v>68</v>
      </c>
      <c r="M765" s="4">
        <v>561</v>
      </c>
    </row>
    <row r="766" spans="1:13" x14ac:dyDescent="0.3">
      <c r="A766" s="5" t="s">
        <v>2044</v>
      </c>
      <c r="B766" s="5" t="s">
        <v>2045</v>
      </c>
      <c r="C766" s="5">
        <v>37</v>
      </c>
      <c r="D766" s="5" t="s">
        <v>27</v>
      </c>
      <c r="E766" s="5">
        <v>250000</v>
      </c>
      <c r="F766" s="35">
        <v>9.5000000000000001E-2</v>
      </c>
      <c r="G766" s="5">
        <v>48</v>
      </c>
      <c r="H766" s="5" t="s">
        <v>2046</v>
      </c>
      <c r="I766" s="5">
        <v>6280.78</v>
      </c>
      <c r="J766" s="5">
        <v>301477.64</v>
      </c>
      <c r="K766" s="5" t="s">
        <v>20</v>
      </c>
      <c r="L766" s="5" t="s">
        <v>143</v>
      </c>
      <c r="M766" s="5">
        <v>636</v>
      </c>
    </row>
    <row r="767" spans="1:13" x14ac:dyDescent="0.3">
      <c r="A767" s="4" t="s">
        <v>2047</v>
      </c>
      <c r="B767" s="4" t="s">
        <v>2048</v>
      </c>
      <c r="C767" s="4">
        <v>40</v>
      </c>
      <c r="D767" s="4" t="s">
        <v>27</v>
      </c>
      <c r="E767" s="4">
        <v>920000</v>
      </c>
      <c r="F767" s="3">
        <v>0.13</v>
      </c>
      <c r="G767" s="4">
        <v>12</v>
      </c>
      <c r="H767" s="4" t="s">
        <v>2049</v>
      </c>
      <c r="I767" s="4">
        <v>82171.89</v>
      </c>
      <c r="J767" s="4">
        <v>986062.72</v>
      </c>
      <c r="K767" s="4" t="s">
        <v>60</v>
      </c>
      <c r="L767" s="4" t="s">
        <v>366</v>
      </c>
      <c r="M767" s="4">
        <v>561</v>
      </c>
    </row>
    <row r="768" spans="1:13" x14ac:dyDescent="0.3">
      <c r="A768" s="5" t="s">
        <v>2050</v>
      </c>
      <c r="B768" s="5" t="s">
        <v>2051</v>
      </c>
      <c r="C768" s="5">
        <v>44</v>
      </c>
      <c r="D768" s="5" t="s">
        <v>15</v>
      </c>
      <c r="E768" s="5">
        <v>630000</v>
      </c>
      <c r="F768" s="35">
        <v>0.115</v>
      </c>
      <c r="G768" s="5">
        <v>12</v>
      </c>
      <c r="H768" s="5" t="s">
        <v>1401</v>
      </c>
      <c r="I768" s="5">
        <v>55827.48</v>
      </c>
      <c r="J768" s="5">
        <v>669929.81000000006</v>
      </c>
      <c r="K768" s="5" t="s">
        <v>16</v>
      </c>
      <c r="L768" s="5" t="s">
        <v>155</v>
      </c>
      <c r="M768" s="5">
        <v>574</v>
      </c>
    </row>
    <row r="769" spans="1:13" x14ac:dyDescent="0.3">
      <c r="A769" s="4" t="s">
        <v>2052</v>
      </c>
      <c r="B769" s="4" t="s">
        <v>2053</v>
      </c>
      <c r="C769" s="4">
        <v>25</v>
      </c>
      <c r="D769" s="4" t="s">
        <v>37</v>
      </c>
      <c r="E769" s="4">
        <v>2240000</v>
      </c>
      <c r="F769" s="3">
        <v>0.105</v>
      </c>
      <c r="G769" s="4">
        <v>240</v>
      </c>
      <c r="H769" s="4" t="s">
        <v>2054</v>
      </c>
      <c r="I769" s="4">
        <v>22363.71</v>
      </c>
      <c r="J769" s="4">
        <v>5367290.2699999996</v>
      </c>
      <c r="K769" s="4" t="s">
        <v>16</v>
      </c>
      <c r="L769" s="4" t="s">
        <v>90</v>
      </c>
      <c r="M769" s="4">
        <v>850</v>
      </c>
    </row>
    <row r="770" spans="1:13" x14ac:dyDescent="0.3">
      <c r="A770" s="5" t="s">
        <v>2055</v>
      </c>
      <c r="B770" s="5" t="s">
        <v>2056</v>
      </c>
      <c r="C770" s="5">
        <v>54</v>
      </c>
      <c r="D770" s="5" t="s">
        <v>32</v>
      </c>
      <c r="E770" s="5">
        <v>470000</v>
      </c>
      <c r="F770" s="35">
        <v>8.5000000000000006E-2</v>
      </c>
      <c r="G770" s="5">
        <v>24</v>
      </c>
      <c r="H770" s="5" t="s">
        <v>2057</v>
      </c>
      <c r="I770" s="5">
        <v>21364.17</v>
      </c>
      <c r="J770" s="5">
        <v>512740.01</v>
      </c>
      <c r="K770" s="5" t="s">
        <v>16</v>
      </c>
      <c r="L770" s="5" t="s">
        <v>155</v>
      </c>
      <c r="M770" s="5">
        <v>792</v>
      </c>
    </row>
    <row r="771" spans="1:13" x14ac:dyDescent="0.3">
      <c r="A771" s="4" t="s">
        <v>2058</v>
      </c>
      <c r="B771" s="4" t="s">
        <v>2059</v>
      </c>
      <c r="C771" s="4">
        <v>26</v>
      </c>
      <c r="D771" s="4" t="s">
        <v>37</v>
      </c>
      <c r="E771" s="4">
        <v>1000000</v>
      </c>
      <c r="F771" s="3">
        <v>0.115</v>
      </c>
      <c r="G771" s="4">
        <v>240</v>
      </c>
      <c r="H771" s="4" t="s">
        <v>2060</v>
      </c>
      <c r="I771" s="4">
        <v>10664.3</v>
      </c>
      <c r="J771" s="4">
        <v>2559431.12</v>
      </c>
      <c r="K771" s="4" t="s">
        <v>16</v>
      </c>
      <c r="L771" s="4" t="s">
        <v>205</v>
      </c>
      <c r="M771" s="4">
        <v>671</v>
      </c>
    </row>
    <row r="772" spans="1:13" x14ac:dyDescent="0.3">
      <c r="A772" s="5" t="s">
        <v>2061</v>
      </c>
      <c r="B772" s="5" t="s">
        <v>1704</v>
      </c>
      <c r="C772" s="5">
        <v>22</v>
      </c>
      <c r="D772" s="5" t="s">
        <v>42</v>
      </c>
      <c r="E772" s="5">
        <v>1500000</v>
      </c>
      <c r="F772" s="35">
        <v>0.12</v>
      </c>
      <c r="G772" s="5">
        <v>12</v>
      </c>
      <c r="H772" s="5" t="s">
        <v>2062</v>
      </c>
      <c r="I772" s="5">
        <v>133273.18</v>
      </c>
      <c r="J772" s="5">
        <v>1599278.2</v>
      </c>
      <c r="K772" s="5" t="s">
        <v>60</v>
      </c>
      <c r="L772" s="5" t="s">
        <v>29</v>
      </c>
      <c r="M772" s="5">
        <v>696</v>
      </c>
    </row>
    <row r="773" spans="1:13" x14ac:dyDescent="0.3">
      <c r="A773" s="4" t="s">
        <v>2063</v>
      </c>
      <c r="B773" s="4" t="s">
        <v>2064</v>
      </c>
      <c r="C773" s="4">
        <v>33</v>
      </c>
      <c r="D773" s="4" t="s">
        <v>42</v>
      </c>
      <c r="E773" s="4">
        <v>1040000</v>
      </c>
      <c r="F773" s="3">
        <v>7.4999999999999997E-2</v>
      </c>
      <c r="G773" s="4">
        <v>120</v>
      </c>
      <c r="H773" s="4" t="s">
        <v>2065</v>
      </c>
      <c r="I773" s="4">
        <v>12344.98</v>
      </c>
      <c r="J773" s="4">
        <v>1481398.08</v>
      </c>
      <c r="K773" s="4" t="s">
        <v>16</v>
      </c>
      <c r="L773" s="4" t="s">
        <v>64</v>
      </c>
      <c r="M773" s="4">
        <v>604</v>
      </c>
    </row>
    <row r="774" spans="1:13" x14ac:dyDescent="0.3">
      <c r="A774" s="5" t="s">
        <v>2066</v>
      </c>
      <c r="B774" s="5" t="s">
        <v>486</v>
      </c>
      <c r="C774" s="5">
        <v>63</v>
      </c>
      <c r="D774" s="5" t="s">
        <v>18</v>
      </c>
      <c r="E774" s="5">
        <v>1320000</v>
      </c>
      <c r="F774" s="35">
        <v>8.5000000000000006E-2</v>
      </c>
      <c r="G774" s="5">
        <v>48</v>
      </c>
      <c r="H774" s="5" t="s">
        <v>2067</v>
      </c>
      <c r="I774" s="5">
        <v>32535.759999999998</v>
      </c>
      <c r="J774" s="5">
        <v>1561716.5</v>
      </c>
      <c r="K774" s="5" t="s">
        <v>60</v>
      </c>
      <c r="L774" s="5" t="s">
        <v>108</v>
      </c>
      <c r="M774" s="5">
        <v>787</v>
      </c>
    </row>
    <row r="775" spans="1:13" x14ac:dyDescent="0.3">
      <c r="A775" s="4" t="s">
        <v>2068</v>
      </c>
      <c r="B775" s="4" t="s">
        <v>1418</v>
      </c>
      <c r="C775" s="4">
        <v>63</v>
      </c>
      <c r="D775" s="4" t="s">
        <v>27</v>
      </c>
      <c r="E775" s="4">
        <v>390000</v>
      </c>
      <c r="F775" s="3">
        <v>0.09</v>
      </c>
      <c r="G775" s="4">
        <v>84</v>
      </c>
      <c r="H775" s="4" t="s">
        <v>624</v>
      </c>
      <c r="I775" s="4">
        <v>6274.74</v>
      </c>
      <c r="J775" s="4">
        <v>527078.19999999995</v>
      </c>
      <c r="K775" s="4" t="s">
        <v>16</v>
      </c>
      <c r="L775" s="4" t="s">
        <v>75</v>
      </c>
      <c r="M775" s="4">
        <v>722</v>
      </c>
    </row>
    <row r="776" spans="1:13" x14ac:dyDescent="0.3">
      <c r="A776" s="5" t="s">
        <v>2069</v>
      </c>
      <c r="B776" s="5" t="s">
        <v>2070</v>
      </c>
      <c r="C776" s="5">
        <v>31</v>
      </c>
      <c r="D776" s="5" t="s">
        <v>18</v>
      </c>
      <c r="E776" s="5">
        <v>1450000</v>
      </c>
      <c r="F776" s="35">
        <v>0.09</v>
      </c>
      <c r="G776" s="5">
        <v>120</v>
      </c>
      <c r="H776" s="5" t="s">
        <v>1404</v>
      </c>
      <c r="I776" s="5">
        <v>18367.990000000002</v>
      </c>
      <c r="J776" s="5">
        <v>2204158.46</v>
      </c>
      <c r="K776" s="5" t="s">
        <v>16</v>
      </c>
      <c r="L776" s="5" t="s">
        <v>155</v>
      </c>
      <c r="M776" s="5">
        <v>770</v>
      </c>
    </row>
    <row r="777" spans="1:13" x14ac:dyDescent="0.3">
      <c r="A777" s="4" t="s">
        <v>2071</v>
      </c>
      <c r="B777" s="4" t="s">
        <v>854</v>
      </c>
      <c r="C777" s="4">
        <v>43</v>
      </c>
      <c r="D777" s="4" t="s">
        <v>18</v>
      </c>
      <c r="E777" s="4">
        <v>1330000</v>
      </c>
      <c r="F777" s="3">
        <v>7.4999999999999997E-2</v>
      </c>
      <c r="G777" s="4">
        <v>84</v>
      </c>
      <c r="H777" s="4" t="s">
        <v>2072</v>
      </c>
      <c r="I777" s="4">
        <v>20399.91</v>
      </c>
      <c r="J777" s="4">
        <v>1713592.18</v>
      </c>
      <c r="K777" s="4" t="s">
        <v>16</v>
      </c>
      <c r="L777" s="4" t="s">
        <v>90</v>
      </c>
      <c r="M777" s="4">
        <v>668</v>
      </c>
    </row>
    <row r="778" spans="1:13" x14ac:dyDescent="0.3">
      <c r="A778" s="5" t="s">
        <v>2073</v>
      </c>
      <c r="B778" s="5" t="s">
        <v>2074</v>
      </c>
      <c r="C778" s="5">
        <v>36</v>
      </c>
      <c r="D778" s="5" t="s">
        <v>23</v>
      </c>
      <c r="E778" s="5">
        <v>3820000</v>
      </c>
      <c r="F778" s="35">
        <v>0.09</v>
      </c>
      <c r="G778" s="5">
        <v>24</v>
      </c>
      <c r="H778" s="5" t="s">
        <v>2075</v>
      </c>
      <c r="I778" s="5">
        <v>174515.72</v>
      </c>
      <c r="J778" s="5">
        <v>4188377.17</v>
      </c>
      <c r="K778" s="5" t="s">
        <v>20</v>
      </c>
      <c r="L778" s="5" t="s">
        <v>143</v>
      </c>
      <c r="M778" s="5">
        <v>858</v>
      </c>
    </row>
    <row r="779" spans="1:13" x14ac:dyDescent="0.3">
      <c r="A779" s="4" t="s">
        <v>2076</v>
      </c>
      <c r="B779" s="4" t="s">
        <v>1615</v>
      </c>
      <c r="C779" s="4">
        <v>51</v>
      </c>
      <c r="D779" s="4" t="s">
        <v>27</v>
      </c>
      <c r="E779" s="4">
        <v>440000</v>
      </c>
      <c r="F779" s="3">
        <v>7.4999999999999997E-2</v>
      </c>
      <c r="G779" s="4">
        <v>36</v>
      </c>
      <c r="H779" s="4" t="s">
        <v>194</v>
      </c>
      <c r="I779" s="4">
        <v>13686.74</v>
      </c>
      <c r="J779" s="4">
        <v>492722.5</v>
      </c>
      <c r="K779" s="4" t="s">
        <v>20</v>
      </c>
      <c r="L779" s="4" t="s">
        <v>39</v>
      </c>
      <c r="M779" s="4">
        <v>732</v>
      </c>
    </row>
    <row r="780" spans="1:13" x14ac:dyDescent="0.3">
      <c r="A780" s="5" t="s">
        <v>2077</v>
      </c>
      <c r="B780" s="5" t="s">
        <v>1900</v>
      </c>
      <c r="C780" s="5">
        <v>31</v>
      </c>
      <c r="D780" s="5" t="s">
        <v>15</v>
      </c>
      <c r="E780" s="5">
        <v>1680000</v>
      </c>
      <c r="F780" s="35">
        <v>0.11</v>
      </c>
      <c r="G780" s="5">
        <v>120</v>
      </c>
      <c r="H780" s="5" t="s">
        <v>2078</v>
      </c>
      <c r="I780" s="5">
        <v>23142</v>
      </c>
      <c r="J780" s="5">
        <v>2777040.23</v>
      </c>
      <c r="K780" s="5" t="s">
        <v>312</v>
      </c>
      <c r="L780" s="5" t="s">
        <v>104</v>
      </c>
      <c r="M780" s="5">
        <v>837</v>
      </c>
    </row>
    <row r="781" spans="1:13" x14ac:dyDescent="0.3">
      <c r="A781" s="4" t="s">
        <v>2079</v>
      </c>
      <c r="B781" s="4" t="s">
        <v>2080</v>
      </c>
      <c r="C781" s="4">
        <v>36</v>
      </c>
      <c r="D781" s="4" t="s">
        <v>27</v>
      </c>
      <c r="E781" s="4">
        <v>410000</v>
      </c>
      <c r="F781" s="3">
        <v>7.4999999999999997E-2</v>
      </c>
      <c r="G781" s="4">
        <v>60</v>
      </c>
      <c r="H781" s="4" t="s">
        <v>2081</v>
      </c>
      <c r="I781" s="4">
        <v>8215.56</v>
      </c>
      <c r="J781" s="4">
        <v>492933.54</v>
      </c>
      <c r="K781" s="4" t="s">
        <v>16</v>
      </c>
      <c r="L781" s="4" t="s">
        <v>159</v>
      </c>
      <c r="M781" s="4">
        <v>856</v>
      </c>
    </row>
    <row r="782" spans="1:13" x14ac:dyDescent="0.3">
      <c r="A782" s="5" t="s">
        <v>2082</v>
      </c>
      <c r="B782" s="5" t="s">
        <v>2083</v>
      </c>
      <c r="C782" s="5">
        <v>28</v>
      </c>
      <c r="D782" s="5" t="s">
        <v>32</v>
      </c>
      <c r="E782" s="5">
        <v>200000</v>
      </c>
      <c r="F782" s="35">
        <v>0.1</v>
      </c>
      <c r="G782" s="5">
        <v>60</v>
      </c>
      <c r="H782" s="5" t="s">
        <v>642</v>
      </c>
      <c r="I782" s="5">
        <v>4249.41</v>
      </c>
      <c r="J782" s="5">
        <v>254964.54</v>
      </c>
      <c r="K782" s="5" t="s">
        <v>16</v>
      </c>
      <c r="L782" s="5" t="s">
        <v>34</v>
      </c>
      <c r="M782" s="5">
        <v>849</v>
      </c>
    </row>
    <row r="783" spans="1:13" x14ac:dyDescent="0.3">
      <c r="A783" s="4" t="s">
        <v>2084</v>
      </c>
      <c r="B783" s="4" t="s">
        <v>1867</v>
      </c>
      <c r="C783" s="4">
        <v>24</v>
      </c>
      <c r="D783" s="4" t="s">
        <v>15</v>
      </c>
      <c r="E783" s="4">
        <v>1400000</v>
      </c>
      <c r="F783" s="3">
        <v>0.13</v>
      </c>
      <c r="G783" s="4">
        <v>240</v>
      </c>
      <c r="H783" s="4" t="s">
        <v>2085</v>
      </c>
      <c r="I783" s="4">
        <v>16402.060000000001</v>
      </c>
      <c r="J783" s="4">
        <v>3936494.39</v>
      </c>
      <c r="K783" s="4" t="s">
        <v>20</v>
      </c>
      <c r="L783" s="4" t="s">
        <v>48</v>
      </c>
      <c r="M783" s="4">
        <v>631</v>
      </c>
    </row>
    <row r="784" spans="1:13" x14ac:dyDescent="0.3">
      <c r="A784" s="5" t="s">
        <v>2086</v>
      </c>
      <c r="B784" s="5" t="s">
        <v>113</v>
      </c>
      <c r="C784" s="5">
        <v>60</v>
      </c>
      <c r="D784" s="5" t="s">
        <v>27</v>
      </c>
      <c r="E784" s="5">
        <v>380000</v>
      </c>
      <c r="F784" s="35">
        <v>0.09</v>
      </c>
      <c r="G784" s="5">
        <v>120</v>
      </c>
      <c r="H784" s="5" t="s">
        <v>1570</v>
      </c>
      <c r="I784" s="5">
        <v>4813.68</v>
      </c>
      <c r="J784" s="5">
        <v>577641.53</v>
      </c>
      <c r="K784" s="5" t="s">
        <v>16</v>
      </c>
      <c r="L784" s="5" t="s">
        <v>151</v>
      </c>
      <c r="M784" s="5">
        <v>760</v>
      </c>
    </row>
    <row r="785" spans="1:13" x14ac:dyDescent="0.3">
      <c r="A785" s="4" t="s">
        <v>2087</v>
      </c>
      <c r="B785" s="4" t="s">
        <v>2088</v>
      </c>
      <c r="C785" s="4">
        <v>24</v>
      </c>
      <c r="D785" s="4" t="s">
        <v>42</v>
      </c>
      <c r="E785" s="4">
        <v>1380000</v>
      </c>
      <c r="F785" s="3">
        <v>9.5000000000000001E-2</v>
      </c>
      <c r="G785" s="4">
        <v>84</v>
      </c>
      <c r="H785" s="4" t="s">
        <v>2089</v>
      </c>
      <c r="I785" s="4">
        <v>22554.69</v>
      </c>
      <c r="J785" s="4">
        <v>1894594.36</v>
      </c>
      <c r="K785" s="4" t="s">
        <v>16</v>
      </c>
      <c r="L785" s="4" t="s">
        <v>108</v>
      </c>
      <c r="M785" s="4">
        <v>699</v>
      </c>
    </row>
    <row r="786" spans="1:13" x14ac:dyDescent="0.3">
      <c r="A786" s="5" t="s">
        <v>2090</v>
      </c>
      <c r="B786" s="5" t="s">
        <v>2091</v>
      </c>
      <c r="C786" s="5">
        <v>45</v>
      </c>
      <c r="D786" s="5" t="s">
        <v>32</v>
      </c>
      <c r="E786" s="5">
        <v>410000</v>
      </c>
      <c r="F786" s="35">
        <v>0.1</v>
      </c>
      <c r="G786" s="5">
        <v>60</v>
      </c>
      <c r="H786" s="5" t="s">
        <v>439</v>
      </c>
      <c r="I786" s="5">
        <v>8711.2900000000009</v>
      </c>
      <c r="J786" s="5">
        <v>522677.3</v>
      </c>
      <c r="K786" s="5" t="s">
        <v>60</v>
      </c>
      <c r="L786" s="5" t="s">
        <v>326</v>
      </c>
      <c r="M786" s="5">
        <v>586</v>
      </c>
    </row>
    <row r="787" spans="1:13" x14ac:dyDescent="0.3">
      <c r="A787" s="4" t="s">
        <v>2092</v>
      </c>
      <c r="B787" s="4" t="s">
        <v>931</v>
      </c>
      <c r="C787" s="4">
        <v>23</v>
      </c>
      <c r="D787" s="4" t="s">
        <v>27</v>
      </c>
      <c r="E787" s="4">
        <v>950000</v>
      </c>
      <c r="F787" s="3">
        <v>0.11</v>
      </c>
      <c r="G787" s="4">
        <v>120</v>
      </c>
      <c r="H787" s="4" t="s">
        <v>2093</v>
      </c>
      <c r="I787" s="4">
        <v>13086.25</v>
      </c>
      <c r="J787" s="4">
        <v>1570350.13</v>
      </c>
      <c r="K787" s="4" t="s">
        <v>16</v>
      </c>
      <c r="L787" s="4" t="s">
        <v>226</v>
      </c>
      <c r="M787" s="4">
        <v>861</v>
      </c>
    </row>
    <row r="788" spans="1:13" x14ac:dyDescent="0.3">
      <c r="A788" s="5" t="s">
        <v>2094</v>
      </c>
      <c r="B788" s="5" t="s">
        <v>2095</v>
      </c>
      <c r="C788" s="5">
        <v>52</v>
      </c>
      <c r="D788" s="5" t="s">
        <v>32</v>
      </c>
      <c r="E788" s="5">
        <v>100000</v>
      </c>
      <c r="F788" s="35">
        <v>0.115</v>
      </c>
      <c r="G788" s="5">
        <v>48</v>
      </c>
      <c r="H788" s="5" t="s">
        <v>1710</v>
      </c>
      <c r="I788" s="5">
        <v>2608.9</v>
      </c>
      <c r="J788" s="5">
        <v>125227.24</v>
      </c>
      <c r="K788" s="5" t="s">
        <v>16</v>
      </c>
      <c r="L788" s="5" t="s">
        <v>143</v>
      </c>
      <c r="M788" s="5">
        <v>608</v>
      </c>
    </row>
    <row r="789" spans="1:13" x14ac:dyDescent="0.3">
      <c r="A789" s="4" t="s">
        <v>2096</v>
      </c>
      <c r="B789" s="4" t="s">
        <v>2097</v>
      </c>
      <c r="C789" s="4">
        <v>23</v>
      </c>
      <c r="D789" s="4" t="s">
        <v>42</v>
      </c>
      <c r="E789" s="4">
        <v>580000</v>
      </c>
      <c r="F789" s="3">
        <v>0.105</v>
      </c>
      <c r="G789" s="4">
        <v>120</v>
      </c>
      <c r="H789" s="4" t="s">
        <v>2098</v>
      </c>
      <c r="I789" s="4">
        <v>7826.23</v>
      </c>
      <c r="J789" s="4">
        <v>939147.58</v>
      </c>
      <c r="K789" s="4" t="s">
        <v>16</v>
      </c>
      <c r="L789" s="4" t="s">
        <v>249</v>
      </c>
      <c r="M789" s="4">
        <v>680</v>
      </c>
    </row>
    <row r="790" spans="1:13" x14ac:dyDescent="0.3">
      <c r="A790" s="5" t="s">
        <v>2099</v>
      </c>
      <c r="B790" s="5" t="s">
        <v>2100</v>
      </c>
      <c r="C790" s="5">
        <v>47</v>
      </c>
      <c r="D790" s="5" t="s">
        <v>23</v>
      </c>
      <c r="E790" s="5">
        <v>7910000</v>
      </c>
      <c r="F790" s="35">
        <v>0.125</v>
      </c>
      <c r="G790" s="5">
        <v>240</v>
      </c>
      <c r="H790" s="5" t="s">
        <v>1303</v>
      </c>
      <c r="I790" s="5">
        <v>89868.72</v>
      </c>
      <c r="J790" s="5">
        <v>21568492.199999999</v>
      </c>
      <c r="K790" s="5" t="s">
        <v>60</v>
      </c>
      <c r="L790" s="5" t="s">
        <v>187</v>
      </c>
      <c r="M790" s="5">
        <v>751</v>
      </c>
    </row>
    <row r="791" spans="1:13" x14ac:dyDescent="0.3">
      <c r="A791" s="4" t="s">
        <v>2101</v>
      </c>
      <c r="B791" s="4" t="s">
        <v>1015</v>
      </c>
      <c r="C791" s="4">
        <v>49</v>
      </c>
      <c r="D791" s="4" t="s">
        <v>23</v>
      </c>
      <c r="E791" s="4">
        <v>1990000</v>
      </c>
      <c r="F791" s="3">
        <v>0.08</v>
      </c>
      <c r="G791" s="4">
        <v>240</v>
      </c>
      <c r="H791" s="4" t="s">
        <v>2102</v>
      </c>
      <c r="I791" s="4">
        <v>16645.16</v>
      </c>
      <c r="J791" s="4">
        <v>3994837.77</v>
      </c>
      <c r="K791" s="4" t="s">
        <v>20</v>
      </c>
      <c r="L791" s="4" t="s">
        <v>143</v>
      </c>
      <c r="M791" s="4">
        <v>792</v>
      </c>
    </row>
    <row r="792" spans="1:13" x14ac:dyDescent="0.3">
      <c r="A792" s="5" t="s">
        <v>2103</v>
      </c>
      <c r="B792" s="5" t="s">
        <v>2104</v>
      </c>
      <c r="C792" s="5">
        <v>52</v>
      </c>
      <c r="D792" s="5" t="s">
        <v>18</v>
      </c>
      <c r="E792" s="5">
        <v>780000</v>
      </c>
      <c r="F792" s="35">
        <v>0.125</v>
      </c>
      <c r="G792" s="5">
        <v>180</v>
      </c>
      <c r="H792" s="5" t="s">
        <v>2105</v>
      </c>
      <c r="I792" s="5">
        <v>9613.67</v>
      </c>
      <c r="J792" s="5">
        <v>1730461</v>
      </c>
      <c r="K792" s="5" t="s">
        <v>20</v>
      </c>
      <c r="L792" s="5" t="s">
        <v>44</v>
      </c>
      <c r="M792" s="5">
        <v>584</v>
      </c>
    </row>
    <row r="793" spans="1:13" x14ac:dyDescent="0.3">
      <c r="A793" s="4" t="s">
        <v>2106</v>
      </c>
      <c r="B793" s="4" t="s">
        <v>2107</v>
      </c>
      <c r="C793" s="4">
        <v>39</v>
      </c>
      <c r="D793" s="4" t="s">
        <v>37</v>
      </c>
      <c r="E793" s="4">
        <v>1560000</v>
      </c>
      <c r="F793" s="3">
        <v>7.4999999999999997E-2</v>
      </c>
      <c r="G793" s="4">
        <v>36</v>
      </c>
      <c r="H793" s="4" t="s">
        <v>1984</v>
      </c>
      <c r="I793" s="4">
        <v>48525.7</v>
      </c>
      <c r="J793" s="4">
        <v>1746925.21</v>
      </c>
      <c r="K793" s="4" t="s">
        <v>20</v>
      </c>
      <c r="L793" s="4" t="s">
        <v>115</v>
      </c>
      <c r="M793" s="4">
        <v>642</v>
      </c>
    </row>
    <row r="794" spans="1:13" x14ac:dyDescent="0.3">
      <c r="A794" s="5" t="s">
        <v>2108</v>
      </c>
      <c r="B794" s="5" t="s">
        <v>1918</v>
      </c>
      <c r="C794" s="5">
        <v>41</v>
      </c>
      <c r="D794" s="5" t="s">
        <v>27</v>
      </c>
      <c r="E794" s="5">
        <v>840000</v>
      </c>
      <c r="F794" s="35">
        <v>0.09</v>
      </c>
      <c r="G794" s="5">
        <v>84</v>
      </c>
      <c r="H794" s="5" t="s">
        <v>2109</v>
      </c>
      <c r="I794" s="5">
        <v>13514.83</v>
      </c>
      <c r="J794" s="5">
        <v>1135245.3600000001</v>
      </c>
      <c r="K794" s="5" t="s">
        <v>20</v>
      </c>
      <c r="L794" s="5" t="s">
        <v>21</v>
      </c>
      <c r="M794" s="5">
        <v>756</v>
      </c>
    </row>
    <row r="795" spans="1:13" x14ac:dyDescent="0.3">
      <c r="A795" s="4" t="s">
        <v>2110</v>
      </c>
      <c r="B795" s="4" t="s">
        <v>1243</v>
      </c>
      <c r="C795" s="4">
        <v>25</v>
      </c>
      <c r="D795" s="4" t="s">
        <v>37</v>
      </c>
      <c r="E795" s="4">
        <v>1610000</v>
      </c>
      <c r="F795" s="3">
        <v>0.1</v>
      </c>
      <c r="G795" s="4">
        <v>240</v>
      </c>
      <c r="H795" s="4" t="s">
        <v>2111</v>
      </c>
      <c r="I795" s="4">
        <v>15536.85</v>
      </c>
      <c r="J795" s="4">
        <v>3728843.64</v>
      </c>
      <c r="K795" s="4" t="s">
        <v>16</v>
      </c>
      <c r="L795" s="4" t="s">
        <v>94</v>
      </c>
      <c r="M795" s="4">
        <v>881</v>
      </c>
    </row>
    <row r="796" spans="1:13" x14ac:dyDescent="0.3">
      <c r="A796" s="5" t="s">
        <v>2112</v>
      </c>
      <c r="B796" s="5" t="s">
        <v>404</v>
      </c>
      <c r="C796" s="5">
        <v>38</v>
      </c>
      <c r="D796" s="5" t="s">
        <v>32</v>
      </c>
      <c r="E796" s="5">
        <v>180000</v>
      </c>
      <c r="F796" s="35">
        <v>0.11</v>
      </c>
      <c r="G796" s="5">
        <v>240</v>
      </c>
      <c r="H796" s="5" t="s">
        <v>2113</v>
      </c>
      <c r="I796" s="5">
        <v>1857.94</v>
      </c>
      <c r="J796" s="5">
        <v>445905.39</v>
      </c>
      <c r="K796" s="5" t="s">
        <v>312</v>
      </c>
      <c r="L796" s="5" t="s">
        <v>75</v>
      </c>
      <c r="M796" s="5">
        <v>854</v>
      </c>
    </row>
    <row r="797" spans="1:13" x14ac:dyDescent="0.3">
      <c r="A797" s="4" t="s">
        <v>2114</v>
      </c>
      <c r="B797" s="4" t="s">
        <v>207</v>
      </c>
      <c r="C797" s="4">
        <v>48</v>
      </c>
      <c r="D797" s="4" t="s">
        <v>27</v>
      </c>
      <c r="E797" s="4">
        <v>250000</v>
      </c>
      <c r="F797" s="3">
        <v>0.12</v>
      </c>
      <c r="G797" s="4">
        <v>180</v>
      </c>
      <c r="H797" s="4" t="s">
        <v>2115</v>
      </c>
      <c r="I797" s="4">
        <v>3000.42</v>
      </c>
      <c r="J797" s="4">
        <v>540075.63</v>
      </c>
      <c r="K797" s="4" t="s">
        <v>60</v>
      </c>
      <c r="L797" s="4" t="s">
        <v>48</v>
      </c>
      <c r="M797" s="4">
        <v>899</v>
      </c>
    </row>
    <row r="798" spans="1:13" x14ac:dyDescent="0.3">
      <c r="A798" s="5" t="s">
        <v>2116</v>
      </c>
      <c r="B798" s="5" t="s">
        <v>823</v>
      </c>
      <c r="C798" s="5">
        <v>62</v>
      </c>
      <c r="D798" s="5" t="s">
        <v>23</v>
      </c>
      <c r="E798" s="5">
        <v>6400000</v>
      </c>
      <c r="F798" s="35">
        <v>0.11</v>
      </c>
      <c r="G798" s="5">
        <v>60</v>
      </c>
      <c r="H798" s="5" t="s">
        <v>1035</v>
      </c>
      <c r="I798" s="5">
        <v>139151.51</v>
      </c>
      <c r="J798" s="5">
        <v>8349090.46</v>
      </c>
      <c r="K798" s="5" t="s">
        <v>16</v>
      </c>
      <c r="L798" s="5" t="s">
        <v>326</v>
      </c>
      <c r="M798" s="5">
        <v>762</v>
      </c>
    </row>
    <row r="799" spans="1:13" x14ac:dyDescent="0.3">
      <c r="A799" s="4" t="s">
        <v>2117</v>
      </c>
      <c r="B799" s="4" t="s">
        <v>1515</v>
      </c>
      <c r="C799" s="4">
        <v>42</v>
      </c>
      <c r="D799" s="4" t="s">
        <v>15</v>
      </c>
      <c r="E799" s="4">
        <v>1940000</v>
      </c>
      <c r="F799" s="3">
        <v>8.5000000000000006E-2</v>
      </c>
      <c r="G799" s="4">
        <v>60</v>
      </c>
      <c r="H799" s="4" t="s">
        <v>2118</v>
      </c>
      <c r="I799" s="4">
        <v>39802.07</v>
      </c>
      <c r="J799" s="4">
        <v>2388124.25</v>
      </c>
      <c r="K799" s="4" t="s">
        <v>60</v>
      </c>
      <c r="L799" s="4" t="s">
        <v>115</v>
      </c>
      <c r="M799" s="4">
        <v>708</v>
      </c>
    </row>
    <row r="800" spans="1:13" x14ac:dyDescent="0.3">
      <c r="A800" s="5" t="s">
        <v>2119</v>
      </c>
      <c r="B800" s="5" t="s">
        <v>318</v>
      </c>
      <c r="C800" s="5">
        <v>41</v>
      </c>
      <c r="D800" s="5" t="s">
        <v>37</v>
      </c>
      <c r="E800" s="5">
        <v>2580000</v>
      </c>
      <c r="F800" s="35">
        <v>0.11</v>
      </c>
      <c r="G800" s="5">
        <v>84</v>
      </c>
      <c r="H800" s="5" t="s">
        <v>2120</v>
      </c>
      <c r="I800" s="5">
        <v>44175.89</v>
      </c>
      <c r="J800" s="5">
        <v>3710774.42</v>
      </c>
      <c r="K800" s="5" t="s">
        <v>16</v>
      </c>
      <c r="L800" s="5" t="s">
        <v>191</v>
      </c>
      <c r="M800" s="5">
        <v>573</v>
      </c>
    </row>
    <row r="801" spans="1:13" x14ac:dyDescent="0.3">
      <c r="A801" s="4" t="s">
        <v>2121</v>
      </c>
      <c r="B801" s="4" t="s">
        <v>2122</v>
      </c>
      <c r="C801" s="4">
        <v>26</v>
      </c>
      <c r="D801" s="4" t="s">
        <v>32</v>
      </c>
      <c r="E801" s="4">
        <v>450000</v>
      </c>
      <c r="F801" s="3">
        <v>0.12</v>
      </c>
      <c r="G801" s="4">
        <v>120</v>
      </c>
      <c r="H801" s="4" t="s">
        <v>2123</v>
      </c>
      <c r="I801" s="4">
        <v>6456.19</v>
      </c>
      <c r="J801" s="4">
        <v>774743.12</v>
      </c>
      <c r="K801" s="4" t="s">
        <v>312</v>
      </c>
      <c r="L801" s="4" t="s">
        <v>104</v>
      </c>
      <c r="M801" s="4">
        <v>842</v>
      </c>
    </row>
    <row r="802" spans="1:13" x14ac:dyDescent="0.3">
      <c r="A802" s="5" t="s">
        <v>2124</v>
      </c>
      <c r="B802" s="5" t="s">
        <v>2125</v>
      </c>
      <c r="C802" s="5">
        <v>21</v>
      </c>
      <c r="D802" s="5" t="s">
        <v>37</v>
      </c>
      <c r="E802" s="5">
        <v>3790000</v>
      </c>
      <c r="F802" s="35">
        <v>0.115</v>
      </c>
      <c r="G802" s="5">
        <v>36</v>
      </c>
      <c r="H802" s="5" t="s">
        <v>2126</v>
      </c>
      <c r="I802" s="5">
        <v>124979.06</v>
      </c>
      <c r="J802" s="5">
        <v>4499246.32</v>
      </c>
      <c r="K802" s="5" t="s">
        <v>20</v>
      </c>
      <c r="L802" s="5" t="s">
        <v>143</v>
      </c>
      <c r="M802" s="5">
        <v>553</v>
      </c>
    </row>
    <row r="803" spans="1:13" x14ac:dyDescent="0.3">
      <c r="A803" s="4" t="s">
        <v>2127</v>
      </c>
      <c r="B803" s="4" t="s">
        <v>2128</v>
      </c>
      <c r="C803" s="4">
        <v>25</v>
      </c>
      <c r="D803" s="4" t="s">
        <v>23</v>
      </c>
      <c r="E803" s="4">
        <v>9210000</v>
      </c>
      <c r="F803" s="3">
        <v>0.1</v>
      </c>
      <c r="G803" s="4">
        <v>24</v>
      </c>
      <c r="H803" s="4" t="s">
        <v>2129</v>
      </c>
      <c r="I803" s="4">
        <v>424994.77</v>
      </c>
      <c r="J803" s="4">
        <v>10199874.52</v>
      </c>
      <c r="K803" s="4" t="s">
        <v>20</v>
      </c>
      <c r="L803" s="4" t="s">
        <v>119</v>
      </c>
      <c r="M803" s="4">
        <v>769</v>
      </c>
    </row>
    <row r="804" spans="1:13" x14ac:dyDescent="0.3">
      <c r="A804" s="5" t="s">
        <v>2130</v>
      </c>
      <c r="B804" s="5" t="s">
        <v>2131</v>
      </c>
      <c r="C804" s="5">
        <v>61</v>
      </c>
      <c r="D804" s="5" t="s">
        <v>23</v>
      </c>
      <c r="E804" s="5">
        <v>3390000</v>
      </c>
      <c r="F804" s="35">
        <v>0.1</v>
      </c>
      <c r="G804" s="5">
        <v>48</v>
      </c>
      <c r="H804" s="5" t="s">
        <v>2132</v>
      </c>
      <c r="I804" s="5">
        <v>85979.16</v>
      </c>
      <c r="J804" s="5">
        <v>4126999.58</v>
      </c>
      <c r="K804" s="5" t="s">
        <v>16</v>
      </c>
      <c r="L804" s="5" t="s">
        <v>115</v>
      </c>
      <c r="M804" s="5">
        <v>569</v>
      </c>
    </row>
    <row r="805" spans="1:13" x14ac:dyDescent="0.3">
      <c r="A805" s="4" t="s">
        <v>2133</v>
      </c>
      <c r="B805" s="4" t="s">
        <v>2134</v>
      </c>
      <c r="C805" s="4">
        <v>32</v>
      </c>
      <c r="D805" s="4" t="s">
        <v>15</v>
      </c>
      <c r="E805" s="4">
        <v>1410000</v>
      </c>
      <c r="F805" s="3">
        <v>8.5000000000000006E-2</v>
      </c>
      <c r="G805" s="4">
        <v>180</v>
      </c>
      <c r="H805" s="4" t="s">
        <v>168</v>
      </c>
      <c r="I805" s="4">
        <v>13884.83</v>
      </c>
      <c r="J805" s="4">
        <v>2499269</v>
      </c>
      <c r="K805" s="4" t="s">
        <v>20</v>
      </c>
      <c r="L805" s="4" t="s">
        <v>94</v>
      </c>
      <c r="M805" s="4">
        <v>701</v>
      </c>
    </row>
    <row r="806" spans="1:13" x14ac:dyDescent="0.3">
      <c r="A806" s="5" t="s">
        <v>2135</v>
      </c>
      <c r="B806" s="5" t="s">
        <v>2136</v>
      </c>
      <c r="C806" s="5">
        <v>46</v>
      </c>
      <c r="D806" s="5" t="s">
        <v>32</v>
      </c>
      <c r="E806" s="5">
        <v>380000</v>
      </c>
      <c r="F806" s="35">
        <v>9.5000000000000001E-2</v>
      </c>
      <c r="G806" s="5">
        <v>36</v>
      </c>
      <c r="H806" s="5" t="s">
        <v>2137</v>
      </c>
      <c r="I806" s="5">
        <v>12172.52</v>
      </c>
      <c r="J806" s="5">
        <v>438210.75</v>
      </c>
      <c r="K806" s="5" t="s">
        <v>20</v>
      </c>
      <c r="L806" s="5" t="s">
        <v>68</v>
      </c>
      <c r="M806" s="5">
        <v>599</v>
      </c>
    </row>
    <row r="807" spans="1:13" x14ac:dyDescent="0.3">
      <c r="A807" s="4" t="s">
        <v>2138</v>
      </c>
      <c r="B807" s="4" t="s">
        <v>2139</v>
      </c>
      <c r="C807" s="4">
        <v>54</v>
      </c>
      <c r="D807" s="4" t="s">
        <v>37</v>
      </c>
      <c r="E807" s="4">
        <v>2750000</v>
      </c>
      <c r="F807" s="3">
        <v>0.13</v>
      </c>
      <c r="G807" s="4">
        <v>24</v>
      </c>
      <c r="H807" s="4" t="s">
        <v>2140</v>
      </c>
      <c r="I807" s="4">
        <v>130740.01</v>
      </c>
      <c r="J807" s="4">
        <v>3137760.29</v>
      </c>
      <c r="K807" s="4" t="s">
        <v>16</v>
      </c>
      <c r="L807" s="4" t="s">
        <v>29</v>
      </c>
      <c r="M807" s="4">
        <v>726</v>
      </c>
    </row>
    <row r="808" spans="1:13" x14ac:dyDescent="0.3">
      <c r="A808" s="5" t="s">
        <v>2141</v>
      </c>
      <c r="B808" s="5" t="s">
        <v>185</v>
      </c>
      <c r="C808" s="5">
        <v>34</v>
      </c>
      <c r="D808" s="5" t="s">
        <v>23</v>
      </c>
      <c r="E808" s="5">
        <v>7950000</v>
      </c>
      <c r="F808" s="35">
        <v>0.13</v>
      </c>
      <c r="G808" s="5">
        <v>48</v>
      </c>
      <c r="H808" s="5" t="s">
        <v>2142</v>
      </c>
      <c r="I808" s="5">
        <v>213278.59</v>
      </c>
      <c r="J808" s="5">
        <v>10237372.43</v>
      </c>
      <c r="K808" s="5" t="s">
        <v>16</v>
      </c>
      <c r="L808" s="5" t="s">
        <v>82</v>
      </c>
      <c r="M808" s="5">
        <v>645</v>
      </c>
    </row>
    <row r="809" spans="1:13" x14ac:dyDescent="0.3">
      <c r="A809" s="4" t="s">
        <v>2143</v>
      </c>
      <c r="B809" s="4" t="s">
        <v>2144</v>
      </c>
      <c r="C809" s="4">
        <v>46</v>
      </c>
      <c r="D809" s="4" t="s">
        <v>32</v>
      </c>
      <c r="E809" s="4">
        <v>250000</v>
      </c>
      <c r="F809" s="3">
        <v>0.08</v>
      </c>
      <c r="G809" s="4">
        <v>240</v>
      </c>
      <c r="H809" s="4" t="s">
        <v>2145</v>
      </c>
      <c r="I809" s="4">
        <v>2091.1</v>
      </c>
      <c r="J809" s="4">
        <v>501864.04</v>
      </c>
      <c r="K809" s="4" t="s">
        <v>20</v>
      </c>
      <c r="L809" s="4" t="s">
        <v>56</v>
      </c>
      <c r="M809" s="4">
        <v>654</v>
      </c>
    </row>
    <row r="810" spans="1:13" x14ac:dyDescent="0.3">
      <c r="A810" s="5" t="s">
        <v>2146</v>
      </c>
      <c r="B810" s="5" t="s">
        <v>2147</v>
      </c>
      <c r="C810" s="5">
        <v>47</v>
      </c>
      <c r="D810" s="5" t="s">
        <v>23</v>
      </c>
      <c r="E810" s="5">
        <v>8580000</v>
      </c>
      <c r="F810" s="35">
        <v>9.5000000000000001E-2</v>
      </c>
      <c r="G810" s="5">
        <v>120</v>
      </c>
      <c r="H810" s="5" t="s">
        <v>2148</v>
      </c>
      <c r="I810" s="5">
        <v>111023.1</v>
      </c>
      <c r="J810" s="5">
        <v>13322772.529999999</v>
      </c>
      <c r="K810" s="5" t="s">
        <v>60</v>
      </c>
      <c r="L810" s="5" t="s">
        <v>34</v>
      </c>
      <c r="M810" s="5">
        <v>799</v>
      </c>
    </row>
    <row r="811" spans="1:13" x14ac:dyDescent="0.3">
      <c r="A811" s="4" t="s">
        <v>2149</v>
      </c>
      <c r="B811" s="4" t="s">
        <v>84</v>
      </c>
      <c r="C811" s="4">
        <v>29</v>
      </c>
      <c r="D811" s="4" t="s">
        <v>15</v>
      </c>
      <c r="E811" s="4">
        <v>360000</v>
      </c>
      <c r="F811" s="3">
        <v>7.4999999999999997E-2</v>
      </c>
      <c r="G811" s="4">
        <v>84</v>
      </c>
      <c r="H811" s="4" t="s">
        <v>2150</v>
      </c>
      <c r="I811" s="4">
        <v>5521.78</v>
      </c>
      <c r="J811" s="4">
        <v>463829.46</v>
      </c>
      <c r="K811" s="4" t="s">
        <v>20</v>
      </c>
      <c r="L811" s="4" t="s">
        <v>212</v>
      </c>
      <c r="M811" s="4">
        <v>666</v>
      </c>
    </row>
    <row r="812" spans="1:13" x14ac:dyDescent="0.3">
      <c r="A812" s="5" t="s">
        <v>2151</v>
      </c>
      <c r="B812" s="5" t="s">
        <v>2152</v>
      </c>
      <c r="C812" s="5">
        <v>46</v>
      </c>
      <c r="D812" s="5" t="s">
        <v>15</v>
      </c>
      <c r="E812" s="5">
        <v>1530000</v>
      </c>
      <c r="F812" s="35">
        <v>0.105</v>
      </c>
      <c r="G812" s="5">
        <v>240</v>
      </c>
      <c r="H812" s="5" t="s">
        <v>2153</v>
      </c>
      <c r="I812" s="5">
        <v>15275.21</v>
      </c>
      <c r="J812" s="5">
        <v>3666050.94</v>
      </c>
      <c r="K812" s="5" t="s">
        <v>16</v>
      </c>
      <c r="L812" s="5" t="s">
        <v>56</v>
      </c>
      <c r="M812" s="5">
        <v>777</v>
      </c>
    </row>
    <row r="813" spans="1:13" x14ac:dyDescent="0.3">
      <c r="A813" s="4" t="s">
        <v>2154</v>
      </c>
      <c r="B813" s="4" t="s">
        <v>2155</v>
      </c>
      <c r="C813" s="4">
        <v>42</v>
      </c>
      <c r="D813" s="4" t="s">
        <v>42</v>
      </c>
      <c r="E813" s="4">
        <v>500000</v>
      </c>
      <c r="F813" s="3">
        <v>7.4999999999999997E-2</v>
      </c>
      <c r="G813" s="4">
        <v>12</v>
      </c>
      <c r="H813" s="4" t="s">
        <v>1745</v>
      </c>
      <c r="I813" s="4">
        <v>43378.71</v>
      </c>
      <c r="J813" s="4">
        <v>520544.5</v>
      </c>
      <c r="K813" s="4" t="s">
        <v>20</v>
      </c>
      <c r="L813" s="4" t="s">
        <v>132</v>
      </c>
      <c r="M813" s="4">
        <v>615</v>
      </c>
    </row>
    <row r="814" spans="1:13" x14ac:dyDescent="0.3">
      <c r="A814" s="5" t="s">
        <v>2156</v>
      </c>
      <c r="B814" s="5" t="s">
        <v>2157</v>
      </c>
      <c r="C814" s="5">
        <v>50</v>
      </c>
      <c r="D814" s="5" t="s">
        <v>27</v>
      </c>
      <c r="E814" s="5">
        <v>520000</v>
      </c>
      <c r="F814" s="35">
        <v>8.5000000000000006E-2</v>
      </c>
      <c r="G814" s="5">
        <v>36</v>
      </c>
      <c r="H814" s="5" t="s">
        <v>1416</v>
      </c>
      <c r="I814" s="5">
        <v>16415.12</v>
      </c>
      <c r="J814" s="5">
        <v>590944.30000000005</v>
      </c>
      <c r="K814" s="5" t="s">
        <v>16</v>
      </c>
      <c r="L814" s="5" t="s">
        <v>52</v>
      </c>
      <c r="M814" s="5">
        <v>884</v>
      </c>
    </row>
    <row r="815" spans="1:13" x14ac:dyDescent="0.3">
      <c r="A815" s="4" t="s">
        <v>2158</v>
      </c>
      <c r="B815" s="4" t="s">
        <v>923</v>
      </c>
      <c r="C815" s="4">
        <v>63</v>
      </c>
      <c r="D815" s="4" t="s">
        <v>32</v>
      </c>
      <c r="E815" s="4">
        <v>320000</v>
      </c>
      <c r="F815" s="3">
        <v>0.12</v>
      </c>
      <c r="G815" s="4">
        <v>120</v>
      </c>
      <c r="H815" s="4" t="s">
        <v>2159</v>
      </c>
      <c r="I815" s="4">
        <v>4591.07</v>
      </c>
      <c r="J815" s="4">
        <v>550928.43999999994</v>
      </c>
      <c r="K815" s="4" t="s">
        <v>312</v>
      </c>
      <c r="L815" s="4" t="s">
        <v>25</v>
      </c>
      <c r="M815" s="4">
        <v>811</v>
      </c>
    </row>
    <row r="816" spans="1:13" x14ac:dyDescent="0.3">
      <c r="A816" s="5" t="s">
        <v>2160</v>
      </c>
      <c r="B816" s="5" t="s">
        <v>2161</v>
      </c>
      <c r="C816" s="5">
        <v>37</v>
      </c>
      <c r="D816" s="5" t="s">
        <v>42</v>
      </c>
      <c r="E816" s="5">
        <v>880000</v>
      </c>
      <c r="F816" s="35">
        <v>0.09</v>
      </c>
      <c r="G816" s="5">
        <v>12</v>
      </c>
      <c r="H816" s="5" t="s">
        <v>2162</v>
      </c>
      <c r="I816" s="5">
        <v>76957.3</v>
      </c>
      <c r="J816" s="5">
        <v>923487.59</v>
      </c>
      <c r="K816" s="5" t="s">
        <v>16</v>
      </c>
      <c r="L816" s="5" t="s">
        <v>82</v>
      </c>
      <c r="M816" s="5">
        <v>844</v>
      </c>
    </row>
    <row r="817" spans="1:13" x14ac:dyDescent="0.3">
      <c r="A817" s="4" t="s">
        <v>2163</v>
      </c>
      <c r="B817" s="4" t="s">
        <v>2122</v>
      </c>
      <c r="C817" s="4">
        <v>46</v>
      </c>
      <c r="D817" s="4" t="s">
        <v>15</v>
      </c>
      <c r="E817" s="4">
        <v>1660000</v>
      </c>
      <c r="F817" s="3">
        <v>0.09</v>
      </c>
      <c r="G817" s="4">
        <v>24</v>
      </c>
      <c r="H817" s="4" t="s">
        <v>1973</v>
      </c>
      <c r="I817" s="4">
        <v>75836.67</v>
      </c>
      <c r="J817" s="4">
        <v>1820080.13</v>
      </c>
      <c r="K817" s="4" t="s">
        <v>16</v>
      </c>
      <c r="L817" s="4" t="s">
        <v>56</v>
      </c>
      <c r="M817" s="4">
        <v>792</v>
      </c>
    </row>
    <row r="818" spans="1:13" x14ac:dyDescent="0.3">
      <c r="A818" s="5" t="s">
        <v>2164</v>
      </c>
      <c r="B818" s="5" t="s">
        <v>2165</v>
      </c>
      <c r="C818" s="5">
        <v>56</v>
      </c>
      <c r="D818" s="5" t="s">
        <v>32</v>
      </c>
      <c r="E818" s="5">
        <v>240000</v>
      </c>
      <c r="F818" s="35">
        <v>0.125</v>
      </c>
      <c r="G818" s="5">
        <v>36</v>
      </c>
      <c r="H818" s="5" t="s">
        <v>2166</v>
      </c>
      <c r="I818" s="5">
        <v>8028.87</v>
      </c>
      <c r="J818" s="5">
        <v>289039.32</v>
      </c>
      <c r="K818" s="5" t="s">
        <v>20</v>
      </c>
      <c r="L818" s="5" t="s">
        <v>249</v>
      </c>
      <c r="M818" s="5">
        <v>735</v>
      </c>
    </row>
    <row r="819" spans="1:13" x14ac:dyDescent="0.3">
      <c r="A819" s="4" t="s">
        <v>2167</v>
      </c>
      <c r="B819" s="4" t="s">
        <v>2168</v>
      </c>
      <c r="C819" s="4">
        <v>21</v>
      </c>
      <c r="D819" s="4" t="s">
        <v>18</v>
      </c>
      <c r="E819" s="4">
        <v>1150000</v>
      </c>
      <c r="F819" s="3">
        <v>0.09</v>
      </c>
      <c r="G819" s="4">
        <v>180</v>
      </c>
      <c r="H819" s="4" t="s">
        <v>2169</v>
      </c>
      <c r="I819" s="4">
        <v>11664.07</v>
      </c>
      <c r="J819" s="4">
        <v>2099531.83</v>
      </c>
      <c r="K819" s="4" t="s">
        <v>16</v>
      </c>
      <c r="L819" s="4" t="s">
        <v>132</v>
      </c>
      <c r="M819" s="4">
        <v>795</v>
      </c>
    </row>
    <row r="820" spans="1:13" x14ac:dyDescent="0.3">
      <c r="A820" s="5" t="s">
        <v>2170</v>
      </c>
      <c r="B820" s="5" t="s">
        <v>552</v>
      </c>
      <c r="C820" s="5">
        <v>28</v>
      </c>
      <c r="D820" s="5" t="s">
        <v>23</v>
      </c>
      <c r="E820" s="5">
        <v>9190000</v>
      </c>
      <c r="F820" s="35">
        <v>0.125</v>
      </c>
      <c r="G820" s="5">
        <v>120</v>
      </c>
      <c r="H820" s="5" t="s">
        <v>2171</v>
      </c>
      <c r="I820" s="5">
        <v>134519.70000000001</v>
      </c>
      <c r="J820" s="5">
        <v>16142363.880000001</v>
      </c>
      <c r="K820" s="5" t="s">
        <v>20</v>
      </c>
      <c r="L820" s="5" t="s">
        <v>155</v>
      </c>
      <c r="M820" s="5">
        <v>674</v>
      </c>
    </row>
    <row r="821" spans="1:13" x14ac:dyDescent="0.3">
      <c r="A821" s="4" t="s">
        <v>2172</v>
      </c>
      <c r="B821" s="4" t="s">
        <v>237</v>
      </c>
      <c r="C821" s="4">
        <v>55</v>
      </c>
      <c r="D821" s="4" t="s">
        <v>15</v>
      </c>
      <c r="E821" s="4">
        <v>890000</v>
      </c>
      <c r="F821" s="3">
        <v>0.09</v>
      </c>
      <c r="G821" s="4">
        <v>24</v>
      </c>
      <c r="H821" s="4" t="s">
        <v>276</v>
      </c>
      <c r="I821" s="4">
        <v>40659.42</v>
      </c>
      <c r="J821" s="4">
        <v>975826.1</v>
      </c>
      <c r="K821" s="4" t="s">
        <v>16</v>
      </c>
      <c r="L821" s="4" t="s">
        <v>151</v>
      </c>
      <c r="M821" s="4">
        <v>817</v>
      </c>
    </row>
    <row r="822" spans="1:13" x14ac:dyDescent="0.3">
      <c r="A822" s="5" t="s">
        <v>2173</v>
      </c>
      <c r="B822" s="5" t="s">
        <v>1088</v>
      </c>
      <c r="C822" s="5">
        <v>35</v>
      </c>
      <c r="D822" s="5" t="s">
        <v>37</v>
      </c>
      <c r="E822" s="5">
        <v>520000</v>
      </c>
      <c r="F822" s="35">
        <v>9.5000000000000001E-2</v>
      </c>
      <c r="G822" s="5">
        <v>24</v>
      </c>
      <c r="H822" s="5" t="s">
        <v>2174</v>
      </c>
      <c r="I822" s="5">
        <v>23875.54</v>
      </c>
      <c r="J822" s="5">
        <v>573012.87</v>
      </c>
      <c r="K822" s="5" t="s">
        <v>20</v>
      </c>
      <c r="L822" s="5" t="s">
        <v>34</v>
      </c>
      <c r="M822" s="5">
        <v>680</v>
      </c>
    </row>
    <row r="823" spans="1:13" x14ac:dyDescent="0.3">
      <c r="A823" s="4" t="s">
        <v>2175</v>
      </c>
      <c r="B823" s="4" t="s">
        <v>2176</v>
      </c>
      <c r="C823" s="4">
        <v>42</v>
      </c>
      <c r="D823" s="4" t="s">
        <v>23</v>
      </c>
      <c r="E823" s="4">
        <v>2560000</v>
      </c>
      <c r="F823" s="3">
        <v>0.125</v>
      </c>
      <c r="G823" s="4">
        <v>60</v>
      </c>
      <c r="H823" s="4" t="s">
        <v>2177</v>
      </c>
      <c r="I823" s="4">
        <v>57594.720000000001</v>
      </c>
      <c r="J823" s="4">
        <v>3455683.31</v>
      </c>
      <c r="K823" s="4" t="s">
        <v>20</v>
      </c>
      <c r="L823" s="4" t="s">
        <v>226</v>
      </c>
      <c r="M823" s="4">
        <v>786</v>
      </c>
    </row>
    <row r="824" spans="1:13" x14ac:dyDescent="0.3">
      <c r="A824" s="5" t="s">
        <v>2178</v>
      </c>
      <c r="B824" s="5" t="s">
        <v>2179</v>
      </c>
      <c r="C824" s="5">
        <v>34</v>
      </c>
      <c r="D824" s="5" t="s">
        <v>42</v>
      </c>
      <c r="E824" s="5">
        <v>1260000</v>
      </c>
      <c r="F824" s="35">
        <v>0.105</v>
      </c>
      <c r="G824" s="5">
        <v>48</v>
      </c>
      <c r="H824" s="5" t="s">
        <v>2180</v>
      </c>
      <c r="I824" s="5">
        <v>32260.26</v>
      </c>
      <c r="J824" s="5">
        <v>1548492.41</v>
      </c>
      <c r="K824" s="5" t="s">
        <v>16</v>
      </c>
      <c r="L824" s="5" t="s">
        <v>56</v>
      </c>
      <c r="M824" s="5">
        <v>567</v>
      </c>
    </row>
    <row r="825" spans="1:13" x14ac:dyDescent="0.3">
      <c r="A825" s="4" t="s">
        <v>2181</v>
      </c>
      <c r="B825" s="4" t="s">
        <v>2182</v>
      </c>
      <c r="C825" s="4">
        <v>46</v>
      </c>
      <c r="D825" s="4" t="s">
        <v>32</v>
      </c>
      <c r="E825" s="4">
        <v>380000</v>
      </c>
      <c r="F825" s="3">
        <v>0.115</v>
      </c>
      <c r="G825" s="4">
        <v>84</v>
      </c>
      <c r="H825" s="4" t="s">
        <v>2183</v>
      </c>
      <c r="I825" s="4">
        <v>6606.86</v>
      </c>
      <c r="J825" s="4">
        <v>554975.82999999996</v>
      </c>
      <c r="K825" s="4" t="s">
        <v>16</v>
      </c>
      <c r="L825" s="4" t="s">
        <v>39</v>
      </c>
      <c r="M825" s="4">
        <v>589</v>
      </c>
    </row>
    <row r="826" spans="1:13" x14ac:dyDescent="0.3">
      <c r="A826" s="5" t="s">
        <v>2184</v>
      </c>
      <c r="B826" s="5" t="s">
        <v>1787</v>
      </c>
      <c r="C826" s="5">
        <v>48</v>
      </c>
      <c r="D826" s="5" t="s">
        <v>42</v>
      </c>
      <c r="E826" s="5">
        <v>1050000</v>
      </c>
      <c r="F826" s="35">
        <v>7.4999999999999997E-2</v>
      </c>
      <c r="G826" s="5">
        <v>24</v>
      </c>
      <c r="H826" s="5" t="s">
        <v>2185</v>
      </c>
      <c r="I826" s="5">
        <v>47249.57</v>
      </c>
      <c r="J826" s="5">
        <v>1133989.73</v>
      </c>
      <c r="K826" s="5" t="s">
        <v>20</v>
      </c>
      <c r="L826" s="5" t="s">
        <v>34</v>
      </c>
      <c r="M826" s="5">
        <v>570</v>
      </c>
    </row>
    <row r="827" spans="1:13" x14ac:dyDescent="0.3">
      <c r="A827" s="4" t="s">
        <v>2186</v>
      </c>
      <c r="B827" s="4" t="s">
        <v>2187</v>
      </c>
      <c r="C827" s="4">
        <v>43</v>
      </c>
      <c r="D827" s="4" t="s">
        <v>42</v>
      </c>
      <c r="E827" s="4">
        <v>430000</v>
      </c>
      <c r="F827" s="3">
        <v>0.125</v>
      </c>
      <c r="G827" s="4">
        <v>12</v>
      </c>
      <c r="H827" s="4" t="s">
        <v>2188</v>
      </c>
      <c r="I827" s="4">
        <v>38305.629999999997</v>
      </c>
      <c r="J827" s="4">
        <v>459667.57</v>
      </c>
      <c r="K827" s="4" t="s">
        <v>16</v>
      </c>
      <c r="L827" s="4" t="s">
        <v>226</v>
      </c>
      <c r="M827" s="4">
        <v>774</v>
      </c>
    </row>
    <row r="828" spans="1:13" x14ac:dyDescent="0.3">
      <c r="A828" s="5" t="s">
        <v>2189</v>
      </c>
      <c r="B828" s="5" t="s">
        <v>2190</v>
      </c>
      <c r="C828" s="5">
        <v>34</v>
      </c>
      <c r="D828" s="5" t="s">
        <v>32</v>
      </c>
      <c r="E828" s="5">
        <v>470000</v>
      </c>
      <c r="F828" s="35">
        <v>7.4999999999999997E-2</v>
      </c>
      <c r="G828" s="5">
        <v>120</v>
      </c>
      <c r="H828" s="5" t="s">
        <v>2191</v>
      </c>
      <c r="I828" s="5">
        <v>5578.98</v>
      </c>
      <c r="J828" s="5">
        <v>669477.98</v>
      </c>
      <c r="K828" s="5" t="s">
        <v>20</v>
      </c>
      <c r="L828" s="5" t="s">
        <v>201</v>
      </c>
      <c r="M828" s="5">
        <v>831</v>
      </c>
    </row>
    <row r="829" spans="1:13" x14ac:dyDescent="0.3">
      <c r="A829" s="4" t="s">
        <v>2192</v>
      </c>
      <c r="B829" s="4" t="s">
        <v>2193</v>
      </c>
      <c r="C829" s="4">
        <v>44</v>
      </c>
      <c r="D829" s="4" t="s">
        <v>23</v>
      </c>
      <c r="E829" s="4">
        <v>9970000</v>
      </c>
      <c r="F829" s="3">
        <v>0.11</v>
      </c>
      <c r="G829" s="4">
        <v>120</v>
      </c>
      <c r="H829" s="4" t="s">
        <v>2194</v>
      </c>
      <c r="I829" s="4">
        <v>137336.76</v>
      </c>
      <c r="J829" s="4">
        <v>16480411.35</v>
      </c>
      <c r="K829" s="4" t="s">
        <v>60</v>
      </c>
      <c r="L829" s="4" t="s">
        <v>64</v>
      </c>
      <c r="M829" s="4">
        <v>557</v>
      </c>
    </row>
    <row r="830" spans="1:13" x14ac:dyDescent="0.3">
      <c r="A830" s="5" t="s">
        <v>2195</v>
      </c>
      <c r="B830" s="5" t="s">
        <v>2196</v>
      </c>
      <c r="C830" s="5">
        <v>22</v>
      </c>
      <c r="D830" s="5" t="s">
        <v>18</v>
      </c>
      <c r="E830" s="5">
        <v>1030000</v>
      </c>
      <c r="F830" s="35">
        <v>8.5000000000000006E-2</v>
      </c>
      <c r="G830" s="5">
        <v>240</v>
      </c>
      <c r="H830" s="5" t="s">
        <v>2197</v>
      </c>
      <c r="I830" s="5">
        <v>8938.58</v>
      </c>
      <c r="J830" s="5">
        <v>2145259.0299999998</v>
      </c>
      <c r="K830" s="5" t="s">
        <v>16</v>
      </c>
      <c r="L830" s="5" t="s">
        <v>39</v>
      </c>
      <c r="M830" s="5">
        <v>649</v>
      </c>
    </row>
    <row r="831" spans="1:13" x14ac:dyDescent="0.3">
      <c r="A831" s="4" t="s">
        <v>2198</v>
      </c>
      <c r="B831" s="4" t="s">
        <v>441</v>
      </c>
      <c r="C831" s="4">
        <v>46</v>
      </c>
      <c r="D831" s="4" t="s">
        <v>27</v>
      </c>
      <c r="E831" s="4">
        <v>330000</v>
      </c>
      <c r="F831" s="3">
        <v>0.125</v>
      </c>
      <c r="G831" s="4">
        <v>60</v>
      </c>
      <c r="H831" s="4" t="s">
        <v>319</v>
      </c>
      <c r="I831" s="4">
        <v>7424.32</v>
      </c>
      <c r="J831" s="4">
        <v>445459.18</v>
      </c>
      <c r="K831" s="4" t="s">
        <v>16</v>
      </c>
      <c r="L831" s="4" t="s">
        <v>249</v>
      </c>
      <c r="M831" s="4">
        <v>789</v>
      </c>
    </row>
    <row r="832" spans="1:13" x14ac:dyDescent="0.3">
      <c r="A832" s="5" t="s">
        <v>2199</v>
      </c>
      <c r="B832" s="5" t="s">
        <v>102</v>
      </c>
      <c r="C832" s="5">
        <v>34</v>
      </c>
      <c r="D832" s="5" t="s">
        <v>27</v>
      </c>
      <c r="E832" s="5">
        <v>550000</v>
      </c>
      <c r="F832" s="35">
        <v>8.5000000000000006E-2</v>
      </c>
      <c r="G832" s="5">
        <v>12</v>
      </c>
      <c r="H832" s="5" t="s">
        <v>2200</v>
      </c>
      <c r="I832" s="5">
        <v>47970.879999999997</v>
      </c>
      <c r="J832" s="5">
        <v>575650.56000000006</v>
      </c>
      <c r="K832" s="5" t="s">
        <v>20</v>
      </c>
      <c r="L832" s="5" t="s">
        <v>56</v>
      </c>
      <c r="M832" s="5">
        <v>636</v>
      </c>
    </row>
    <row r="833" spans="1:13" x14ac:dyDescent="0.3">
      <c r="A833" s="4" t="s">
        <v>2201</v>
      </c>
      <c r="B833" s="4" t="s">
        <v>1924</v>
      </c>
      <c r="C833" s="4">
        <v>27</v>
      </c>
      <c r="D833" s="4" t="s">
        <v>27</v>
      </c>
      <c r="E833" s="4">
        <v>960000</v>
      </c>
      <c r="F833" s="3">
        <v>0.12</v>
      </c>
      <c r="G833" s="4">
        <v>36</v>
      </c>
      <c r="H833" s="4" t="s">
        <v>2202</v>
      </c>
      <c r="I833" s="4">
        <v>31885.74</v>
      </c>
      <c r="J833" s="4">
        <v>1147886.55</v>
      </c>
      <c r="K833" s="4" t="s">
        <v>16</v>
      </c>
      <c r="L833" s="4" t="s">
        <v>136</v>
      </c>
      <c r="M833" s="4">
        <v>847</v>
      </c>
    </row>
    <row r="834" spans="1:13" x14ac:dyDescent="0.3">
      <c r="A834" s="5" t="s">
        <v>2203</v>
      </c>
      <c r="B834" s="5" t="s">
        <v>1177</v>
      </c>
      <c r="C834" s="5">
        <v>23</v>
      </c>
      <c r="D834" s="5" t="s">
        <v>32</v>
      </c>
      <c r="E834" s="5">
        <v>160000</v>
      </c>
      <c r="F834" s="35">
        <v>7.4999999999999997E-2</v>
      </c>
      <c r="G834" s="5">
        <v>180</v>
      </c>
      <c r="H834" s="5" t="s">
        <v>2204</v>
      </c>
      <c r="I834" s="5">
        <v>1483.22</v>
      </c>
      <c r="J834" s="5">
        <v>266979.56</v>
      </c>
      <c r="K834" s="5" t="s">
        <v>16</v>
      </c>
      <c r="L834" s="5" t="s">
        <v>21</v>
      </c>
      <c r="M834" s="5">
        <v>563</v>
      </c>
    </row>
    <row r="835" spans="1:13" x14ac:dyDescent="0.3">
      <c r="A835" s="4" t="s">
        <v>2205</v>
      </c>
      <c r="B835" s="4" t="s">
        <v>1547</v>
      </c>
      <c r="C835" s="4">
        <v>43</v>
      </c>
      <c r="D835" s="4" t="s">
        <v>15</v>
      </c>
      <c r="E835" s="4">
        <v>1240000</v>
      </c>
      <c r="F835" s="3">
        <v>0.09</v>
      </c>
      <c r="G835" s="4">
        <v>180</v>
      </c>
      <c r="H835" s="4" t="s">
        <v>2206</v>
      </c>
      <c r="I835" s="4">
        <v>12576.91</v>
      </c>
      <c r="J835" s="4">
        <v>2263843.02</v>
      </c>
      <c r="K835" s="4" t="s">
        <v>16</v>
      </c>
      <c r="L835" s="4" t="s">
        <v>191</v>
      </c>
      <c r="M835" s="4">
        <v>883</v>
      </c>
    </row>
    <row r="836" spans="1:13" x14ac:dyDescent="0.3">
      <c r="A836" s="5" t="s">
        <v>2207</v>
      </c>
      <c r="B836" s="5" t="s">
        <v>2208</v>
      </c>
      <c r="C836" s="5">
        <v>63</v>
      </c>
      <c r="D836" s="5" t="s">
        <v>18</v>
      </c>
      <c r="E836" s="5">
        <v>760000</v>
      </c>
      <c r="F836" s="35">
        <v>9.5000000000000001E-2</v>
      </c>
      <c r="G836" s="5">
        <v>12</v>
      </c>
      <c r="H836" s="5" t="s">
        <v>2209</v>
      </c>
      <c r="I836" s="5">
        <v>66639.47</v>
      </c>
      <c r="J836" s="5">
        <v>799673.63</v>
      </c>
      <c r="K836" s="5" t="s">
        <v>20</v>
      </c>
      <c r="L836" s="5" t="s">
        <v>21</v>
      </c>
      <c r="M836" s="5">
        <v>551</v>
      </c>
    </row>
    <row r="837" spans="1:13" x14ac:dyDescent="0.3">
      <c r="A837" s="4" t="s">
        <v>2210</v>
      </c>
      <c r="B837" s="4" t="s">
        <v>2182</v>
      </c>
      <c r="C837" s="4">
        <v>38</v>
      </c>
      <c r="D837" s="4" t="s">
        <v>15</v>
      </c>
      <c r="E837" s="4">
        <v>880000</v>
      </c>
      <c r="F837" s="3">
        <v>0.12</v>
      </c>
      <c r="G837" s="4">
        <v>48</v>
      </c>
      <c r="H837" s="4" t="s">
        <v>2211</v>
      </c>
      <c r="I837" s="4">
        <v>23173.78</v>
      </c>
      <c r="J837" s="4">
        <v>1112341.21</v>
      </c>
      <c r="K837" s="4" t="s">
        <v>60</v>
      </c>
      <c r="L837" s="4" t="s">
        <v>201</v>
      </c>
      <c r="M837" s="4">
        <v>842</v>
      </c>
    </row>
    <row r="838" spans="1:13" x14ac:dyDescent="0.3">
      <c r="A838" s="5" t="s">
        <v>2212</v>
      </c>
      <c r="B838" s="5" t="s">
        <v>1302</v>
      </c>
      <c r="C838" s="5">
        <v>58</v>
      </c>
      <c r="D838" s="5" t="s">
        <v>32</v>
      </c>
      <c r="E838" s="5">
        <v>480000</v>
      </c>
      <c r="F838" s="35">
        <v>9.5000000000000001E-2</v>
      </c>
      <c r="G838" s="5">
        <v>240</v>
      </c>
      <c r="H838" s="5" t="s">
        <v>2213</v>
      </c>
      <c r="I838" s="5">
        <v>4474.2299999999996</v>
      </c>
      <c r="J838" s="5">
        <v>1073815.1299999999</v>
      </c>
      <c r="K838" s="5" t="s">
        <v>20</v>
      </c>
      <c r="L838" s="5" t="s">
        <v>56</v>
      </c>
      <c r="M838" s="5">
        <v>874</v>
      </c>
    </row>
    <row r="839" spans="1:13" x14ac:dyDescent="0.3">
      <c r="A839" s="4" t="s">
        <v>2214</v>
      </c>
      <c r="B839" s="4" t="s">
        <v>2215</v>
      </c>
      <c r="C839" s="4">
        <v>55</v>
      </c>
      <c r="D839" s="4" t="s">
        <v>37</v>
      </c>
      <c r="E839" s="4">
        <v>2880000</v>
      </c>
      <c r="F839" s="3">
        <v>0.13</v>
      </c>
      <c r="G839" s="4">
        <v>60</v>
      </c>
      <c r="H839" s="4" t="s">
        <v>2216</v>
      </c>
      <c r="I839" s="4">
        <v>65528.85</v>
      </c>
      <c r="J839" s="4">
        <v>3931731.02</v>
      </c>
      <c r="K839" s="4" t="s">
        <v>16</v>
      </c>
      <c r="L839" s="4" t="s">
        <v>94</v>
      </c>
      <c r="M839" s="4">
        <v>590</v>
      </c>
    </row>
    <row r="840" spans="1:13" x14ac:dyDescent="0.3">
      <c r="A840" s="5" t="s">
        <v>2217</v>
      </c>
      <c r="B840" s="5" t="s">
        <v>1636</v>
      </c>
      <c r="C840" s="5">
        <v>35</v>
      </c>
      <c r="D840" s="5" t="s">
        <v>23</v>
      </c>
      <c r="E840" s="5">
        <v>6670000</v>
      </c>
      <c r="F840" s="35">
        <v>0.13</v>
      </c>
      <c r="G840" s="5">
        <v>48</v>
      </c>
      <c r="H840" s="5" t="s">
        <v>2218</v>
      </c>
      <c r="I840" s="5">
        <v>178939.4</v>
      </c>
      <c r="J840" s="5">
        <v>8589091.0899999999</v>
      </c>
      <c r="K840" s="5" t="s">
        <v>16</v>
      </c>
      <c r="L840" s="5" t="s">
        <v>201</v>
      </c>
      <c r="M840" s="5">
        <v>867</v>
      </c>
    </row>
    <row r="841" spans="1:13" x14ac:dyDescent="0.3">
      <c r="A841" s="4" t="s">
        <v>2219</v>
      </c>
      <c r="B841" s="4" t="s">
        <v>2220</v>
      </c>
      <c r="C841" s="4">
        <v>45</v>
      </c>
      <c r="D841" s="4" t="s">
        <v>37</v>
      </c>
      <c r="E841" s="4">
        <v>1600000</v>
      </c>
      <c r="F841" s="3">
        <v>0.125</v>
      </c>
      <c r="G841" s="4">
        <v>12</v>
      </c>
      <c r="H841" s="4" t="s">
        <v>2221</v>
      </c>
      <c r="I841" s="4">
        <v>142532.57999999999</v>
      </c>
      <c r="J841" s="4">
        <v>1710390.96</v>
      </c>
      <c r="K841" s="4" t="s">
        <v>20</v>
      </c>
      <c r="L841" s="4" t="s">
        <v>155</v>
      </c>
      <c r="M841" s="4">
        <v>865</v>
      </c>
    </row>
    <row r="842" spans="1:13" x14ac:dyDescent="0.3">
      <c r="A842" s="5" t="s">
        <v>2222</v>
      </c>
      <c r="B842" s="5" t="s">
        <v>2223</v>
      </c>
      <c r="C842" s="5">
        <v>57</v>
      </c>
      <c r="D842" s="5" t="s">
        <v>32</v>
      </c>
      <c r="E842" s="5">
        <v>350000</v>
      </c>
      <c r="F842" s="35">
        <v>9.5000000000000001E-2</v>
      </c>
      <c r="G842" s="5">
        <v>240</v>
      </c>
      <c r="H842" s="5" t="s">
        <v>2224</v>
      </c>
      <c r="I842" s="5">
        <v>3262.46</v>
      </c>
      <c r="J842" s="5">
        <v>782990.2</v>
      </c>
      <c r="K842" s="5" t="s">
        <v>60</v>
      </c>
      <c r="L842" s="5" t="s">
        <v>104</v>
      </c>
      <c r="M842" s="5">
        <v>660</v>
      </c>
    </row>
    <row r="843" spans="1:13" x14ac:dyDescent="0.3">
      <c r="A843" s="4" t="s">
        <v>2225</v>
      </c>
      <c r="B843" s="4" t="s">
        <v>486</v>
      </c>
      <c r="C843" s="4">
        <v>48</v>
      </c>
      <c r="D843" s="4" t="s">
        <v>32</v>
      </c>
      <c r="E843" s="4">
        <v>500000</v>
      </c>
      <c r="F843" s="3">
        <v>0.105</v>
      </c>
      <c r="G843" s="4">
        <v>240</v>
      </c>
      <c r="H843" s="4" t="s">
        <v>2226</v>
      </c>
      <c r="I843" s="4">
        <v>4991.8999999999996</v>
      </c>
      <c r="J843" s="4">
        <v>1198055.8600000001</v>
      </c>
      <c r="K843" s="4" t="s">
        <v>16</v>
      </c>
      <c r="L843" s="4" t="s">
        <v>151</v>
      </c>
      <c r="M843" s="4">
        <v>563</v>
      </c>
    </row>
    <row r="844" spans="1:13" x14ac:dyDescent="0.3">
      <c r="A844" s="5" t="s">
        <v>2227</v>
      </c>
      <c r="B844" s="5" t="s">
        <v>2228</v>
      </c>
      <c r="C844" s="5">
        <v>30</v>
      </c>
      <c r="D844" s="5" t="s">
        <v>18</v>
      </c>
      <c r="E844" s="5">
        <v>1220000</v>
      </c>
      <c r="F844" s="35">
        <v>0.105</v>
      </c>
      <c r="G844" s="5">
        <v>48</v>
      </c>
      <c r="H844" s="5" t="s">
        <v>2229</v>
      </c>
      <c r="I844" s="5">
        <v>31236.12</v>
      </c>
      <c r="J844" s="5">
        <v>1499333.92</v>
      </c>
      <c r="K844" s="5" t="s">
        <v>20</v>
      </c>
      <c r="L844" s="5" t="s">
        <v>108</v>
      </c>
      <c r="M844" s="5">
        <v>780</v>
      </c>
    </row>
    <row r="845" spans="1:13" x14ac:dyDescent="0.3">
      <c r="A845" s="4" t="s">
        <v>2230</v>
      </c>
      <c r="B845" s="4" t="s">
        <v>2231</v>
      </c>
      <c r="C845" s="4">
        <v>59</v>
      </c>
      <c r="D845" s="4" t="s">
        <v>15</v>
      </c>
      <c r="E845" s="4">
        <v>1850000</v>
      </c>
      <c r="F845" s="3">
        <v>0.1</v>
      </c>
      <c r="G845" s="4">
        <v>36</v>
      </c>
      <c r="H845" s="4" t="s">
        <v>2232</v>
      </c>
      <c r="I845" s="4">
        <v>59694.3</v>
      </c>
      <c r="J845" s="4">
        <v>2148994.67</v>
      </c>
      <c r="K845" s="4" t="s">
        <v>16</v>
      </c>
      <c r="L845" s="4" t="s">
        <v>108</v>
      </c>
      <c r="M845" s="4">
        <v>633</v>
      </c>
    </row>
    <row r="846" spans="1:13" x14ac:dyDescent="0.3">
      <c r="A846" s="5" t="s">
        <v>2233</v>
      </c>
      <c r="B846" s="5" t="s">
        <v>2234</v>
      </c>
      <c r="C846" s="5">
        <v>37</v>
      </c>
      <c r="D846" s="5" t="s">
        <v>23</v>
      </c>
      <c r="E846" s="5">
        <v>6770000</v>
      </c>
      <c r="F846" s="35">
        <v>0.11</v>
      </c>
      <c r="G846" s="5">
        <v>12</v>
      </c>
      <c r="H846" s="5" t="s">
        <v>2235</v>
      </c>
      <c r="I846" s="5">
        <v>598343.82999999996</v>
      </c>
      <c r="J846" s="5">
        <v>7180125.9400000004</v>
      </c>
      <c r="K846" s="5" t="s">
        <v>16</v>
      </c>
      <c r="L846" s="5" t="s">
        <v>147</v>
      </c>
      <c r="M846" s="5">
        <v>679</v>
      </c>
    </row>
    <row r="847" spans="1:13" x14ac:dyDescent="0.3">
      <c r="A847" s="4" t="s">
        <v>2236</v>
      </c>
      <c r="B847" s="4" t="s">
        <v>2237</v>
      </c>
      <c r="C847" s="4">
        <v>59</v>
      </c>
      <c r="D847" s="4" t="s">
        <v>42</v>
      </c>
      <c r="E847" s="4">
        <v>400000</v>
      </c>
      <c r="F847" s="3">
        <v>9.5000000000000001E-2</v>
      </c>
      <c r="G847" s="4">
        <v>84</v>
      </c>
      <c r="H847" s="4" t="s">
        <v>2238</v>
      </c>
      <c r="I847" s="4">
        <v>6537.59</v>
      </c>
      <c r="J847" s="4">
        <v>549157.78</v>
      </c>
      <c r="K847" s="4" t="s">
        <v>20</v>
      </c>
      <c r="L847" s="4" t="s">
        <v>132</v>
      </c>
      <c r="M847" s="4">
        <v>780</v>
      </c>
    </row>
    <row r="848" spans="1:13" x14ac:dyDescent="0.3">
      <c r="A848" s="5" t="s">
        <v>2239</v>
      </c>
      <c r="B848" s="5" t="s">
        <v>2240</v>
      </c>
      <c r="C848" s="5">
        <v>42</v>
      </c>
      <c r="D848" s="5" t="s">
        <v>18</v>
      </c>
      <c r="E848" s="5">
        <v>300000</v>
      </c>
      <c r="F848" s="35">
        <v>0.09</v>
      </c>
      <c r="G848" s="5">
        <v>48</v>
      </c>
      <c r="H848" s="5" t="s">
        <v>494</v>
      </c>
      <c r="I848" s="5">
        <v>7465.51</v>
      </c>
      <c r="J848" s="5">
        <v>358344.61</v>
      </c>
      <c r="K848" s="5" t="s">
        <v>60</v>
      </c>
      <c r="L848" s="5" t="s">
        <v>136</v>
      </c>
      <c r="M848" s="5">
        <v>875</v>
      </c>
    </row>
    <row r="849" spans="1:13" x14ac:dyDescent="0.3">
      <c r="A849" s="4" t="s">
        <v>2241</v>
      </c>
      <c r="B849" s="4" t="s">
        <v>2242</v>
      </c>
      <c r="C849" s="4">
        <v>46</v>
      </c>
      <c r="D849" s="4" t="s">
        <v>23</v>
      </c>
      <c r="E849" s="4">
        <v>2670000</v>
      </c>
      <c r="F849" s="3">
        <v>0.11</v>
      </c>
      <c r="G849" s="4">
        <v>12</v>
      </c>
      <c r="H849" s="4" t="s">
        <v>1840</v>
      </c>
      <c r="I849" s="4">
        <v>235979.03</v>
      </c>
      <c r="J849" s="4">
        <v>2831748.34</v>
      </c>
      <c r="K849" s="4" t="s">
        <v>16</v>
      </c>
      <c r="L849" s="4" t="s">
        <v>34</v>
      </c>
      <c r="M849" s="4">
        <v>694</v>
      </c>
    </row>
    <row r="850" spans="1:13" x14ac:dyDescent="0.3">
      <c r="A850" s="5" t="s">
        <v>2243</v>
      </c>
      <c r="B850" s="5" t="s">
        <v>1111</v>
      </c>
      <c r="C850" s="5">
        <v>64</v>
      </c>
      <c r="D850" s="5" t="s">
        <v>15</v>
      </c>
      <c r="E850" s="5">
        <v>1510000</v>
      </c>
      <c r="F850" s="35">
        <v>9.5000000000000001E-2</v>
      </c>
      <c r="G850" s="5">
        <v>36</v>
      </c>
      <c r="H850" s="5" t="s">
        <v>2244</v>
      </c>
      <c r="I850" s="5">
        <v>48369.75</v>
      </c>
      <c r="J850" s="5">
        <v>1741311.15</v>
      </c>
      <c r="K850" s="5" t="s">
        <v>60</v>
      </c>
      <c r="L850" s="5" t="s">
        <v>136</v>
      </c>
      <c r="M850" s="5">
        <v>894</v>
      </c>
    </row>
    <row r="851" spans="1:13" x14ac:dyDescent="0.3">
      <c r="A851" s="4" t="s">
        <v>2245</v>
      </c>
      <c r="B851" s="4" t="s">
        <v>2246</v>
      </c>
      <c r="C851" s="4">
        <v>45</v>
      </c>
      <c r="D851" s="4" t="s">
        <v>18</v>
      </c>
      <c r="E851" s="4">
        <v>1840000</v>
      </c>
      <c r="F851" s="3">
        <v>0.125</v>
      </c>
      <c r="G851" s="4">
        <v>24</v>
      </c>
      <c r="H851" s="4" t="s">
        <v>2247</v>
      </c>
      <c r="I851" s="4">
        <v>87045.45</v>
      </c>
      <c r="J851" s="4">
        <v>2089090.73</v>
      </c>
      <c r="K851" s="4" t="s">
        <v>16</v>
      </c>
      <c r="L851" s="4" t="s">
        <v>115</v>
      </c>
      <c r="M851" s="4">
        <v>577</v>
      </c>
    </row>
    <row r="852" spans="1:13" x14ac:dyDescent="0.3">
      <c r="A852" s="5" t="s">
        <v>2248</v>
      </c>
      <c r="B852" s="5" t="s">
        <v>2249</v>
      </c>
      <c r="C852" s="5">
        <v>37</v>
      </c>
      <c r="D852" s="5" t="s">
        <v>42</v>
      </c>
      <c r="E852" s="5">
        <v>1260000</v>
      </c>
      <c r="F852" s="35">
        <v>0.115</v>
      </c>
      <c r="G852" s="5">
        <v>60</v>
      </c>
      <c r="H852" s="5" t="s">
        <v>1723</v>
      </c>
      <c r="I852" s="5">
        <v>27710.69</v>
      </c>
      <c r="J852" s="5">
        <v>1662641.12</v>
      </c>
      <c r="K852" s="5" t="s">
        <v>16</v>
      </c>
      <c r="L852" s="5" t="s">
        <v>104</v>
      </c>
      <c r="M852" s="5">
        <v>615</v>
      </c>
    </row>
    <row r="853" spans="1:13" x14ac:dyDescent="0.3">
      <c r="A853" s="4" t="s">
        <v>2250</v>
      </c>
      <c r="B853" s="4" t="s">
        <v>2251</v>
      </c>
      <c r="C853" s="4">
        <v>33</v>
      </c>
      <c r="D853" s="4" t="s">
        <v>18</v>
      </c>
      <c r="E853" s="4">
        <v>230000</v>
      </c>
      <c r="F853" s="3">
        <v>0.12</v>
      </c>
      <c r="G853" s="4">
        <v>120</v>
      </c>
      <c r="H853" s="4" t="s">
        <v>1479</v>
      </c>
      <c r="I853" s="4">
        <v>3299.83</v>
      </c>
      <c r="J853" s="4">
        <v>395979.82</v>
      </c>
      <c r="K853" s="4" t="s">
        <v>16</v>
      </c>
      <c r="L853" s="4" t="s">
        <v>187</v>
      </c>
      <c r="M853" s="4">
        <v>712</v>
      </c>
    </row>
    <row r="854" spans="1:13" x14ac:dyDescent="0.3">
      <c r="A854" s="5" t="s">
        <v>2252</v>
      </c>
      <c r="B854" s="5" t="s">
        <v>2253</v>
      </c>
      <c r="C854" s="5">
        <v>40</v>
      </c>
      <c r="D854" s="5" t="s">
        <v>42</v>
      </c>
      <c r="E854" s="5">
        <v>560000</v>
      </c>
      <c r="F854" s="35">
        <v>0.105</v>
      </c>
      <c r="G854" s="5">
        <v>84</v>
      </c>
      <c r="H854" s="5" t="s">
        <v>2254</v>
      </c>
      <c r="I854" s="5">
        <v>9441.98</v>
      </c>
      <c r="J854" s="5">
        <v>793126.06</v>
      </c>
      <c r="K854" s="5" t="s">
        <v>16</v>
      </c>
      <c r="L854" s="5" t="s">
        <v>212</v>
      </c>
      <c r="M854" s="5">
        <v>778</v>
      </c>
    </row>
    <row r="855" spans="1:13" x14ac:dyDescent="0.3">
      <c r="A855" s="4" t="s">
        <v>2255</v>
      </c>
      <c r="B855" s="4" t="s">
        <v>2256</v>
      </c>
      <c r="C855" s="4">
        <v>45</v>
      </c>
      <c r="D855" s="4" t="s">
        <v>23</v>
      </c>
      <c r="E855" s="4">
        <v>3650000</v>
      </c>
      <c r="F855" s="3">
        <v>0.12</v>
      </c>
      <c r="G855" s="4">
        <v>120</v>
      </c>
      <c r="H855" s="4" t="s">
        <v>2257</v>
      </c>
      <c r="I855" s="4">
        <v>52366.9</v>
      </c>
      <c r="J855" s="4">
        <v>6284027.54</v>
      </c>
      <c r="K855" s="4" t="s">
        <v>60</v>
      </c>
      <c r="L855" s="4" t="s">
        <v>21</v>
      </c>
      <c r="M855" s="4">
        <v>810</v>
      </c>
    </row>
    <row r="856" spans="1:13" x14ac:dyDescent="0.3">
      <c r="A856" s="5" t="s">
        <v>2258</v>
      </c>
      <c r="B856" s="5" t="s">
        <v>2259</v>
      </c>
      <c r="C856" s="5">
        <v>24</v>
      </c>
      <c r="D856" s="5" t="s">
        <v>32</v>
      </c>
      <c r="E856" s="5">
        <v>280000</v>
      </c>
      <c r="F856" s="35">
        <v>0.08</v>
      </c>
      <c r="G856" s="5">
        <v>120</v>
      </c>
      <c r="H856" s="5" t="s">
        <v>2260</v>
      </c>
      <c r="I856" s="5">
        <v>3397.17</v>
      </c>
      <c r="J856" s="5">
        <v>407660.72</v>
      </c>
      <c r="K856" s="5" t="s">
        <v>20</v>
      </c>
      <c r="L856" s="5" t="s">
        <v>151</v>
      </c>
      <c r="M856" s="5">
        <v>713</v>
      </c>
    </row>
    <row r="857" spans="1:13" x14ac:dyDescent="0.3">
      <c r="A857" s="4" t="s">
        <v>2261</v>
      </c>
      <c r="B857" s="4" t="s">
        <v>2262</v>
      </c>
      <c r="C857" s="4">
        <v>30</v>
      </c>
      <c r="D857" s="4" t="s">
        <v>18</v>
      </c>
      <c r="E857" s="4">
        <v>1160000</v>
      </c>
      <c r="F857" s="3">
        <v>7.4999999999999997E-2</v>
      </c>
      <c r="G857" s="4">
        <v>48</v>
      </c>
      <c r="H857" s="4" t="s">
        <v>2263</v>
      </c>
      <c r="I857" s="4">
        <v>28047.53</v>
      </c>
      <c r="J857" s="4">
        <v>1346281.26</v>
      </c>
      <c r="K857" s="4" t="s">
        <v>20</v>
      </c>
      <c r="L857" s="4" t="s">
        <v>86</v>
      </c>
      <c r="M857" s="4">
        <v>850</v>
      </c>
    </row>
    <row r="858" spans="1:13" x14ac:dyDescent="0.3">
      <c r="A858" s="5" t="s">
        <v>2264</v>
      </c>
      <c r="B858" s="5" t="s">
        <v>2265</v>
      </c>
      <c r="C858" s="5">
        <v>23</v>
      </c>
      <c r="D858" s="5" t="s">
        <v>27</v>
      </c>
      <c r="E858" s="5">
        <v>100000</v>
      </c>
      <c r="F858" s="35">
        <v>0.115</v>
      </c>
      <c r="G858" s="5">
        <v>240</v>
      </c>
      <c r="H858" s="5" t="s">
        <v>2266</v>
      </c>
      <c r="I858" s="5">
        <v>1066.43</v>
      </c>
      <c r="J858" s="5">
        <v>255943.11</v>
      </c>
      <c r="K858" s="5" t="s">
        <v>20</v>
      </c>
      <c r="L858" s="5" t="s">
        <v>104</v>
      </c>
      <c r="M858" s="5">
        <v>852</v>
      </c>
    </row>
    <row r="859" spans="1:13" x14ac:dyDescent="0.3">
      <c r="A859" s="4" t="s">
        <v>2267</v>
      </c>
      <c r="B859" s="4" t="s">
        <v>1418</v>
      </c>
      <c r="C859" s="4">
        <v>61</v>
      </c>
      <c r="D859" s="4" t="s">
        <v>15</v>
      </c>
      <c r="E859" s="4">
        <v>1100000</v>
      </c>
      <c r="F859" s="3">
        <v>0.125</v>
      </c>
      <c r="G859" s="4">
        <v>12</v>
      </c>
      <c r="H859" s="4" t="s">
        <v>2268</v>
      </c>
      <c r="I859" s="4">
        <v>97991.15</v>
      </c>
      <c r="J859" s="4">
        <v>1175893.79</v>
      </c>
      <c r="K859" s="4" t="s">
        <v>16</v>
      </c>
      <c r="L859" s="4" t="s">
        <v>108</v>
      </c>
      <c r="M859" s="4">
        <v>836</v>
      </c>
    </row>
    <row r="860" spans="1:13" x14ac:dyDescent="0.3">
      <c r="A860" s="5" t="s">
        <v>2269</v>
      </c>
      <c r="B860" s="5" t="s">
        <v>2270</v>
      </c>
      <c r="C860" s="5">
        <v>38</v>
      </c>
      <c r="D860" s="5" t="s">
        <v>15</v>
      </c>
      <c r="E860" s="5">
        <v>620000</v>
      </c>
      <c r="F860" s="35">
        <v>0.1</v>
      </c>
      <c r="G860" s="5">
        <v>24</v>
      </c>
      <c r="H860" s="5" t="s">
        <v>2271</v>
      </c>
      <c r="I860" s="5">
        <v>28609.85</v>
      </c>
      <c r="J860" s="5">
        <v>686636.5</v>
      </c>
      <c r="K860" s="5" t="s">
        <v>60</v>
      </c>
      <c r="L860" s="5" t="s">
        <v>90</v>
      </c>
      <c r="M860" s="5">
        <v>559</v>
      </c>
    </row>
    <row r="861" spans="1:13" x14ac:dyDescent="0.3">
      <c r="A861" s="4" t="s">
        <v>2272</v>
      </c>
      <c r="B861" s="4" t="s">
        <v>1448</v>
      </c>
      <c r="C861" s="4">
        <v>56</v>
      </c>
      <c r="D861" s="4" t="s">
        <v>27</v>
      </c>
      <c r="E861" s="4">
        <v>820000</v>
      </c>
      <c r="F861" s="3">
        <v>0.115</v>
      </c>
      <c r="G861" s="4">
        <v>24</v>
      </c>
      <c r="H861" s="4" t="s">
        <v>2254</v>
      </c>
      <c r="I861" s="4">
        <v>38409.06</v>
      </c>
      <c r="J861" s="4">
        <v>921817.41</v>
      </c>
      <c r="K861" s="4" t="s">
        <v>20</v>
      </c>
      <c r="L861" s="4" t="s">
        <v>212</v>
      </c>
      <c r="M861" s="4">
        <v>744</v>
      </c>
    </row>
    <row r="862" spans="1:13" x14ac:dyDescent="0.3">
      <c r="A862" s="5" t="s">
        <v>2273</v>
      </c>
      <c r="B862" s="5" t="s">
        <v>1257</v>
      </c>
      <c r="C862" s="5">
        <v>42</v>
      </c>
      <c r="D862" s="5" t="s">
        <v>37</v>
      </c>
      <c r="E862" s="5">
        <v>1610000</v>
      </c>
      <c r="F862" s="35">
        <v>0.125</v>
      </c>
      <c r="G862" s="5">
        <v>240</v>
      </c>
      <c r="H862" s="5" t="s">
        <v>2274</v>
      </c>
      <c r="I862" s="5">
        <v>18291.86</v>
      </c>
      <c r="J862" s="5">
        <v>4390047.08</v>
      </c>
      <c r="K862" s="5" t="s">
        <v>16</v>
      </c>
      <c r="L862" s="5" t="s">
        <v>222</v>
      </c>
      <c r="M862" s="5">
        <v>667</v>
      </c>
    </row>
    <row r="863" spans="1:13" x14ac:dyDescent="0.3">
      <c r="A863" s="4" t="s">
        <v>2275</v>
      </c>
      <c r="B863" s="4" t="s">
        <v>2276</v>
      </c>
      <c r="C863" s="4">
        <v>54</v>
      </c>
      <c r="D863" s="4" t="s">
        <v>37</v>
      </c>
      <c r="E863" s="4">
        <v>3030000</v>
      </c>
      <c r="F863" s="3">
        <v>0.12</v>
      </c>
      <c r="G863" s="4">
        <v>60</v>
      </c>
      <c r="H863" s="4" t="s">
        <v>782</v>
      </c>
      <c r="I863" s="4">
        <v>67400.679999999993</v>
      </c>
      <c r="J863" s="4">
        <v>4044040.59</v>
      </c>
      <c r="K863" s="4" t="s">
        <v>60</v>
      </c>
      <c r="L863" s="4" t="s">
        <v>21</v>
      </c>
      <c r="M863" s="4">
        <v>819</v>
      </c>
    </row>
    <row r="864" spans="1:13" x14ac:dyDescent="0.3">
      <c r="A864" s="5" t="s">
        <v>2277</v>
      </c>
      <c r="B864" s="5" t="s">
        <v>1082</v>
      </c>
      <c r="C864" s="5">
        <v>28</v>
      </c>
      <c r="D864" s="5" t="s">
        <v>15</v>
      </c>
      <c r="E864" s="5">
        <v>530000</v>
      </c>
      <c r="F864" s="35">
        <v>0.12</v>
      </c>
      <c r="G864" s="5">
        <v>240</v>
      </c>
      <c r="H864" s="5" t="s">
        <v>2140</v>
      </c>
      <c r="I864" s="5">
        <v>5835.76</v>
      </c>
      <c r="J864" s="5">
        <v>1400581.56</v>
      </c>
      <c r="K864" s="5" t="s">
        <v>20</v>
      </c>
      <c r="L864" s="5" t="s">
        <v>119</v>
      </c>
      <c r="M864" s="5">
        <v>629</v>
      </c>
    </row>
    <row r="865" spans="1:13" x14ac:dyDescent="0.3">
      <c r="A865" s="4" t="s">
        <v>2278</v>
      </c>
      <c r="B865" s="4" t="s">
        <v>2279</v>
      </c>
      <c r="C865" s="4">
        <v>60</v>
      </c>
      <c r="D865" s="4" t="s">
        <v>27</v>
      </c>
      <c r="E865" s="4">
        <v>390000</v>
      </c>
      <c r="F865" s="3">
        <v>9.5000000000000001E-2</v>
      </c>
      <c r="G865" s="4">
        <v>84</v>
      </c>
      <c r="H865" s="4" t="s">
        <v>2280</v>
      </c>
      <c r="I865" s="4">
        <v>6374.15</v>
      </c>
      <c r="J865" s="4">
        <v>535428.84</v>
      </c>
      <c r="K865" s="4" t="s">
        <v>60</v>
      </c>
      <c r="L865" s="4" t="s">
        <v>159</v>
      </c>
      <c r="M865" s="4">
        <v>642</v>
      </c>
    </row>
    <row r="866" spans="1:13" x14ac:dyDescent="0.3">
      <c r="A866" s="5" t="s">
        <v>2281</v>
      </c>
      <c r="B866" s="5" t="s">
        <v>1133</v>
      </c>
      <c r="C866" s="5">
        <v>64</v>
      </c>
      <c r="D866" s="5" t="s">
        <v>27</v>
      </c>
      <c r="E866" s="5">
        <v>200000</v>
      </c>
      <c r="F866" s="35">
        <v>9.5000000000000001E-2</v>
      </c>
      <c r="G866" s="5">
        <v>84</v>
      </c>
      <c r="H866" s="5" t="s">
        <v>346</v>
      </c>
      <c r="I866" s="5">
        <v>3268.8</v>
      </c>
      <c r="J866" s="5">
        <v>274578.89</v>
      </c>
      <c r="K866" s="5" t="s">
        <v>16</v>
      </c>
      <c r="L866" s="5" t="s">
        <v>68</v>
      </c>
      <c r="M866" s="5">
        <v>815</v>
      </c>
    </row>
    <row r="867" spans="1:13" x14ac:dyDescent="0.3">
      <c r="A867" s="4" t="s">
        <v>2282</v>
      </c>
      <c r="B867" s="4" t="s">
        <v>92</v>
      </c>
      <c r="C867" s="4">
        <v>39</v>
      </c>
      <c r="D867" s="4" t="s">
        <v>42</v>
      </c>
      <c r="E867" s="4">
        <v>1060000</v>
      </c>
      <c r="F867" s="3">
        <v>0.125</v>
      </c>
      <c r="G867" s="4">
        <v>60</v>
      </c>
      <c r="H867" s="4" t="s">
        <v>2283</v>
      </c>
      <c r="I867" s="4">
        <v>23847.81</v>
      </c>
      <c r="J867" s="4">
        <v>1430868.87</v>
      </c>
      <c r="K867" s="4" t="s">
        <v>16</v>
      </c>
      <c r="L867" s="4" t="s">
        <v>136</v>
      </c>
      <c r="M867" s="4">
        <v>881</v>
      </c>
    </row>
    <row r="868" spans="1:13" x14ac:dyDescent="0.3">
      <c r="A868" s="5" t="s">
        <v>2284</v>
      </c>
      <c r="B868" s="5" t="s">
        <v>2285</v>
      </c>
      <c r="C868" s="5">
        <v>62</v>
      </c>
      <c r="D868" s="5" t="s">
        <v>32</v>
      </c>
      <c r="E868" s="5">
        <v>180000</v>
      </c>
      <c r="F868" s="35">
        <v>0.08</v>
      </c>
      <c r="G868" s="5">
        <v>48</v>
      </c>
      <c r="H868" s="5" t="s">
        <v>2286</v>
      </c>
      <c r="I868" s="5">
        <v>4394.33</v>
      </c>
      <c r="J868" s="5">
        <v>210927.65</v>
      </c>
      <c r="K868" s="5" t="s">
        <v>20</v>
      </c>
      <c r="L868" s="5" t="s">
        <v>119</v>
      </c>
      <c r="M868" s="5">
        <v>899</v>
      </c>
    </row>
    <row r="869" spans="1:13" x14ac:dyDescent="0.3">
      <c r="A869" s="4" t="s">
        <v>2287</v>
      </c>
      <c r="B869" s="4" t="s">
        <v>2288</v>
      </c>
      <c r="C869" s="4">
        <v>61</v>
      </c>
      <c r="D869" s="4" t="s">
        <v>37</v>
      </c>
      <c r="E869" s="4">
        <v>1190000</v>
      </c>
      <c r="F869" s="3">
        <v>0.11</v>
      </c>
      <c r="G869" s="4">
        <v>48</v>
      </c>
      <c r="H869" s="4" t="s">
        <v>876</v>
      </c>
      <c r="I869" s="4">
        <v>30756.17</v>
      </c>
      <c r="J869" s="4">
        <v>1476296.25</v>
      </c>
      <c r="K869" s="4" t="s">
        <v>16</v>
      </c>
      <c r="L869" s="4" t="s">
        <v>90</v>
      </c>
      <c r="M869" s="4">
        <v>806</v>
      </c>
    </row>
    <row r="870" spans="1:13" x14ac:dyDescent="0.3">
      <c r="A870" s="5" t="s">
        <v>2289</v>
      </c>
      <c r="B870" s="5" t="s">
        <v>2290</v>
      </c>
      <c r="C870" s="5">
        <v>57</v>
      </c>
      <c r="D870" s="5" t="s">
        <v>37</v>
      </c>
      <c r="E870" s="5">
        <v>3620000</v>
      </c>
      <c r="F870" s="35">
        <v>0.08</v>
      </c>
      <c r="G870" s="5">
        <v>180</v>
      </c>
      <c r="H870" s="5" t="s">
        <v>726</v>
      </c>
      <c r="I870" s="5">
        <v>34594.61</v>
      </c>
      <c r="J870" s="5">
        <v>6227028.9800000004</v>
      </c>
      <c r="K870" s="5" t="s">
        <v>16</v>
      </c>
      <c r="L870" s="5" t="s">
        <v>366</v>
      </c>
      <c r="M870" s="5">
        <v>682</v>
      </c>
    </row>
    <row r="871" spans="1:13" x14ac:dyDescent="0.3">
      <c r="A871" s="4" t="s">
        <v>2291</v>
      </c>
      <c r="B871" s="4" t="s">
        <v>2292</v>
      </c>
      <c r="C871" s="4">
        <v>26</v>
      </c>
      <c r="D871" s="4" t="s">
        <v>42</v>
      </c>
      <c r="E871" s="4">
        <v>650000</v>
      </c>
      <c r="F871" s="3">
        <v>0.1</v>
      </c>
      <c r="G871" s="4">
        <v>120</v>
      </c>
      <c r="H871" s="4" t="s">
        <v>2293</v>
      </c>
      <c r="I871" s="4">
        <v>8589.7999999999993</v>
      </c>
      <c r="J871" s="4">
        <v>1030775.75</v>
      </c>
      <c r="K871" s="4" t="s">
        <v>20</v>
      </c>
      <c r="L871" s="4" t="s">
        <v>52</v>
      </c>
      <c r="M871" s="4">
        <v>825</v>
      </c>
    </row>
    <row r="872" spans="1:13" x14ac:dyDescent="0.3">
      <c r="A872" s="5" t="s">
        <v>2294</v>
      </c>
      <c r="B872" s="5" t="s">
        <v>2295</v>
      </c>
      <c r="C872" s="5">
        <v>46</v>
      </c>
      <c r="D872" s="5" t="s">
        <v>23</v>
      </c>
      <c r="E872" s="5">
        <v>1870000</v>
      </c>
      <c r="F872" s="35">
        <v>9.5000000000000001E-2</v>
      </c>
      <c r="G872" s="5">
        <v>12</v>
      </c>
      <c r="H872" s="5" t="s">
        <v>2296</v>
      </c>
      <c r="I872" s="5">
        <v>163968.17000000001</v>
      </c>
      <c r="J872" s="5">
        <v>1967618</v>
      </c>
      <c r="K872" s="5" t="s">
        <v>16</v>
      </c>
      <c r="L872" s="5" t="s">
        <v>39</v>
      </c>
      <c r="M872" s="5">
        <v>813</v>
      </c>
    </row>
    <row r="873" spans="1:13" x14ac:dyDescent="0.3">
      <c r="A873" s="4" t="s">
        <v>2297</v>
      </c>
      <c r="B873" s="4" t="s">
        <v>2298</v>
      </c>
      <c r="C873" s="4">
        <v>54</v>
      </c>
      <c r="D873" s="4" t="s">
        <v>18</v>
      </c>
      <c r="E873" s="4">
        <v>1030000</v>
      </c>
      <c r="F873" s="3">
        <v>0.125</v>
      </c>
      <c r="G873" s="4">
        <v>60</v>
      </c>
      <c r="H873" s="4" t="s">
        <v>749</v>
      </c>
      <c r="I873" s="4">
        <v>23172.880000000001</v>
      </c>
      <c r="J873" s="4">
        <v>1390372.58</v>
      </c>
      <c r="K873" s="4" t="s">
        <v>20</v>
      </c>
      <c r="L873" s="4" t="s">
        <v>44</v>
      </c>
      <c r="M873" s="4">
        <v>720</v>
      </c>
    </row>
    <row r="874" spans="1:13" x14ac:dyDescent="0.3">
      <c r="A874" s="5" t="s">
        <v>2299</v>
      </c>
      <c r="B874" s="5" t="s">
        <v>1031</v>
      </c>
      <c r="C874" s="5">
        <v>26</v>
      </c>
      <c r="D874" s="5" t="s">
        <v>37</v>
      </c>
      <c r="E874" s="5">
        <v>3060000</v>
      </c>
      <c r="F874" s="35">
        <v>0.1</v>
      </c>
      <c r="G874" s="5">
        <v>36</v>
      </c>
      <c r="H874" s="5" t="s">
        <v>2300</v>
      </c>
      <c r="I874" s="5">
        <v>98737.59</v>
      </c>
      <c r="J874" s="5">
        <v>3554553.34</v>
      </c>
      <c r="K874" s="5" t="s">
        <v>16</v>
      </c>
      <c r="L874" s="5" t="s">
        <v>25</v>
      </c>
      <c r="M874" s="5">
        <v>550</v>
      </c>
    </row>
    <row r="875" spans="1:13" x14ac:dyDescent="0.3">
      <c r="A875" s="4" t="s">
        <v>2301</v>
      </c>
      <c r="B875" s="4" t="s">
        <v>2302</v>
      </c>
      <c r="C875" s="4">
        <v>57</v>
      </c>
      <c r="D875" s="4" t="s">
        <v>42</v>
      </c>
      <c r="E875" s="4">
        <v>790000</v>
      </c>
      <c r="F875" s="3">
        <v>9.5000000000000001E-2</v>
      </c>
      <c r="G875" s="4">
        <v>120</v>
      </c>
      <c r="H875" s="4" t="s">
        <v>2303</v>
      </c>
      <c r="I875" s="4">
        <v>10222.41</v>
      </c>
      <c r="J875" s="4">
        <v>1226688.8500000001</v>
      </c>
      <c r="K875" s="4" t="s">
        <v>312</v>
      </c>
      <c r="L875" s="4" t="s">
        <v>201</v>
      </c>
      <c r="M875" s="4">
        <v>862</v>
      </c>
    </row>
    <row r="876" spans="1:13" x14ac:dyDescent="0.3">
      <c r="A876" s="5" t="s">
        <v>2304</v>
      </c>
      <c r="B876" s="5" t="s">
        <v>2305</v>
      </c>
      <c r="C876" s="5">
        <v>53</v>
      </c>
      <c r="D876" s="5" t="s">
        <v>27</v>
      </c>
      <c r="E876" s="5">
        <v>550000</v>
      </c>
      <c r="F876" s="35">
        <v>9.5000000000000001E-2</v>
      </c>
      <c r="G876" s="5">
        <v>240</v>
      </c>
      <c r="H876" s="5" t="s">
        <v>2306</v>
      </c>
      <c r="I876" s="5">
        <v>5126.72</v>
      </c>
      <c r="J876" s="5">
        <v>1230413.17</v>
      </c>
      <c r="K876" s="5" t="s">
        <v>16</v>
      </c>
      <c r="L876" s="5" t="s">
        <v>44</v>
      </c>
      <c r="M876" s="5">
        <v>613</v>
      </c>
    </row>
    <row r="877" spans="1:13" x14ac:dyDescent="0.3">
      <c r="A877" s="4" t="s">
        <v>2307</v>
      </c>
      <c r="B877" s="4" t="s">
        <v>1839</v>
      </c>
      <c r="C877" s="4">
        <v>42</v>
      </c>
      <c r="D877" s="4" t="s">
        <v>23</v>
      </c>
      <c r="E877" s="4">
        <v>2530000</v>
      </c>
      <c r="F877" s="3">
        <v>0.125</v>
      </c>
      <c r="G877" s="4">
        <v>24</v>
      </c>
      <c r="H877" s="4" t="s">
        <v>402</v>
      </c>
      <c r="I877" s="4">
        <v>119687.49</v>
      </c>
      <c r="J877" s="4">
        <v>2872499.76</v>
      </c>
      <c r="K877" s="4" t="s">
        <v>16</v>
      </c>
      <c r="L877" s="4" t="s">
        <v>82</v>
      </c>
      <c r="M877" s="4">
        <v>833</v>
      </c>
    </row>
    <row r="878" spans="1:13" x14ac:dyDescent="0.3">
      <c r="A878" s="5" t="s">
        <v>2308</v>
      </c>
      <c r="B878" s="5" t="s">
        <v>2309</v>
      </c>
      <c r="C878" s="5">
        <v>41</v>
      </c>
      <c r="D878" s="5" t="s">
        <v>18</v>
      </c>
      <c r="E878" s="5">
        <v>1680000</v>
      </c>
      <c r="F878" s="35">
        <v>0.13</v>
      </c>
      <c r="G878" s="5">
        <v>240</v>
      </c>
      <c r="H878" s="5" t="s">
        <v>2310</v>
      </c>
      <c r="I878" s="5">
        <v>19682.47</v>
      </c>
      <c r="J878" s="5">
        <v>4723793.2699999996</v>
      </c>
      <c r="K878" s="5" t="s">
        <v>16</v>
      </c>
      <c r="L878" s="5" t="s">
        <v>39</v>
      </c>
      <c r="M878" s="5">
        <v>670</v>
      </c>
    </row>
    <row r="879" spans="1:13" x14ac:dyDescent="0.3">
      <c r="A879" s="4" t="s">
        <v>2311</v>
      </c>
      <c r="B879" s="4" t="s">
        <v>2312</v>
      </c>
      <c r="C879" s="4">
        <v>26</v>
      </c>
      <c r="D879" s="4" t="s">
        <v>15</v>
      </c>
      <c r="E879" s="4">
        <v>400000</v>
      </c>
      <c r="F879" s="3">
        <v>0.125</v>
      </c>
      <c r="G879" s="4">
        <v>24</v>
      </c>
      <c r="H879" s="4" t="s">
        <v>2313</v>
      </c>
      <c r="I879" s="4">
        <v>18922.919999999998</v>
      </c>
      <c r="J879" s="4">
        <v>454150.16</v>
      </c>
      <c r="K879" s="4" t="s">
        <v>60</v>
      </c>
      <c r="L879" s="4" t="s">
        <v>119</v>
      </c>
      <c r="M879" s="4">
        <v>656</v>
      </c>
    </row>
    <row r="880" spans="1:13" x14ac:dyDescent="0.3">
      <c r="A880" s="5" t="s">
        <v>2314</v>
      </c>
      <c r="B880" s="5" t="s">
        <v>1592</v>
      </c>
      <c r="C880" s="5">
        <v>26</v>
      </c>
      <c r="D880" s="5" t="s">
        <v>27</v>
      </c>
      <c r="E880" s="5">
        <v>100000</v>
      </c>
      <c r="F880" s="35">
        <v>9.5000000000000001E-2</v>
      </c>
      <c r="G880" s="5">
        <v>240</v>
      </c>
      <c r="H880" s="5" t="s">
        <v>2315</v>
      </c>
      <c r="I880" s="5">
        <v>932.13</v>
      </c>
      <c r="J880" s="5">
        <v>223711.49</v>
      </c>
      <c r="K880" s="5" t="s">
        <v>20</v>
      </c>
      <c r="L880" s="5" t="s">
        <v>52</v>
      </c>
      <c r="M880" s="5">
        <v>724</v>
      </c>
    </row>
    <row r="881" spans="1:13" x14ac:dyDescent="0.3">
      <c r="A881" s="4" t="s">
        <v>2316</v>
      </c>
      <c r="B881" s="4" t="s">
        <v>2317</v>
      </c>
      <c r="C881" s="4">
        <v>24</v>
      </c>
      <c r="D881" s="4" t="s">
        <v>23</v>
      </c>
      <c r="E881" s="4">
        <v>4580000</v>
      </c>
      <c r="F881" s="3">
        <v>0.09</v>
      </c>
      <c r="G881" s="4">
        <v>60</v>
      </c>
      <c r="H881" s="4" t="s">
        <v>190</v>
      </c>
      <c r="I881" s="4">
        <v>95073.27</v>
      </c>
      <c r="J881" s="4">
        <v>5704396.0199999996</v>
      </c>
      <c r="K881" s="4" t="s">
        <v>312</v>
      </c>
      <c r="L881" s="4" t="s">
        <v>34</v>
      </c>
      <c r="M881" s="4">
        <v>753</v>
      </c>
    </row>
    <row r="882" spans="1:13" x14ac:dyDescent="0.3">
      <c r="A882" s="5" t="s">
        <v>2318</v>
      </c>
      <c r="B882" s="5" t="s">
        <v>2319</v>
      </c>
      <c r="C882" s="5">
        <v>50</v>
      </c>
      <c r="D882" s="5" t="s">
        <v>32</v>
      </c>
      <c r="E882" s="5">
        <v>300000</v>
      </c>
      <c r="F882" s="35">
        <v>8.5000000000000006E-2</v>
      </c>
      <c r="G882" s="5">
        <v>84</v>
      </c>
      <c r="H882" s="5" t="s">
        <v>2320</v>
      </c>
      <c r="I882" s="5">
        <v>4750.95</v>
      </c>
      <c r="J882" s="5">
        <v>399079.43</v>
      </c>
      <c r="K882" s="5" t="s">
        <v>16</v>
      </c>
      <c r="L882" s="5" t="s">
        <v>187</v>
      </c>
      <c r="M882" s="5">
        <v>714</v>
      </c>
    </row>
    <row r="883" spans="1:13" x14ac:dyDescent="0.3">
      <c r="A883" s="4" t="s">
        <v>2321</v>
      </c>
      <c r="B883" s="4" t="s">
        <v>2322</v>
      </c>
      <c r="C883" s="4">
        <v>31</v>
      </c>
      <c r="D883" s="4" t="s">
        <v>42</v>
      </c>
      <c r="E883" s="4">
        <v>460000</v>
      </c>
      <c r="F883" s="3">
        <v>0.115</v>
      </c>
      <c r="G883" s="4">
        <v>24</v>
      </c>
      <c r="H883" s="4" t="s">
        <v>276</v>
      </c>
      <c r="I883" s="4">
        <v>21546.55</v>
      </c>
      <c r="J883" s="4">
        <v>517117.08</v>
      </c>
      <c r="K883" s="4" t="s">
        <v>20</v>
      </c>
      <c r="L883" s="4" t="s">
        <v>187</v>
      </c>
      <c r="M883" s="4">
        <v>854</v>
      </c>
    </row>
    <row r="884" spans="1:13" x14ac:dyDescent="0.3">
      <c r="A884" s="5" t="s">
        <v>2323</v>
      </c>
      <c r="B884" s="5" t="s">
        <v>644</v>
      </c>
      <c r="C884" s="5">
        <v>50</v>
      </c>
      <c r="D884" s="5" t="s">
        <v>32</v>
      </c>
      <c r="E884" s="5">
        <v>120000</v>
      </c>
      <c r="F884" s="35">
        <v>0.09</v>
      </c>
      <c r="G884" s="5">
        <v>240</v>
      </c>
      <c r="H884" s="5" t="s">
        <v>2324</v>
      </c>
      <c r="I884" s="5">
        <v>1079.67</v>
      </c>
      <c r="J884" s="5">
        <v>259121.08</v>
      </c>
      <c r="K884" s="5" t="s">
        <v>16</v>
      </c>
      <c r="L884" s="5" t="s">
        <v>52</v>
      </c>
      <c r="M884" s="5">
        <v>669</v>
      </c>
    </row>
    <row r="885" spans="1:13" x14ac:dyDescent="0.3">
      <c r="A885" s="4" t="s">
        <v>2325</v>
      </c>
      <c r="B885" s="4" t="s">
        <v>54</v>
      </c>
      <c r="C885" s="4">
        <v>51</v>
      </c>
      <c r="D885" s="4" t="s">
        <v>27</v>
      </c>
      <c r="E885" s="4">
        <v>720000</v>
      </c>
      <c r="F885" s="3">
        <v>7.4999999999999997E-2</v>
      </c>
      <c r="G885" s="4">
        <v>60</v>
      </c>
      <c r="H885" s="4" t="s">
        <v>1008</v>
      </c>
      <c r="I885" s="4">
        <v>14427.32</v>
      </c>
      <c r="J885" s="4">
        <v>865639.38</v>
      </c>
      <c r="K885" s="4" t="s">
        <v>16</v>
      </c>
      <c r="L885" s="4" t="s">
        <v>132</v>
      </c>
      <c r="M885" s="4">
        <v>593</v>
      </c>
    </row>
    <row r="886" spans="1:13" x14ac:dyDescent="0.3">
      <c r="A886" s="5" t="s">
        <v>2326</v>
      </c>
      <c r="B886" s="5" t="s">
        <v>2327</v>
      </c>
      <c r="C886" s="5">
        <v>44</v>
      </c>
      <c r="D886" s="5" t="s">
        <v>32</v>
      </c>
      <c r="E886" s="5">
        <v>170000</v>
      </c>
      <c r="F886" s="35">
        <v>0.12</v>
      </c>
      <c r="G886" s="5">
        <v>240</v>
      </c>
      <c r="H886" s="5" t="s">
        <v>2328</v>
      </c>
      <c r="I886" s="5">
        <v>1871.85</v>
      </c>
      <c r="J886" s="5">
        <v>449243.14</v>
      </c>
      <c r="K886" s="5" t="s">
        <v>16</v>
      </c>
      <c r="L886" s="5" t="s">
        <v>25</v>
      </c>
      <c r="M886" s="5">
        <v>861</v>
      </c>
    </row>
    <row r="887" spans="1:13" x14ac:dyDescent="0.3">
      <c r="A887" s="4" t="s">
        <v>2329</v>
      </c>
      <c r="B887" s="4" t="s">
        <v>2330</v>
      </c>
      <c r="C887" s="4">
        <v>29</v>
      </c>
      <c r="D887" s="4" t="s">
        <v>23</v>
      </c>
      <c r="E887" s="4">
        <v>9710000</v>
      </c>
      <c r="F887" s="3">
        <v>0.105</v>
      </c>
      <c r="G887" s="4">
        <v>60</v>
      </c>
      <c r="H887" s="4" t="s">
        <v>2324</v>
      </c>
      <c r="I887" s="4">
        <v>208705.77</v>
      </c>
      <c r="J887" s="4">
        <v>12522346.359999999</v>
      </c>
      <c r="K887" s="4" t="s">
        <v>20</v>
      </c>
      <c r="L887" s="4" t="s">
        <v>90</v>
      </c>
      <c r="M887" s="4">
        <v>705</v>
      </c>
    </row>
    <row r="888" spans="1:13" x14ac:dyDescent="0.3">
      <c r="A888" s="5" t="s">
        <v>2331</v>
      </c>
      <c r="B888" s="5" t="s">
        <v>1595</v>
      </c>
      <c r="C888" s="5">
        <v>23</v>
      </c>
      <c r="D888" s="5" t="s">
        <v>15</v>
      </c>
      <c r="E888" s="5">
        <v>1630000</v>
      </c>
      <c r="F888" s="35">
        <v>0.125</v>
      </c>
      <c r="G888" s="5">
        <v>180</v>
      </c>
      <c r="H888" s="5" t="s">
        <v>2332</v>
      </c>
      <c r="I888" s="5">
        <v>20090.11</v>
      </c>
      <c r="J888" s="5">
        <v>3616219.79</v>
      </c>
      <c r="K888" s="5" t="s">
        <v>16</v>
      </c>
      <c r="L888" s="5" t="s">
        <v>56</v>
      </c>
      <c r="M888" s="5">
        <v>756</v>
      </c>
    </row>
    <row r="889" spans="1:13" x14ac:dyDescent="0.3">
      <c r="A889" s="4" t="s">
        <v>2333</v>
      </c>
      <c r="B889" s="4" t="s">
        <v>2334</v>
      </c>
      <c r="C889" s="4">
        <v>51</v>
      </c>
      <c r="D889" s="4" t="s">
        <v>32</v>
      </c>
      <c r="E889" s="4">
        <v>280000</v>
      </c>
      <c r="F889" s="3">
        <v>0.1</v>
      </c>
      <c r="G889" s="4">
        <v>120</v>
      </c>
      <c r="H889" s="4" t="s">
        <v>2335</v>
      </c>
      <c r="I889" s="4">
        <v>3700.22</v>
      </c>
      <c r="J889" s="4">
        <v>444026.48</v>
      </c>
      <c r="K889" s="4" t="s">
        <v>16</v>
      </c>
      <c r="L889" s="4" t="s">
        <v>205</v>
      </c>
      <c r="M889" s="4">
        <v>657</v>
      </c>
    </row>
    <row r="890" spans="1:13" x14ac:dyDescent="0.3">
      <c r="A890" s="5" t="s">
        <v>2336</v>
      </c>
      <c r="B890" s="5" t="s">
        <v>2337</v>
      </c>
      <c r="C890" s="5">
        <v>60</v>
      </c>
      <c r="D890" s="5" t="s">
        <v>27</v>
      </c>
      <c r="E890" s="5">
        <v>110000</v>
      </c>
      <c r="F890" s="35">
        <v>0.125</v>
      </c>
      <c r="G890" s="5">
        <v>180</v>
      </c>
      <c r="H890" s="5" t="s">
        <v>2338</v>
      </c>
      <c r="I890" s="5">
        <v>1355.77</v>
      </c>
      <c r="J890" s="5">
        <v>244039.37</v>
      </c>
      <c r="K890" s="5" t="s">
        <v>16</v>
      </c>
      <c r="L890" s="5" t="s">
        <v>119</v>
      </c>
      <c r="M890" s="5">
        <v>800</v>
      </c>
    </row>
    <row r="891" spans="1:13" x14ac:dyDescent="0.3">
      <c r="A891" s="4" t="s">
        <v>2339</v>
      </c>
      <c r="B891" s="4" t="s">
        <v>2340</v>
      </c>
      <c r="C891" s="4">
        <v>57</v>
      </c>
      <c r="D891" s="4" t="s">
        <v>18</v>
      </c>
      <c r="E891" s="4">
        <v>220000</v>
      </c>
      <c r="F891" s="3">
        <v>8.5000000000000006E-2</v>
      </c>
      <c r="G891" s="4">
        <v>48</v>
      </c>
      <c r="H891" s="4" t="s">
        <v>2341</v>
      </c>
      <c r="I891" s="4">
        <v>5422.63</v>
      </c>
      <c r="J891" s="4">
        <v>260286.07999999999</v>
      </c>
      <c r="K891" s="4" t="s">
        <v>16</v>
      </c>
      <c r="L891" s="4" t="s">
        <v>212</v>
      </c>
      <c r="M891" s="4">
        <v>883</v>
      </c>
    </row>
    <row r="892" spans="1:13" x14ac:dyDescent="0.3">
      <c r="A892" s="5" t="s">
        <v>2342</v>
      </c>
      <c r="B892" s="5" t="s">
        <v>2343</v>
      </c>
      <c r="C892" s="5">
        <v>56</v>
      </c>
      <c r="D892" s="5" t="s">
        <v>27</v>
      </c>
      <c r="E892" s="5">
        <v>830000</v>
      </c>
      <c r="F892" s="35">
        <v>0.13</v>
      </c>
      <c r="G892" s="5">
        <v>84</v>
      </c>
      <c r="H892" s="5" t="s">
        <v>2344</v>
      </c>
      <c r="I892" s="5">
        <v>15099.33</v>
      </c>
      <c r="J892" s="5">
        <v>1268343.68</v>
      </c>
      <c r="K892" s="5" t="s">
        <v>20</v>
      </c>
      <c r="L892" s="5" t="s">
        <v>155</v>
      </c>
      <c r="M892" s="5">
        <v>679</v>
      </c>
    </row>
    <row r="893" spans="1:13" x14ac:dyDescent="0.3">
      <c r="A893" s="4" t="s">
        <v>2345</v>
      </c>
      <c r="B893" s="4" t="s">
        <v>2346</v>
      </c>
      <c r="C893" s="4">
        <v>44</v>
      </c>
      <c r="D893" s="4" t="s">
        <v>37</v>
      </c>
      <c r="E893" s="4">
        <v>3380000</v>
      </c>
      <c r="F893" s="3">
        <v>7.4999999999999997E-2</v>
      </c>
      <c r="G893" s="4">
        <v>180</v>
      </c>
      <c r="H893" s="4" t="s">
        <v>2347</v>
      </c>
      <c r="I893" s="4">
        <v>31333.02</v>
      </c>
      <c r="J893" s="4">
        <v>5639943.2000000002</v>
      </c>
      <c r="K893" s="4" t="s">
        <v>16</v>
      </c>
      <c r="L893" s="4" t="s">
        <v>34</v>
      </c>
      <c r="M893" s="4">
        <v>842</v>
      </c>
    </row>
    <row r="894" spans="1:13" x14ac:dyDescent="0.3">
      <c r="A894" s="5" t="s">
        <v>2348</v>
      </c>
      <c r="B894" s="5" t="s">
        <v>866</v>
      </c>
      <c r="C894" s="5">
        <v>51</v>
      </c>
      <c r="D894" s="5" t="s">
        <v>32</v>
      </c>
      <c r="E894" s="5">
        <v>480000</v>
      </c>
      <c r="F894" s="35">
        <v>0.125</v>
      </c>
      <c r="G894" s="5">
        <v>180</v>
      </c>
      <c r="H894" s="5" t="s">
        <v>2349</v>
      </c>
      <c r="I894" s="5">
        <v>5916.11</v>
      </c>
      <c r="J894" s="5">
        <v>1064899.08</v>
      </c>
      <c r="K894" s="5" t="s">
        <v>20</v>
      </c>
      <c r="L894" s="5" t="s">
        <v>151</v>
      </c>
      <c r="M894" s="5">
        <v>569</v>
      </c>
    </row>
    <row r="895" spans="1:13" x14ac:dyDescent="0.3">
      <c r="A895" s="4" t="s">
        <v>2350</v>
      </c>
      <c r="B895" s="4" t="s">
        <v>2351</v>
      </c>
      <c r="C895" s="4">
        <v>26</v>
      </c>
      <c r="D895" s="4" t="s">
        <v>18</v>
      </c>
      <c r="E895" s="4">
        <v>450000</v>
      </c>
      <c r="F895" s="3">
        <v>0.11</v>
      </c>
      <c r="G895" s="4">
        <v>12</v>
      </c>
      <c r="H895" s="4" t="s">
        <v>1730</v>
      </c>
      <c r="I895" s="4">
        <v>39771.75</v>
      </c>
      <c r="J895" s="4">
        <v>477260.96</v>
      </c>
      <c r="K895" s="4" t="s">
        <v>20</v>
      </c>
      <c r="L895" s="4" t="s">
        <v>159</v>
      </c>
      <c r="M895" s="4">
        <v>831</v>
      </c>
    </row>
    <row r="896" spans="1:13" x14ac:dyDescent="0.3">
      <c r="A896" s="5" t="s">
        <v>2352</v>
      </c>
      <c r="B896" s="5" t="s">
        <v>826</v>
      </c>
      <c r="C896" s="5">
        <v>22</v>
      </c>
      <c r="D896" s="5" t="s">
        <v>23</v>
      </c>
      <c r="E896" s="5">
        <v>8090000</v>
      </c>
      <c r="F896" s="35">
        <v>9.5000000000000001E-2</v>
      </c>
      <c r="G896" s="5">
        <v>180</v>
      </c>
      <c r="H896" s="5" t="s">
        <v>2353</v>
      </c>
      <c r="I896" s="5">
        <v>84477.78</v>
      </c>
      <c r="J896" s="5">
        <v>15205999.83</v>
      </c>
      <c r="K896" s="5" t="s">
        <v>20</v>
      </c>
      <c r="L896" s="5" t="s">
        <v>159</v>
      </c>
      <c r="M896" s="5">
        <v>834</v>
      </c>
    </row>
    <row r="897" spans="1:13" x14ac:dyDescent="0.3">
      <c r="A897" s="4" t="s">
        <v>2354</v>
      </c>
      <c r="B897" s="4" t="s">
        <v>2355</v>
      </c>
      <c r="C897" s="4">
        <v>40</v>
      </c>
      <c r="D897" s="4" t="s">
        <v>23</v>
      </c>
      <c r="E897" s="4">
        <v>3220000</v>
      </c>
      <c r="F897" s="3">
        <v>9.5000000000000001E-2</v>
      </c>
      <c r="G897" s="4">
        <v>24</v>
      </c>
      <c r="H897" s="4" t="s">
        <v>2356</v>
      </c>
      <c r="I897" s="4">
        <v>147844.67000000001</v>
      </c>
      <c r="J897" s="4">
        <v>3548272.02</v>
      </c>
      <c r="K897" s="4" t="s">
        <v>16</v>
      </c>
      <c r="L897" s="4" t="s">
        <v>136</v>
      </c>
      <c r="M897" s="4">
        <v>550</v>
      </c>
    </row>
    <row r="898" spans="1:13" x14ac:dyDescent="0.3">
      <c r="A898" s="5" t="s">
        <v>2357</v>
      </c>
      <c r="B898" s="5" t="s">
        <v>263</v>
      </c>
      <c r="C898" s="5">
        <v>48</v>
      </c>
      <c r="D898" s="5" t="s">
        <v>37</v>
      </c>
      <c r="E898" s="5">
        <v>4510000</v>
      </c>
      <c r="F898" s="35">
        <v>0.105</v>
      </c>
      <c r="G898" s="5">
        <v>60</v>
      </c>
      <c r="H898" s="5" t="s">
        <v>2358</v>
      </c>
      <c r="I898" s="5">
        <v>96937.49</v>
      </c>
      <c r="J898" s="5">
        <v>5816249.4400000004</v>
      </c>
      <c r="K898" s="5" t="s">
        <v>20</v>
      </c>
      <c r="L898" s="5" t="s">
        <v>147</v>
      </c>
      <c r="M898" s="5">
        <v>668</v>
      </c>
    </row>
    <row r="899" spans="1:13" x14ac:dyDescent="0.3">
      <c r="A899" s="4" t="s">
        <v>2359</v>
      </c>
      <c r="B899" s="4" t="s">
        <v>2360</v>
      </c>
      <c r="C899" s="4">
        <v>31</v>
      </c>
      <c r="D899" s="4" t="s">
        <v>18</v>
      </c>
      <c r="E899" s="4">
        <v>350000</v>
      </c>
      <c r="F899" s="3">
        <v>0.105</v>
      </c>
      <c r="G899" s="4">
        <v>24</v>
      </c>
      <c r="H899" s="4" t="s">
        <v>2361</v>
      </c>
      <c r="I899" s="4">
        <v>16231.61</v>
      </c>
      <c r="J899" s="4">
        <v>389558.75</v>
      </c>
      <c r="K899" s="4" t="s">
        <v>20</v>
      </c>
      <c r="L899" s="4" t="s">
        <v>201</v>
      </c>
      <c r="M899" s="4">
        <v>584</v>
      </c>
    </row>
    <row r="900" spans="1:13" x14ac:dyDescent="0.3">
      <c r="A900" s="5" t="s">
        <v>2362</v>
      </c>
      <c r="B900" s="5" t="s">
        <v>1219</v>
      </c>
      <c r="C900" s="5">
        <v>24</v>
      </c>
      <c r="D900" s="5" t="s">
        <v>32</v>
      </c>
      <c r="E900" s="5">
        <v>170000</v>
      </c>
      <c r="F900" s="35">
        <v>0.105</v>
      </c>
      <c r="G900" s="5">
        <v>120</v>
      </c>
      <c r="H900" s="5" t="s">
        <v>1906</v>
      </c>
      <c r="I900" s="5">
        <v>2293.89</v>
      </c>
      <c r="J900" s="5">
        <v>275267.39</v>
      </c>
      <c r="K900" s="5" t="s">
        <v>60</v>
      </c>
      <c r="L900" s="5" t="s">
        <v>104</v>
      </c>
      <c r="M900" s="5">
        <v>747</v>
      </c>
    </row>
    <row r="901" spans="1:13" x14ac:dyDescent="0.3">
      <c r="A901" s="4" t="s">
        <v>2363</v>
      </c>
      <c r="B901" s="4" t="s">
        <v>2182</v>
      </c>
      <c r="C901" s="4">
        <v>35</v>
      </c>
      <c r="D901" s="4" t="s">
        <v>42</v>
      </c>
      <c r="E901" s="4">
        <v>1100000</v>
      </c>
      <c r="F901" s="3">
        <v>0.13</v>
      </c>
      <c r="G901" s="4">
        <v>48</v>
      </c>
      <c r="H901" s="4" t="s">
        <v>351</v>
      </c>
      <c r="I901" s="4">
        <v>29510.25</v>
      </c>
      <c r="J901" s="4">
        <v>1416491.78</v>
      </c>
      <c r="K901" s="4" t="s">
        <v>20</v>
      </c>
      <c r="L901" s="4" t="s">
        <v>132</v>
      </c>
      <c r="M901" s="4">
        <v>794</v>
      </c>
    </row>
    <row r="902" spans="1:13" x14ac:dyDescent="0.3">
      <c r="A902" s="5" t="s">
        <v>2364</v>
      </c>
      <c r="B902" s="5" t="s">
        <v>474</v>
      </c>
      <c r="C902" s="5">
        <v>26</v>
      </c>
      <c r="D902" s="5" t="s">
        <v>18</v>
      </c>
      <c r="E902" s="5">
        <v>390000</v>
      </c>
      <c r="F902" s="35">
        <v>7.4999999999999997E-2</v>
      </c>
      <c r="G902" s="5">
        <v>48</v>
      </c>
      <c r="H902" s="5" t="s">
        <v>1225</v>
      </c>
      <c r="I902" s="5">
        <v>9429.77</v>
      </c>
      <c r="J902" s="5">
        <v>452629.04</v>
      </c>
      <c r="K902" s="5" t="s">
        <v>60</v>
      </c>
      <c r="L902" s="5" t="s">
        <v>115</v>
      </c>
      <c r="M902" s="5">
        <v>608</v>
      </c>
    </row>
    <row r="903" spans="1:13" x14ac:dyDescent="0.3">
      <c r="A903" s="4" t="s">
        <v>2365</v>
      </c>
      <c r="B903" s="4" t="s">
        <v>2346</v>
      </c>
      <c r="C903" s="4">
        <v>50</v>
      </c>
      <c r="D903" s="4" t="s">
        <v>42</v>
      </c>
      <c r="E903" s="4">
        <v>510000</v>
      </c>
      <c r="F903" s="3">
        <v>0.12</v>
      </c>
      <c r="G903" s="4">
        <v>84</v>
      </c>
      <c r="H903" s="4" t="s">
        <v>1343</v>
      </c>
      <c r="I903" s="4">
        <v>9002.89</v>
      </c>
      <c r="J903" s="4">
        <v>756243.07</v>
      </c>
      <c r="K903" s="4" t="s">
        <v>16</v>
      </c>
      <c r="L903" s="4" t="s">
        <v>94</v>
      </c>
      <c r="M903" s="4">
        <v>874</v>
      </c>
    </row>
    <row r="904" spans="1:13" x14ac:dyDescent="0.3">
      <c r="A904" s="5" t="s">
        <v>2366</v>
      </c>
      <c r="B904" s="5" t="s">
        <v>2367</v>
      </c>
      <c r="C904" s="5">
        <v>58</v>
      </c>
      <c r="D904" s="5" t="s">
        <v>37</v>
      </c>
      <c r="E904" s="5">
        <v>1370000</v>
      </c>
      <c r="F904" s="35">
        <v>0.13</v>
      </c>
      <c r="G904" s="5">
        <v>120</v>
      </c>
      <c r="H904" s="5" t="s">
        <v>2368</v>
      </c>
      <c r="I904" s="5">
        <v>20455.57</v>
      </c>
      <c r="J904" s="5">
        <v>2454668.5699999998</v>
      </c>
      <c r="K904" s="5" t="s">
        <v>60</v>
      </c>
      <c r="L904" s="5" t="s">
        <v>48</v>
      </c>
      <c r="M904" s="5">
        <v>710</v>
      </c>
    </row>
    <row r="905" spans="1:13" x14ac:dyDescent="0.3">
      <c r="A905" s="4" t="s">
        <v>2369</v>
      </c>
      <c r="B905" s="4" t="s">
        <v>99</v>
      </c>
      <c r="C905" s="4">
        <v>22</v>
      </c>
      <c r="D905" s="4" t="s">
        <v>27</v>
      </c>
      <c r="E905" s="4">
        <v>430000</v>
      </c>
      <c r="F905" s="3">
        <v>0.12</v>
      </c>
      <c r="G905" s="4">
        <v>84</v>
      </c>
      <c r="H905" s="4" t="s">
        <v>2370</v>
      </c>
      <c r="I905" s="4">
        <v>7590.68</v>
      </c>
      <c r="J905" s="4">
        <v>637616.71</v>
      </c>
      <c r="K905" s="4" t="s">
        <v>16</v>
      </c>
      <c r="L905" s="4" t="s">
        <v>132</v>
      </c>
      <c r="M905" s="4">
        <v>728</v>
      </c>
    </row>
    <row r="906" spans="1:13" x14ac:dyDescent="0.3">
      <c r="A906" s="5" t="s">
        <v>2371</v>
      </c>
      <c r="B906" s="5" t="s">
        <v>2256</v>
      </c>
      <c r="C906" s="5">
        <v>35</v>
      </c>
      <c r="D906" s="5" t="s">
        <v>15</v>
      </c>
      <c r="E906" s="5">
        <v>970000</v>
      </c>
      <c r="F906" s="35">
        <v>0.09</v>
      </c>
      <c r="G906" s="5">
        <v>240</v>
      </c>
      <c r="H906" s="5" t="s">
        <v>2372</v>
      </c>
      <c r="I906" s="5">
        <v>8727.34</v>
      </c>
      <c r="J906" s="5">
        <v>2094562.03</v>
      </c>
      <c r="K906" s="5" t="s">
        <v>16</v>
      </c>
      <c r="L906" s="5" t="s">
        <v>205</v>
      </c>
      <c r="M906" s="5">
        <v>755</v>
      </c>
    </row>
    <row r="907" spans="1:13" x14ac:dyDescent="0.3">
      <c r="A907" s="4" t="s">
        <v>2373</v>
      </c>
      <c r="B907" s="4" t="s">
        <v>2026</v>
      </c>
      <c r="C907" s="4">
        <v>31</v>
      </c>
      <c r="D907" s="4" t="s">
        <v>42</v>
      </c>
      <c r="E907" s="4">
        <v>930000</v>
      </c>
      <c r="F907" s="3">
        <v>0.1</v>
      </c>
      <c r="G907" s="4">
        <v>240</v>
      </c>
      <c r="H907" s="4" t="s">
        <v>1411</v>
      </c>
      <c r="I907" s="4">
        <v>8974.7000000000007</v>
      </c>
      <c r="J907" s="4">
        <v>2153928.31</v>
      </c>
      <c r="K907" s="4" t="s">
        <v>60</v>
      </c>
      <c r="L907" s="4" t="s">
        <v>108</v>
      </c>
      <c r="M907" s="4">
        <v>561</v>
      </c>
    </row>
    <row r="908" spans="1:13" x14ac:dyDescent="0.3">
      <c r="A908" s="5" t="s">
        <v>2374</v>
      </c>
      <c r="B908" s="5" t="s">
        <v>2375</v>
      </c>
      <c r="C908" s="5">
        <v>28</v>
      </c>
      <c r="D908" s="5" t="s">
        <v>32</v>
      </c>
      <c r="E908" s="5">
        <v>120000</v>
      </c>
      <c r="F908" s="35">
        <v>0.13</v>
      </c>
      <c r="G908" s="5">
        <v>12</v>
      </c>
      <c r="H908" s="5" t="s">
        <v>2376</v>
      </c>
      <c r="I908" s="5">
        <v>10718.07</v>
      </c>
      <c r="J908" s="5">
        <v>128616.88</v>
      </c>
      <c r="K908" s="5" t="s">
        <v>16</v>
      </c>
      <c r="L908" s="5" t="s">
        <v>34</v>
      </c>
      <c r="M908" s="5">
        <v>825</v>
      </c>
    </row>
    <row r="909" spans="1:13" x14ac:dyDescent="0.3">
      <c r="A909" s="4" t="s">
        <v>2377</v>
      </c>
      <c r="B909" s="4" t="s">
        <v>2378</v>
      </c>
      <c r="C909" s="4">
        <v>46</v>
      </c>
      <c r="D909" s="4" t="s">
        <v>15</v>
      </c>
      <c r="E909" s="4">
        <v>1000000</v>
      </c>
      <c r="F909" s="3">
        <v>0.13</v>
      </c>
      <c r="G909" s="4">
        <v>60</v>
      </c>
      <c r="H909" s="4" t="s">
        <v>2379</v>
      </c>
      <c r="I909" s="4">
        <v>22753.07</v>
      </c>
      <c r="J909" s="4">
        <v>1365184.38</v>
      </c>
      <c r="K909" s="4" t="s">
        <v>312</v>
      </c>
      <c r="L909" s="4" t="s">
        <v>108</v>
      </c>
      <c r="M909" s="4">
        <v>730</v>
      </c>
    </row>
    <row r="910" spans="1:13" x14ac:dyDescent="0.3">
      <c r="A910" s="5" t="s">
        <v>2380</v>
      </c>
      <c r="B910" s="5" t="s">
        <v>1222</v>
      </c>
      <c r="C910" s="5">
        <v>64</v>
      </c>
      <c r="D910" s="5" t="s">
        <v>23</v>
      </c>
      <c r="E910" s="5">
        <v>3230000</v>
      </c>
      <c r="F910" s="35">
        <v>0.09</v>
      </c>
      <c r="G910" s="5">
        <v>48</v>
      </c>
      <c r="H910" s="5" t="s">
        <v>2381</v>
      </c>
      <c r="I910" s="5">
        <v>80378.69</v>
      </c>
      <c r="J910" s="5">
        <v>3858176.97</v>
      </c>
      <c r="K910" s="5" t="s">
        <v>16</v>
      </c>
      <c r="L910" s="5" t="s">
        <v>64</v>
      </c>
      <c r="M910" s="5">
        <v>791</v>
      </c>
    </row>
    <row r="911" spans="1:13" x14ac:dyDescent="0.3">
      <c r="A911" s="4" t="s">
        <v>2382</v>
      </c>
      <c r="B911" s="4" t="s">
        <v>2383</v>
      </c>
      <c r="C911" s="4">
        <v>25</v>
      </c>
      <c r="D911" s="4" t="s">
        <v>23</v>
      </c>
      <c r="E911" s="4">
        <v>3400000</v>
      </c>
      <c r="F911" s="3">
        <v>0.125</v>
      </c>
      <c r="G911" s="4">
        <v>60</v>
      </c>
      <c r="H911" s="4" t="s">
        <v>971</v>
      </c>
      <c r="I911" s="4">
        <v>76492.990000000005</v>
      </c>
      <c r="J911" s="4">
        <v>4589579.4000000004</v>
      </c>
      <c r="K911" s="4" t="s">
        <v>16</v>
      </c>
      <c r="L911" s="4" t="s">
        <v>75</v>
      </c>
      <c r="M911" s="4">
        <v>765</v>
      </c>
    </row>
    <row r="912" spans="1:13" x14ac:dyDescent="0.3">
      <c r="A912" s="5" t="s">
        <v>2384</v>
      </c>
      <c r="B912" s="5" t="s">
        <v>2385</v>
      </c>
      <c r="C912" s="5">
        <v>26</v>
      </c>
      <c r="D912" s="5" t="s">
        <v>42</v>
      </c>
      <c r="E912" s="5">
        <v>440000</v>
      </c>
      <c r="F912" s="35">
        <v>0.115</v>
      </c>
      <c r="G912" s="5">
        <v>24</v>
      </c>
      <c r="H912" s="5" t="s">
        <v>2386</v>
      </c>
      <c r="I912" s="5">
        <v>20609.740000000002</v>
      </c>
      <c r="J912" s="5">
        <v>494633.73</v>
      </c>
      <c r="K912" s="5" t="s">
        <v>20</v>
      </c>
      <c r="L912" s="5" t="s">
        <v>249</v>
      </c>
      <c r="M912" s="5">
        <v>800</v>
      </c>
    </row>
    <row r="913" spans="1:13" x14ac:dyDescent="0.3">
      <c r="A913" s="4" t="s">
        <v>2387</v>
      </c>
      <c r="B913" s="4" t="s">
        <v>1789</v>
      </c>
      <c r="C913" s="4">
        <v>46</v>
      </c>
      <c r="D913" s="4" t="s">
        <v>27</v>
      </c>
      <c r="E913" s="4">
        <v>660000</v>
      </c>
      <c r="F913" s="3">
        <v>0.125</v>
      </c>
      <c r="G913" s="4">
        <v>120</v>
      </c>
      <c r="H913" s="4" t="s">
        <v>708</v>
      </c>
      <c r="I913" s="4">
        <v>9660.83</v>
      </c>
      <c r="J913" s="4">
        <v>1159299.26</v>
      </c>
      <c r="K913" s="4" t="s">
        <v>16</v>
      </c>
      <c r="L913" s="4" t="s">
        <v>68</v>
      </c>
      <c r="M913" s="4">
        <v>848</v>
      </c>
    </row>
    <row r="914" spans="1:13" x14ac:dyDescent="0.3">
      <c r="A914" s="5" t="s">
        <v>2388</v>
      </c>
      <c r="B914" s="5" t="s">
        <v>1160</v>
      </c>
      <c r="C914" s="5">
        <v>24</v>
      </c>
      <c r="D914" s="5" t="s">
        <v>23</v>
      </c>
      <c r="E914" s="5">
        <v>1140000</v>
      </c>
      <c r="F914" s="35">
        <v>0.11</v>
      </c>
      <c r="G914" s="5">
        <v>84</v>
      </c>
      <c r="H914" s="5" t="s">
        <v>2389</v>
      </c>
      <c r="I914" s="5">
        <v>19519.580000000002</v>
      </c>
      <c r="J914" s="5">
        <v>1639644.51</v>
      </c>
      <c r="K914" s="5" t="s">
        <v>60</v>
      </c>
      <c r="L914" s="5" t="s">
        <v>205</v>
      </c>
      <c r="M914" s="5">
        <v>675</v>
      </c>
    </row>
    <row r="915" spans="1:13" x14ac:dyDescent="0.3">
      <c r="A915" s="4" t="s">
        <v>2390</v>
      </c>
      <c r="B915" s="4" t="s">
        <v>2391</v>
      </c>
      <c r="C915" s="4">
        <v>39</v>
      </c>
      <c r="D915" s="4" t="s">
        <v>15</v>
      </c>
      <c r="E915" s="4">
        <v>1480000</v>
      </c>
      <c r="F915" s="3">
        <v>0.125</v>
      </c>
      <c r="G915" s="4">
        <v>24</v>
      </c>
      <c r="H915" s="4" t="s">
        <v>2392</v>
      </c>
      <c r="I915" s="4">
        <v>70014.820000000007</v>
      </c>
      <c r="J915" s="4">
        <v>1680355.59</v>
      </c>
      <c r="K915" s="4" t="s">
        <v>20</v>
      </c>
      <c r="L915" s="4" t="s">
        <v>108</v>
      </c>
      <c r="M915" s="4">
        <v>766</v>
      </c>
    </row>
    <row r="916" spans="1:13" x14ac:dyDescent="0.3">
      <c r="A916" s="5" t="s">
        <v>2393</v>
      </c>
      <c r="B916" s="5" t="s">
        <v>596</v>
      </c>
      <c r="C916" s="5">
        <v>40</v>
      </c>
      <c r="D916" s="5" t="s">
        <v>27</v>
      </c>
      <c r="E916" s="5">
        <v>780000</v>
      </c>
      <c r="F916" s="35">
        <v>0.1</v>
      </c>
      <c r="G916" s="5">
        <v>240</v>
      </c>
      <c r="H916" s="5" t="s">
        <v>2394</v>
      </c>
      <c r="I916" s="5">
        <v>7527.17</v>
      </c>
      <c r="J916" s="5">
        <v>1806520.52</v>
      </c>
      <c r="K916" s="5" t="s">
        <v>20</v>
      </c>
      <c r="L916" s="5" t="s">
        <v>316</v>
      </c>
      <c r="M916" s="5">
        <v>855</v>
      </c>
    </row>
    <row r="917" spans="1:13" x14ac:dyDescent="0.3">
      <c r="A917" s="4" t="s">
        <v>2395</v>
      </c>
      <c r="B917" s="4" t="s">
        <v>881</v>
      </c>
      <c r="C917" s="4">
        <v>53</v>
      </c>
      <c r="D917" s="4" t="s">
        <v>42</v>
      </c>
      <c r="E917" s="4">
        <v>640000</v>
      </c>
      <c r="F917" s="3">
        <v>0.115</v>
      </c>
      <c r="G917" s="4">
        <v>36</v>
      </c>
      <c r="H917" s="4" t="s">
        <v>2396</v>
      </c>
      <c r="I917" s="4">
        <v>21104.639999999999</v>
      </c>
      <c r="J917" s="4">
        <v>759767.19</v>
      </c>
      <c r="K917" s="4" t="s">
        <v>16</v>
      </c>
      <c r="L917" s="4" t="s">
        <v>132</v>
      </c>
      <c r="M917" s="4">
        <v>834</v>
      </c>
    </row>
    <row r="918" spans="1:13" x14ac:dyDescent="0.3">
      <c r="A918" s="5" t="s">
        <v>2397</v>
      </c>
      <c r="B918" s="5" t="s">
        <v>2398</v>
      </c>
      <c r="C918" s="5">
        <v>40</v>
      </c>
      <c r="D918" s="5" t="s">
        <v>23</v>
      </c>
      <c r="E918" s="5">
        <v>8380000</v>
      </c>
      <c r="F918" s="35">
        <v>9.5000000000000001E-2</v>
      </c>
      <c r="G918" s="5">
        <v>180</v>
      </c>
      <c r="H918" s="5" t="s">
        <v>2399</v>
      </c>
      <c r="I918" s="5">
        <v>87506.03</v>
      </c>
      <c r="J918" s="5">
        <v>15751085.119999999</v>
      </c>
      <c r="K918" s="5" t="s">
        <v>312</v>
      </c>
      <c r="L918" s="5" t="s">
        <v>143</v>
      </c>
      <c r="M918" s="5">
        <v>734</v>
      </c>
    </row>
    <row r="919" spans="1:13" x14ac:dyDescent="0.3">
      <c r="A919" s="4" t="s">
        <v>2400</v>
      </c>
      <c r="B919" s="4" t="s">
        <v>2401</v>
      </c>
      <c r="C919" s="4">
        <v>32</v>
      </c>
      <c r="D919" s="4" t="s">
        <v>42</v>
      </c>
      <c r="E919" s="4">
        <v>1040000</v>
      </c>
      <c r="F919" s="3">
        <v>8.5000000000000006E-2</v>
      </c>
      <c r="G919" s="4">
        <v>84</v>
      </c>
      <c r="H919" s="4" t="s">
        <v>503</v>
      </c>
      <c r="I919" s="4">
        <v>16469.939999999999</v>
      </c>
      <c r="J919" s="4">
        <v>1383475.37</v>
      </c>
      <c r="K919" s="4" t="s">
        <v>20</v>
      </c>
      <c r="L919" s="4" t="s">
        <v>108</v>
      </c>
      <c r="M919" s="4">
        <v>588</v>
      </c>
    </row>
    <row r="920" spans="1:13" x14ac:dyDescent="0.3">
      <c r="A920" s="5" t="s">
        <v>2402</v>
      </c>
      <c r="B920" s="5" t="s">
        <v>1311</v>
      </c>
      <c r="C920" s="5">
        <v>21</v>
      </c>
      <c r="D920" s="5" t="s">
        <v>18</v>
      </c>
      <c r="E920" s="5">
        <v>1720000</v>
      </c>
      <c r="F920" s="35">
        <v>0.125</v>
      </c>
      <c r="G920" s="5">
        <v>84</v>
      </c>
      <c r="H920" s="5" t="s">
        <v>2403</v>
      </c>
      <c r="I920" s="5">
        <v>30824.53</v>
      </c>
      <c r="J920" s="5">
        <v>2589260.5299999998</v>
      </c>
      <c r="K920" s="5" t="s">
        <v>16</v>
      </c>
      <c r="L920" s="5" t="s">
        <v>29</v>
      </c>
      <c r="M920" s="5">
        <v>772</v>
      </c>
    </row>
    <row r="921" spans="1:13" x14ac:dyDescent="0.3">
      <c r="A921" s="4" t="s">
        <v>2404</v>
      </c>
      <c r="B921" s="4" t="s">
        <v>2405</v>
      </c>
      <c r="C921" s="4">
        <v>46</v>
      </c>
      <c r="D921" s="4" t="s">
        <v>27</v>
      </c>
      <c r="E921" s="4">
        <v>320000</v>
      </c>
      <c r="F921" s="3">
        <v>0.115</v>
      </c>
      <c r="G921" s="4">
        <v>48</v>
      </c>
      <c r="H921" s="4" t="s">
        <v>2313</v>
      </c>
      <c r="I921" s="4">
        <v>8348.48</v>
      </c>
      <c r="J921" s="4">
        <v>400727.18</v>
      </c>
      <c r="K921" s="4" t="s">
        <v>16</v>
      </c>
      <c r="L921" s="4" t="s">
        <v>222</v>
      </c>
      <c r="M921" s="4">
        <v>733</v>
      </c>
    </row>
    <row r="922" spans="1:13" x14ac:dyDescent="0.3">
      <c r="A922" s="5" t="s">
        <v>2406</v>
      </c>
      <c r="B922" s="5" t="s">
        <v>2407</v>
      </c>
      <c r="C922" s="5">
        <v>34</v>
      </c>
      <c r="D922" s="5" t="s">
        <v>27</v>
      </c>
      <c r="E922" s="5">
        <v>760000</v>
      </c>
      <c r="F922" s="35">
        <v>8.5000000000000006E-2</v>
      </c>
      <c r="G922" s="5">
        <v>60</v>
      </c>
      <c r="H922" s="5" t="s">
        <v>1303</v>
      </c>
      <c r="I922" s="5">
        <v>15592.56</v>
      </c>
      <c r="J922" s="5">
        <v>935553.83</v>
      </c>
      <c r="K922" s="5" t="s">
        <v>16</v>
      </c>
      <c r="L922" s="5" t="s">
        <v>191</v>
      </c>
      <c r="M922" s="5">
        <v>727</v>
      </c>
    </row>
    <row r="923" spans="1:13" x14ac:dyDescent="0.3">
      <c r="A923" s="4" t="s">
        <v>2408</v>
      </c>
      <c r="B923" s="4" t="s">
        <v>1415</v>
      </c>
      <c r="C923" s="4">
        <v>58</v>
      </c>
      <c r="D923" s="4" t="s">
        <v>27</v>
      </c>
      <c r="E923" s="4">
        <v>880000</v>
      </c>
      <c r="F923" s="3">
        <v>9.5000000000000001E-2</v>
      </c>
      <c r="G923" s="4">
        <v>36</v>
      </c>
      <c r="H923" s="4" t="s">
        <v>603</v>
      </c>
      <c r="I923" s="4">
        <v>28189</v>
      </c>
      <c r="J923" s="4">
        <v>1014803.85</v>
      </c>
      <c r="K923" s="4" t="s">
        <v>20</v>
      </c>
      <c r="L923" s="4" t="s">
        <v>75</v>
      </c>
      <c r="M923" s="4">
        <v>843</v>
      </c>
    </row>
    <row r="924" spans="1:13" x14ac:dyDescent="0.3">
      <c r="A924" s="5" t="s">
        <v>2409</v>
      </c>
      <c r="B924" s="5" t="s">
        <v>920</v>
      </c>
      <c r="C924" s="5">
        <v>57</v>
      </c>
      <c r="D924" s="5" t="s">
        <v>37</v>
      </c>
      <c r="E924" s="5">
        <v>1770000</v>
      </c>
      <c r="F924" s="35">
        <v>0.08</v>
      </c>
      <c r="G924" s="5">
        <v>48</v>
      </c>
      <c r="H924" s="5" t="s">
        <v>2410</v>
      </c>
      <c r="I924" s="5">
        <v>43210.87</v>
      </c>
      <c r="J924" s="5">
        <v>2074121.88</v>
      </c>
      <c r="K924" s="5" t="s">
        <v>16</v>
      </c>
      <c r="L924" s="5" t="s">
        <v>155</v>
      </c>
      <c r="M924" s="5">
        <v>889</v>
      </c>
    </row>
    <row r="925" spans="1:13" x14ac:dyDescent="0.3">
      <c r="A925" s="4" t="s">
        <v>2411</v>
      </c>
      <c r="B925" s="4" t="s">
        <v>2412</v>
      </c>
      <c r="C925" s="4">
        <v>31</v>
      </c>
      <c r="D925" s="4" t="s">
        <v>32</v>
      </c>
      <c r="E925" s="4">
        <v>270000</v>
      </c>
      <c r="F925" s="3">
        <v>0.11</v>
      </c>
      <c r="G925" s="4">
        <v>180</v>
      </c>
      <c r="H925" s="4" t="s">
        <v>2413</v>
      </c>
      <c r="I925" s="4">
        <v>3068.81</v>
      </c>
      <c r="J925" s="4">
        <v>552386.11</v>
      </c>
      <c r="K925" s="4" t="s">
        <v>16</v>
      </c>
      <c r="L925" s="4" t="s">
        <v>25</v>
      </c>
      <c r="M925" s="4">
        <v>700</v>
      </c>
    </row>
    <row r="926" spans="1:13" x14ac:dyDescent="0.3">
      <c r="A926" s="5" t="s">
        <v>2414</v>
      </c>
      <c r="B926" s="5" t="s">
        <v>1015</v>
      </c>
      <c r="C926" s="5">
        <v>56</v>
      </c>
      <c r="D926" s="5" t="s">
        <v>37</v>
      </c>
      <c r="E926" s="5">
        <v>4210000</v>
      </c>
      <c r="F926" s="35">
        <v>8.5000000000000006E-2</v>
      </c>
      <c r="G926" s="5">
        <v>48</v>
      </c>
      <c r="H926" s="5" t="s">
        <v>2415</v>
      </c>
      <c r="I926" s="5">
        <v>103769.36</v>
      </c>
      <c r="J926" s="5">
        <v>4980929.1399999997</v>
      </c>
      <c r="K926" s="5" t="s">
        <v>60</v>
      </c>
      <c r="L926" s="5" t="s">
        <v>159</v>
      </c>
      <c r="M926" s="5">
        <v>675</v>
      </c>
    </row>
    <row r="927" spans="1:13" x14ac:dyDescent="0.3">
      <c r="A927" s="4" t="s">
        <v>2416</v>
      </c>
      <c r="B927" s="4" t="s">
        <v>1001</v>
      </c>
      <c r="C927" s="4">
        <v>33</v>
      </c>
      <c r="D927" s="4" t="s">
        <v>15</v>
      </c>
      <c r="E927" s="4">
        <v>660000</v>
      </c>
      <c r="F927" s="3">
        <v>0.13</v>
      </c>
      <c r="G927" s="4">
        <v>48</v>
      </c>
      <c r="H927" s="4" t="s">
        <v>2417</v>
      </c>
      <c r="I927" s="4">
        <v>17706.150000000001</v>
      </c>
      <c r="J927" s="4">
        <v>849895.07</v>
      </c>
      <c r="K927" s="4" t="s">
        <v>16</v>
      </c>
      <c r="L927" s="4" t="s">
        <v>136</v>
      </c>
      <c r="M927" s="4">
        <v>850</v>
      </c>
    </row>
    <row r="928" spans="1:13" x14ac:dyDescent="0.3">
      <c r="A928" s="5" t="s">
        <v>2418</v>
      </c>
      <c r="B928" s="5" t="s">
        <v>2419</v>
      </c>
      <c r="C928" s="5">
        <v>63</v>
      </c>
      <c r="D928" s="5" t="s">
        <v>27</v>
      </c>
      <c r="E928" s="5">
        <v>190000</v>
      </c>
      <c r="F928" s="35">
        <v>9.5000000000000001E-2</v>
      </c>
      <c r="G928" s="5">
        <v>48</v>
      </c>
      <c r="H928" s="5" t="s">
        <v>2420</v>
      </c>
      <c r="I928" s="5">
        <v>4773.3999999999996</v>
      </c>
      <c r="J928" s="5">
        <v>229123.01</v>
      </c>
      <c r="K928" s="5" t="s">
        <v>60</v>
      </c>
      <c r="L928" s="5" t="s">
        <v>187</v>
      </c>
      <c r="M928" s="5">
        <v>857</v>
      </c>
    </row>
    <row r="929" spans="1:13" x14ac:dyDescent="0.3">
      <c r="A929" s="4" t="s">
        <v>2421</v>
      </c>
      <c r="B929" s="4" t="s">
        <v>1547</v>
      </c>
      <c r="C929" s="4">
        <v>23</v>
      </c>
      <c r="D929" s="4" t="s">
        <v>32</v>
      </c>
      <c r="E929" s="4">
        <v>100000</v>
      </c>
      <c r="F929" s="3">
        <v>0.13</v>
      </c>
      <c r="G929" s="4">
        <v>60</v>
      </c>
      <c r="H929" s="4" t="s">
        <v>2422</v>
      </c>
      <c r="I929" s="4">
        <v>2275.31</v>
      </c>
      <c r="J929" s="4">
        <v>136518.44</v>
      </c>
      <c r="K929" s="4" t="s">
        <v>20</v>
      </c>
      <c r="L929" s="4" t="s">
        <v>29</v>
      </c>
      <c r="M929" s="4">
        <v>885</v>
      </c>
    </row>
    <row r="930" spans="1:13" x14ac:dyDescent="0.3">
      <c r="A930" s="5" t="s">
        <v>2423</v>
      </c>
      <c r="B930" s="5" t="s">
        <v>2424</v>
      </c>
      <c r="C930" s="5">
        <v>53</v>
      </c>
      <c r="D930" s="5" t="s">
        <v>27</v>
      </c>
      <c r="E930" s="5">
        <v>250000</v>
      </c>
      <c r="F930" s="35">
        <v>0.115</v>
      </c>
      <c r="G930" s="5">
        <v>48</v>
      </c>
      <c r="H930" s="5" t="s">
        <v>2425</v>
      </c>
      <c r="I930" s="5">
        <v>6522.25</v>
      </c>
      <c r="J930" s="5">
        <v>313068.11</v>
      </c>
      <c r="K930" s="5" t="s">
        <v>16</v>
      </c>
      <c r="L930" s="5" t="s">
        <v>48</v>
      </c>
      <c r="M930" s="5">
        <v>783</v>
      </c>
    </row>
    <row r="931" spans="1:13" x14ac:dyDescent="0.3">
      <c r="A931" s="4" t="s">
        <v>2426</v>
      </c>
      <c r="B931" s="4" t="s">
        <v>2427</v>
      </c>
      <c r="C931" s="4">
        <v>26</v>
      </c>
      <c r="D931" s="4" t="s">
        <v>32</v>
      </c>
      <c r="E931" s="4">
        <v>440000</v>
      </c>
      <c r="F931" s="3">
        <v>8.5000000000000006E-2</v>
      </c>
      <c r="G931" s="4">
        <v>48</v>
      </c>
      <c r="H931" s="4" t="s">
        <v>2428</v>
      </c>
      <c r="I931" s="4">
        <v>10845.25</v>
      </c>
      <c r="J931" s="4">
        <v>520572.17</v>
      </c>
      <c r="K931" s="4" t="s">
        <v>16</v>
      </c>
      <c r="L931" s="4" t="s">
        <v>222</v>
      </c>
      <c r="M931" s="4">
        <v>557</v>
      </c>
    </row>
    <row r="932" spans="1:13" x14ac:dyDescent="0.3">
      <c r="A932" s="5" t="s">
        <v>2429</v>
      </c>
      <c r="B932" s="5" t="s">
        <v>608</v>
      </c>
      <c r="C932" s="5">
        <v>30</v>
      </c>
      <c r="D932" s="5" t="s">
        <v>23</v>
      </c>
      <c r="E932" s="5">
        <v>3070000</v>
      </c>
      <c r="F932" s="35">
        <v>0.125</v>
      </c>
      <c r="G932" s="5">
        <v>48</v>
      </c>
      <c r="H932" s="5" t="s">
        <v>2430</v>
      </c>
      <c r="I932" s="5">
        <v>81600.600000000006</v>
      </c>
      <c r="J932" s="5">
        <v>3916828.64</v>
      </c>
      <c r="K932" s="5" t="s">
        <v>20</v>
      </c>
      <c r="L932" s="5" t="s">
        <v>151</v>
      </c>
      <c r="M932" s="5">
        <v>890</v>
      </c>
    </row>
    <row r="933" spans="1:13" x14ac:dyDescent="0.3">
      <c r="A933" s="4" t="s">
        <v>2431</v>
      </c>
      <c r="B933" s="4" t="s">
        <v>1882</v>
      </c>
      <c r="C933" s="4">
        <v>25</v>
      </c>
      <c r="D933" s="4" t="s">
        <v>15</v>
      </c>
      <c r="E933" s="4">
        <v>1440000</v>
      </c>
      <c r="F933" s="3">
        <v>0.1</v>
      </c>
      <c r="G933" s="4">
        <v>48</v>
      </c>
      <c r="H933" s="4" t="s">
        <v>2432</v>
      </c>
      <c r="I933" s="4">
        <v>36522.120000000003</v>
      </c>
      <c r="J933" s="4">
        <v>1753061.77</v>
      </c>
      <c r="K933" s="4" t="s">
        <v>16</v>
      </c>
      <c r="L933" s="4" t="s">
        <v>159</v>
      </c>
      <c r="M933" s="4">
        <v>678</v>
      </c>
    </row>
    <row r="934" spans="1:13" x14ac:dyDescent="0.3">
      <c r="A934" s="5" t="s">
        <v>2433</v>
      </c>
      <c r="B934" s="5" t="s">
        <v>2424</v>
      </c>
      <c r="C934" s="5">
        <v>43</v>
      </c>
      <c r="D934" s="5" t="s">
        <v>32</v>
      </c>
      <c r="E934" s="5">
        <v>430000</v>
      </c>
      <c r="F934" s="35">
        <v>0.125</v>
      </c>
      <c r="G934" s="5">
        <v>84</v>
      </c>
      <c r="H934" s="5" t="s">
        <v>2434</v>
      </c>
      <c r="I934" s="5">
        <v>7706.13</v>
      </c>
      <c r="J934" s="5">
        <v>647315.13</v>
      </c>
      <c r="K934" s="5" t="s">
        <v>20</v>
      </c>
      <c r="L934" s="5" t="s">
        <v>68</v>
      </c>
      <c r="M934" s="5">
        <v>813</v>
      </c>
    </row>
    <row r="935" spans="1:13" x14ac:dyDescent="0.3">
      <c r="A935" s="4" t="s">
        <v>2435</v>
      </c>
      <c r="B935" s="4" t="s">
        <v>149</v>
      </c>
      <c r="C935" s="4">
        <v>30</v>
      </c>
      <c r="D935" s="4" t="s">
        <v>15</v>
      </c>
      <c r="E935" s="4">
        <v>1010000</v>
      </c>
      <c r="F935" s="3">
        <v>0.08</v>
      </c>
      <c r="G935" s="4">
        <v>36</v>
      </c>
      <c r="H935" s="4" t="s">
        <v>2436</v>
      </c>
      <c r="I935" s="4">
        <v>31649.73</v>
      </c>
      <c r="J935" s="4">
        <v>1139390.25</v>
      </c>
      <c r="K935" s="4" t="s">
        <v>20</v>
      </c>
      <c r="L935" s="4" t="s">
        <v>155</v>
      </c>
      <c r="M935" s="4">
        <v>706</v>
      </c>
    </row>
    <row r="936" spans="1:13" x14ac:dyDescent="0.3">
      <c r="A936" s="5" t="s">
        <v>2437</v>
      </c>
      <c r="B936" s="5" t="s">
        <v>1530</v>
      </c>
      <c r="C936" s="5">
        <v>64</v>
      </c>
      <c r="D936" s="5" t="s">
        <v>42</v>
      </c>
      <c r="E936" s="5">
        <v>1040000</v>
      </c>
      <c r="F936" s="35">
        <v>0.09</v>
      </c>
      <c r="G936" s="5">
        <v>24</v>
      </c>
      <c r="H936" s="5" t="s">
        <v>2438</v>
      </c>
      <c r="I936" s="5">
        <v>47512.13</v>
      </c>
      <c r="J936" s="5">
        <v>1140291.17</v>
      </c>
      <c r="K936" s="5" t="s">
        <v>20</v>
      </c>
      <c r="L936" s="5" t="s">
        <v>222</v>
      </c>
      <c r="M936" s="5">
        <v>554</v>
      </c>
    </row>
    <row r="937" spans="1:13" x14ac:dyDescent="0.3">
      <c r="A937" s="4" t="s">
        <v>2439</v>
      </c>
      <c r="B937" s="4" t="s">
        <v>823</v>
      </c>
      <c r="C937" s="4">
        <v>22</v>
      </c>
      <c r="D937" s="4" t="s">
        <v>27</v>
      </c>
      <c r="E937" s="4">
        <v>550000</v>
      </c>
      <c r="F937" s="3">
        <v>0.1</v>
      </c>
      <c r="G937" s="4">
        <v>24</v>
      </c>
      <c r="H937" s="4" t="s">
        <v>1870</v>
      </c>
      <c r="I937" s="4">
        <v>25379.71</v>
      </c>
      <c r="J937" s="4">
        <v>609113.03</v>
      </c>
      <c r="K937" s="4" t="s">
        <v>16</v>
      </c>
      <c r="L937" s="4" t="s">
        <v>48</v>
      </c>
      <c r="M937" s="4">
        <v>635</v>
      </c>
    </row>
    <row r="938" spans="1:13" x14ac:dyDescent="0.3">
      <c r="A938" s="5" t="s">
        <v>2440</v>
      </c>
      <c r="B938" s="5" t="s">
        <v>1977</v>
      </c>
      <c r="C938" s="5">
        <v>33</v>
      </c>
      <c r="D938" s="5" t="s">
        <v>23</v>
      </c>
      <c r="E938" s="5">
        <v>6280000</v>
      </c>
      <c r="F938" s="35">
        <v>0.09</v>
      </c>
      <c r="G938" s="5">
        <v>24</v>
      </c>
      <c r="H938" s="5" t="s">
        <v>1054</v>
      </c>
      <c r="I938" s="5">
        <v>286900.18</v>
      </c>
      <c r="J938" s="5">
        <v>6885604.3600000003</v>
      </c>
      <c r="K938" s="5" t="s">
        <v>16</v>
      </c>
      <c r="L938" s="5" t="s">
        <v>86</v>
      </c>
      <c r="M938" s="5">
        <v>724</v>
      </c>
    </row>
    <row r="939" spans="1:13" x14ac:dyDescent="0.3">
      <c r="A939" s="4" t="s">
        <v>2441</v>
      </c>
      <c r="B939" s="4" t="s">
        <v>404</v>
      </c>
      <c r="C939" s="4">
        <v>60</v>
      </c>
      <c r="D939" s="4" t="s">
        <v>42</v>
      </c>
      <c r="E939" s="4">
        <v>590000</v>
      </c>
      <c r="F939" s="3">
        <v>0.13</v>
      </c>
      <c r="G939" s="4">
        <v>180</v>
      </c>
      <c r="H939" s="4" t="s">
        <v>2442</v>
      </c>
      <c r="I939" s="4">
        <v>7464.93</v>
      </c>
      <c r="J939" s="4">
        <v>1343687.18</v>
      </c>
      <c r="K939" s="4" t="s">
        <v>16</v>
      </c>
      <c r="L939" s="4" t="s">
        <v>29</v>
      </c>
      <c r="M939" s="4">
        <v>839</v>
      </c>
    </row>
    <row r="940" spans="1:13" x14ac:dyDescent="0.3">
      <c r="A940" s="5" t="s">
        <v>2443</v>
      </c>
      <c r="B940" s="5" t="s">
        <v>2444</v>
      </c>
      <c r="C940" s="5">
        <v>22</v>
      </c>
      <c r="D940" s="5" t="s">
        <v>32</v>
      </c>
      <c r="E940" s="5">
        <v>180000</v>
      </c>
      <c r="F940" s="35">
        <v>9.5000000000000001E-2</v>
      </c>
      <c r="G940" s="5">
        <v>12</v>
      </c>
      <c r="H940" s="5" t="s">
        <v>2445</v>
      </c>
      <c r="I940" s="5">
        <v>15783.03</v>
      </c>
      <c r="J940" s="5">
        <v>189396.39</v>
      </c>
      <c r="K940" s="5" t="s">
        <v>20</v>
      </c>
      <c r="L940" s="5" t="s">
        <v>48</v>
      </c>
      <c r="M940" s="5">
        <v>742</v>
      </c>
    </row>
    <row r="941" spans="1:13" x14ac:dyDescent="0.3">
      <c r="A941" s="4" t="s">
        <v>2446</v>
      </c>
      <c r="B941" s="4" t="s">
        <v>1415</v>
      </c>
      <c r="C941" s="4">
        <v>40</v>
      </c>
      <c r="D941" s="4" t="s">
        <v>37</v>
      </c>
      <c r="E941" s="4">
        <v>2820000</v>
      </c>
      <c r="F941" s="3">
        <v>0.105</v>
      </c>
      <c r="G941" s="4">
        <v>240</v>
      </c>
      <c r="H941" s="4" t="s">
        <v>2447</v>
      </c>
      <c r="I941" s="4">
        <v>28154.31</v>
      </c>
      <c r="J941" s="4">
        <v>6757035.0800000001</v>
      </c>
      <c r="K941" s="4" t="s">
        <v>16</v>
      </c>
      <c r="L941" s="4" t="s">
        <v>39</v>
      </c>
      <c r="M941" s="4">
        <v>860</v>
      </c>
    </row>
    <row r="942" spans="1:13" x14ac:dyDescent="0.3">
      <c r="A942" s="5" t="s">
        <v>2448</v>
      </c>
      <c r="B942" s="5" t="s">
        <v>1347</v>
      </c>
      <c r="C942" s="5">
        <v>21</v>
      </c>
      <c r="D942" s="5" t="s">
        <v>32</v>
      </c>
      <c r="E942" s="5">
        <v>390000</v>
      </c>
      <c r="F942" s="35">
        <v>0.1</v>
      </c>
      <c r="G942" s="5">
        <v>12</v>
      </c>
      <c r="H942" s="5" t="s">
        <v>2449</v>
      </c>
      <c r="I942" s="5">
        <v>34287.199999999997</v>
      </c>
      <c r="J942" s="5">
        <v>411446.35</v>
      </c>
      <c r="K942" s="5" t="s">
        <v>16</v>
      </c>
      <c r="L942" s="5" t="s">
        <v>56</v>
      </c>
      <c r="M942" s="5">
        <v>668</v>
      </c>
    </row>
    <row r="943" spans="1:13" x14ac:dyDescent="0.3">
      <c r="A943" s="4" t="s">
        <v>2450</v>
      </c>
      <c r="B943" s="4" t="s">
        <v>1475</v>
      </c>
      <c r="C943" s="4">
        <v>57</v>
      </c>
      <c r="D943" s="4" t="s">
        <v>18</v>
      </c>
      <c r="E943" s="4">
        <v>380000</v>
      </c>
      <c r="F943" s="3">
        <v>0.1</v>
      </c>
      <c r="G943" s="4">
        <v>180</v>
      </c>
      <c r="H943" s="4" t="s">
        <v>2169</v>
      </c>
      <c r="I943" s="4">
        <v>4083.5</v>
      </c>
      <c r="J943" s="4">
        <v>735029.9</v>
      </c>
      <c r="K943" s="4" t="s">
        <v>16</v>
      </c>
      <c r="L943" s="4" t="s">
        <v>226</v>
      </c>
      <c r="M943" s="4">
        <v>767</v>
      </c>
    </row>
    <row r="944" spans="1:13" x14ac:dyDescent="0.3">
      <c r="A944" s="5" t="s">
        <v>2451</v>
      </c>
      <c r="B944" s="5" t="s">
        <v>2452</v>
      </c>
      <c r="C944" s="5">
        <v>29</v>
      </c>
      <c r="D944" s="5" t="s">
        <v>27</v>
      </c>
      <c r="E944" s="5">
        <v>360000</v>
      </c>
      <c r="F944" s="35">
        <v>9.5000000000000001E-2</v>
      </c>
      <c r="G944" s="5">
        <v>84</v>
      </c>
      <c r="H944" s="5" t="s">
        <v>2453</v>
      </c>
      <c r="I944" s="5">
        <v>5883.83</v>
      </c>
      <c r="J944" s="5">
        <v>494242.01</v>
      </c>
      <c r="K944" s="5" t="s">
        <v>312</v>
      </c>
      <c r="L944" s="5" t="s">
        <v>191</v>
      </c>
      <c r="M944" s="5">
        <v>663</v>
      </c>
    </row>
    <row r="945" spans="1:13" x14ac:dyDescent="0.3">
      <c r="A945" s="4" t="s">
        <v>2454</v>
      </c>
      <c r="B945" s="4" t="s">
        <v>2455</v>
      </c>
      <c r="C945" s="4">
        <v>37</v>
      </c>
      <c r="D945" s="4" t="s">
        <v>32</v>
      </c>
      <c r="E945" s="4">
        <v>340000</v>
      </c>
      <c r="F945" s="3">
        <v>0.12</v>
      </c>
      <c r="G945" s="4">
        <v>84</v>
      </c>
      <c r="H945" s="4" t="s">
        <v>2456</v>
      </c>
      <c r="I945" s="4">
        <v>6001.93</v>
      </c>
      <c r="J945" s="4">
        <v>504162.05</v>
      </c>
      <c r="K945" s="4" t="s">
        <v>20</v>
      </c>
      <c r="L945" s="4" t="s">
        <v>187</v>
      </c>
      <c r="M945" s="4">
        <v>694</v>
      </c>
    </row>
    <row r="946" spans="1:13" x14ac:dyDescent="0.3">
      <c r="A946" s="5" t="s">
        <v>2457</v>
      </c>
      <c r="B946" s="5" t="s">
        <v>2458</v>
      </c>
      <c r="C946" s="5">
        <v>29</v>
      </c>
      <c r="D946" s="5" t="s">
        <v>15</v>
      </c>
      <c r="E946" s="5">
        <v>1460000</v>
      </c>
      <c r="F946" s="35">
        <v>9.5000000000000001E-2</v>
      </c>
      <c r="G946" s="5">
        <v>180</v>
      </c>
      <c r="H946" s="5" t="s">
        <v>2459</v>
      </c>
      <c r="I946" s="5">
        <v>15245.68</v>
      </c>
      <c r="J946" s="5">
        <v>2744222.47</v>
      </c>
      <c r="K946" s="5" t="s">
        <v>16</v>
      </c>
      <c r="L946" s="5" t="s">
        <v>143</v>
      </c>
      <c r="M946" s="5">
        <v>575</v>
      </c>
    </row>
    <row r="947" spans="1:13" x14ac:dyDescent="0.3">
      <c r="A947" s="4" t="s">
        <v>2460</v>
      </c>
      <c r="B947" s="4" t="s">
        <v>2461</v>
      </c>
      <c r="C947" s="4">
        <v>31</v>
      </c>
      <c r="D947" s="4" t="s">
        <v>32</v>
      </c>
      <c r="E947" s="4">
        <v>360000</v>
      </c>
      <c r="F947" s="3">
        <v>0.11</v>
      </c>
      <c r="G947" s="4">
        <v>60</v>
      </c>
      <c r="H947" s="4" t="s">
        <v>2462</v>
      </c>
      <c r="I947" s="4">
        <v>7827.27</v>
      </c>
      <c r="J947" s="4">
        <v>469636.34</v>
      </c>
      <c r="K947" s="4" t="s">
        <v>16</v>
      </c>
      <c r="L947" s="4" t="s">
        <v>29</v>
      </c>
      <c r="M947" s="4">
        <v>685</v>
      </c>
    </row>
    <row r="948" spans="1:13" x14ac:dyDescent="0.3">
      <c r="A948" s="5" t="s">
        <v>2463</v>
      </c>
      <c r="B948" s="5" t="s">
        <v>2464</v>
      </c>
      <c r="C948" s="5">
        <v>35</v>
      </c>
      <c r="D948" s="5" t="s">
        <v>27</v>
      </c>
      <c r="E948" s="5">
        <v>860000</v>
      </c>
      <c r="F948" s="35">
        <v>0.08</v>
      </c>
      <c r="G948" s="5">
        <v>180</v>
      </c>
      <c r="H948" s="5" t="s">
        <v>2465</v>
      </c>
      <c r="I948" s="5">
        <v>8218.61</v>
      </c>
      <c r="J948" s="5">
        <v>1479349.43</v>
      </c>
      <c r="K948" s="5" t="s">
        <v>16</v>
      </c>
      <c r="L948" s="5" t="s">
        <v>143</v>
      </c>
      <c r="M948" s="5">
        <v>852</v>
      </c>
    </row>
    <row r="949" spans="1:13" x14ac:dyDescent="0.3">
      <c r="A949" s="4" t="s">
        <v>2466</v>
      </c>
      <c r="B949" s="4" t="s">
        <v>2467</v>
      </c>
      <c r="C949" s="4">
        <v>44</v>
      </c>
      <c r="D949" s="4" t="s">
        <v>27</v>
      </c>
      <c r="E949" s="4">
        <v>740000</v>
      </c>
      <c r="F949" s="3">
        <v>0.11</v>
      </c>
      <c r="G949" s="4">
        <v>36</v>
      </c>
      <c r="H949" s="4" t="s">
        <v>2468</v>
      </c>
      <c r="I949" s="4">
        <v>24226.65</v>
      </c>
      <c r="J949" s="4">
        <v>872159.42</v>
      </c>
      <c r="K949" s="4" t="s">
        <v>16</v>
      </c>
      <c r="L949" s="4" t="s">
        <v>29</v>
      </c>
      <c r="M949" s="4">
        <v>781</v>
      </c>
    </row>
    <row r="950" spans="1:13" x14ac:dyDescent="0.3">
      <c r="A950" s="5" t="s">
        <v>2469</v>
      </c>
      <c r="B950" s="5" t="s">
        <v>1305</v>
      </c>
      <c r="C950" s="5">
        <v>58</v>
      </c>
      <c r="D950" s="5" t="s">
        <v>37</v>
      </c>
      <c r="E950" s="5">
        <v>2890000</v>
      </c>
      <c r="F950" s="35">
        <v>7.4999999999999997E-2</v>
      </c>
      <c r="G950" s="5">
        <v>240</v>
      </c>
      <c r="H950" s="5" t="s">
        <v>1953</v>
      </c>
      <c r="I950" s="5">
        <v>23281.64</v>
      </c>
      <c r="J950" s="5">
        <v>5587594.3899999997</v>
      </c>
      <c r="K950" s="5" t="s">
        <v>60</v>
      </c>
      <c r="L950" s="5" t="s">
        <v>39</v>
      </c>
      <c r="M950" s="5">
        <v>625</v>
      </c>
    </row>
    <row r="951" spans="1:13" x14ac:dyDescent="0.3">
      <c r="A951" s="4" t="s">
        <v>2470</v>
      </c>
      <c r="B951" s="4" t="s">
        <v>904</v>
      </c>
      <c r="C951" s="4">
        <v>55</v>
      </c>
      <c r="D951" s="4" t="s">
        <v>23</v>
      </c>
      <c r="E951" s="4">
        <v>1450000</v>
      </c>
      <c r="F951" s="3">
        <v>0.125</v>
      </c>
      <c r="G951" s="4">
        <v>60</v>
      </c>
      <c r="H951" s="4" t="s">
        <v>2471</v>
      </c>
      <c r="I951" s="4">
        <v>32622.01</v>
      </c>
      <c r="J951" s="4">
        <v>1957320.63</v>
      </c>
      <c r="K951" s="4" t="s">
        <v>20</v>
      </c>
      <c r="L951" s="4" t="s">
        <v>90</v>
      </c>
      <c r="M951" s="4">
        <v>877</v>
      </c>
    </row>
    <row r="952" spans="1:13" x14ac:dyDescent="0.3">
      <c r="A952" s="5" t="s">
        <v>2472</v>
      </c>
      <c r="B952" s="5" t="s">
        <v>2473</v>
      </c>
      <c r="C952" s="5">
        <v>50</v>
      </c>
      <c r="D952" s="5" t="s">
        <v>23</v>
      </c>
      <c r="E952" s="5">
        <v>6060000</v>
      </c>
      <c r="F952" s="35">
        <v>0.12</v>
      </c>
      <c r="G952" s="5">
        <v>120</v>
      </c>
      <c r="H952" s="5" t="s">
        <v>2474</v>
      </c>
      <c r="I952" s="5">
        <v>86943.39</v>
      </c>
      <c r="J952" s="5">
        <v>10433207.369999999</v>
      </c>
      <c r="K952" s="5" t="s">
        <v>16</v>
      </c>
      <c r="L952" s="5" t="s">
        <v>90</v>
      </c>
      <c r="M952" s="5">
        <v>894</v>
      </c>
    </row>
    <row r="953" spans="1:13" x14ac:dyDescent="0.3">
      <c r="A953" s="4" t="s">
        <v>2475</v>
      </c>
      <c r="B953" s="4" t="s">
        <v>2476</v>
      </c>
      <c r="C953" s="4">
        <v>51</v>
      </c>
      <c r="D953" s="4" t="s">
        <v>23</v>
      </c>
      <c r="E953" s="4">
        <v>4450000</v>
      </c>
      <c r="F953" s="3">
        <v>0.12</v>
      </c>
      <c r="G953" s="4">
        <v>48</v>
      </c>
      <c r="H953" s="4" t="s">
        <v>2477</v>
      </c>
      <c r="I953" s="4">
        <v>117185.57</v>
      </c>
      <c r="J953" s="4">
        <v>5624907.25</v>
      </c>
      <c r="K953" s="4" t="s">
        <v>312</v>
      </c>
      <c r="L953" s="4" t="s">
        <v>64</v>
      </c>
      <c r="M953" s="4">
        <v>851</v>
      </c>
    </row>
    <row r="954" spans="1:13" x14ac:dyDescent="0.3">
      <c r="A954" s="5" t="s">
        <v>2478</v>
      </c>
      <c r="B954" s="5" t="s">
        <v>167</v>
      </c>
      <c r="C954" s="5">
        <v>25</v>
      </c>
      <c r="D954" s="5" t="s">
        <v>42</v>
      </c>
      <c r="E954" s="5">
        <v>1390000</v>
      </c>
      <c r="F954" s="35">
        <v>0.12</v>
      </c>
      <c r="G954" s="5">
        <v>36</v>
      </c>
      <c r="H954" s="5" t="s">
        <v>2479</v>
      </c>
      <c r="I954" s="5">
        <v>46167.89</v>
      </c>
      <c r="J954" s="5">
        <v>1662044.06</v>
      </c>
      <c r="K954" s="5" t="s">
        <v>20</v>
      </c>
      <c r="L954" s="5" t="s">
        <v>155</v>
      </c>
      <c r="M954" s="5">
        <v>838</v>
      </c>
    </row>
    <row r="955" spans="1:13" x14ac:dyDescent="0.3">
      <c r="A955" s="4" t="s">
        <v>2480</v>
      </c>
      <c r="B955" s="4" t="s">
        <v>2481</v>
      </c>
      <c r="C955" s="4">
        <v>64</v>
      </c>
      <c r="D955" s="4" t="s">
        <v>23</v>
      </c>
      <c r="E955" s="4">
        <v>9550000</v>
      </c>
      <c r="F955" s="3">
        <v>0.08</v>
      </c>
      <c r="G955" s="4">
        <v>12</v>
      </c>
      <c r="H955" s="4" t="s">
        <v>2482</v>
      </c>
      <c r="I955" s="4">
        <v>830739.5</v>
      </c>
      <c r="J955" s="4">
        <v>9968873.9700000007</v>
      </c>
      <c r="K955" s="4" t="s">
        <v>20</v>
      </c>
      <c r="L955" s="4" t="s">
        <v>34</v>
      </c>
      <c r="M955" s="4">
        <v>550</v>
      </c>
    </row>
    <row r="956" spans="1:13" x14ac:dyDescent="0.3">
      <c r="A956" s="5" t="s">
        <v>2483</v>
      </c>
      <c r="B956" s="5" t="s">
        <v>2484</v>
      </c>
      <c r="C956" s="5">
        <v>34</v>
      </c>
      <c r="D956" s="5" t="s">
        <v>42</v>
      </c>
      <c r="E956" s="5">
        <v>700000</v>
      </c>
      <c r="F956" s="35">
        <v>0.11</v>
      </c>
      <c r="G956" s="5">
        <v>240</v>
      </c>
      <c r="H956" s="5" t="s">
        <v>67</v>
      </c>
      <c r="I956" s="5">
        <v>7225.32</v>
      </c>
      <c r="J956" s="5">
        <v>1734076.5</v>
      </c>
      <c r="K956" s="5" t="s">
        <v>20</v>
      </c>
      <c r="L956" s="5" t="s">
        <v>108</v>
      </c>
      <c r="M956" s="5">
        <v>696</v>
      </c>
    </row>
    <row r="957" spans="1:13" x14ac:dyDescent="0.3">
      <c r="A957" s="4" t="s">
        <v>2485</v>
      </c>
      <c r="B957" s="4" t="s">
        <v>1088</v>
      </c>
      <c r="C957" s="4">
        <v>31</v>
      </c>
      <c r="D957" s="4" t="s">
        <v>32</v>
      </c>
      <c r="E957" s="4">
        <v>440000</v>
      </c>
      <c r="F957" s="3">
        <v>0.09</v>
      </c>
      <c r="G957" s="4">
        <v>120</v>
      </c>
      <c r="H957" s="4" t="s">
        <v>1317</v>
      </c>
      <c r="I957" s="4">
        <v>5573.73</v>
      </c>
      <c r="J957" s="4">
        <v>668848.09</v>
      </c>
      <c r="K957" s="4" t="s">
        <v>16</v>
      </c>
      <c r="L957" s="4" t="s">
        <v>56</v>
      </c>
      <c r="M957" s="4">
        <v>836</v>
      </c>
    </row>
    <row r="958" spans="1:13" x14ac:dyDescent="0.3">
      <c r="A958" s="5" t="s">
        <v>2486</v>
      </c>
      <c r="B958" s="5" t="s">
        <v>2302</v>
      </c>
      <c r="C958" s="5">
        <v>29</v>
      </c>
      <c r="D958" s="5" t="s">
        <v>37</v>
      </c>
      <c r="E958" s="5">
        <v>3790000</v>
      </c>
      <c r="F958" s="35">
        <v>0.115</v>
      </c>
      <c r="G958" s="5">
        <v>180</v>
      </c>
      <c r="H958" s="5" t="s">
        <v>1129</v>
      </c>
      <c r="I958" s="5">
        <v>44274.39</v>
      </c>
      <c r="J958" s="5">
        <v>7969390.8799999999</v>
      </c>
      <c r="K958" s="5" t="s">
        <v>16</v>
      </c>
      <c r="L958" s="5" t="s">
        <v>132</v>
      </c>
      <c r="M958" s="5">
        <v>691</v>
      </c>
    </row>
    <row r="959" spans="1:13" x14ac:dyDescent="0.3">
      <c r="A959" s="4" t="s">
        <v>2487</v>
      </c>
      <c r="B959" s="4" t="s">
        <v>423</v>
      </c>
      <c r="C959" s="4">
        <v>54</v>
      </c>
      <c r="D959" s="4" t="s">
        <v>27</v>
      </c>
      <c r="E959" s="4">
        <v>410000</v>
      </c>
      <c r="F959" s="3">
        <v>0.08</v>
      </c>
      <c r="G959" s="4">
        <v>240</v>
      </c>
      <c r="H959" s="4" t="s">
        <v>2488</v>
      </c>
      <c r="I959" s="4">
        <v>3429.4</v>
      </c>
      <c r="J959" s="4">
        <v>823057.03</v>
      </c>
      <c r="K959" s="4" t="s">
        <v>16</v>
      </c>
      <c r="L959" s="4" t="s">
        <v>191</v>
      </c>
      <c r="M959" s="4">
        <v>602</v>
      </c>
    </row>
    <row r="960" spans="1:13" x14ac:dyDescent="0.3">
      <c r="A960" s="5" t="s">
        <v>2489</v>
      </c>
      <c r="B960" s="5" t="s">
        <v>96</v>
      </c>
      <c r="C960" s="5">
        <v>32</v>
      </c>
      <c r="D960" s="5" t="s">
        <v>42</v>
      </c>
      <c r="E960" s="5">
        <v>410000</v>
      </c>
      <c r="F960" s="35">
        <v>0.125</v>
      </c>
      <c r="G960" s="5">
        <v>12</v>
      </c>
      <c r="H960" s="5" t="s">
        <v>2490</v>
      </c>
      <c r="I960" s="5">
        <v>36523.97</v>
      </c>
      <c r="J960" s="5">
        <v>438287.68</v>
      </c>
      <c r="K960" s="5" t="s">
        <v>16</v>
      </c>
      <c r="L960" s="5" t="s">
        <v>94</v>
      </c>
      <c r="M960" s="5">
        <v>853</v>
      </c>
    </row>
    <row r="961" spans="1:13" x14ac:dyDescent="0.3">
      <c r="A961" s="4" t="s">
        <v>2491</v>
      </c>
      <c r="B961" s="4" t="s">
        <v>531</v>
      </c>
      <c r="C961" s="4">
        <v>55</v>
      </c>
      <c r="D961" s="4" t="s">
        <v>32</v>
      </c>
      <c r="E961" s="4">
        <v>460000</v>
      </c>
      <c r="F961" s="3">
        <v>0.105</v>
      </c>
      <c r="G961" s="4">
        <v>240</v>
      </c>
      <c r="H961" s="4" t="s">
        <v>2492</v>
      </c>
      <c r="I961" s="4">
        <v>4592.55</v>
      </c>
      <c r="J961" s="4">
        <v>1102211.3999999999</v>
      </c>
      <c r="K961" s="4" t="s">
        <v>16</v>
      </c>
      <c r="L961" s="4" t="s">
        <v>191</v>
      </c>
      <c r="M961" s="4">
        <v>618</v>
      </c>
    </row>
    <row r="962" spans="1:13" x14ac:dyDescent="0.3">
      <c r="A962" s="5" t="s">
        <v>2493</v>
      </c>
      <c r="B962" s="5" t="s">
        <v>2494</v>
      </c>
      <c r="C962" s="5">
        <v>55</v>
      </c>
      <c r="D962" s="5" t="s">
        <v>37</v>
      </c>
      <c r="E962" s="5">
        <v>2510000</v>
      </c>
      <c r="F962" s="35">
        <v>0.115</v>
      </c>
      <c r="G962" s="5">
        <v>84</v>
      </c>
      <c r="H962" s="5" t="s">
        <v>2495</v>
      </c>
      <c r="I962" s="5">
        <v>43640.02</v>
      </c>
      <c r="J962" s="5">
        <v>3665761.4</v>
      </c>
      <c r="K962" s="5" t="s">
        <v>16</v>
      </c>
      <c r="L962" s="5" t="s">
        <v>119</v>
      </c>
      <c r="M962" s="5">
        <v>639</v>
      </c>
    </row>
    <row r="963" spans="1:13" x14ac:dyDescent="0.3">
      <c r="A963" s="4" t="s">
        <v>2496</v>
      </c>
      <c r="B963" s="4" t="s">
        <v>240</v>
      </c>
      <c r="C963" s="4">
        <v>21</v>
      </c>
      <c r="D963" s="4" t="s">
        <v>42</v>
      </c>
      <c r="E963" s="4">
        <v>1340000</v>
      </c>
      <c r="F963" s="3">
        <v>9.5000000000000001E-2</v>
      </c>
      <c r="G963" s="4">
        <v>120</v>
      </c>
      <c r="H963" s="4" t="s">
        <v>2497</v>
      </c>
      <c r="I963" s="4">
        <v>17339.27</v>
      </c>
      <c r="J963" s="4">
        <v>2080712.73</v>
      </c>
      <c r="K963" s="4" t="s">
        <v>16</v>
      </c>
      <c r="L963" s="4" t="s">
        <v>44</v>
      </c>
      <c r="M963" s="4">
        <v>769</v>
      </c>
    </row>
    <row r="964" spans="1:13" x14ac:dyDescent="0.3">
      <c r="A964" s="5" t="s">
        <v>2498</v>
      </c>
      <c r="B964" s="5" t="s">
        <v>2499</v>
      </c>
      <c r="C964" s="5">
        <v>60</v>
      </c>
      <c r="D964" s="5" t="s">
        <v>18</v>
      </c>
      <c r="E964" s="5">
        <v>1010000</v>
      </c>
      <c r="F964" s="35">
        <v>0.105</v>
      </c>
      <c r="G964" s="5">
        <v>36</v>
      </c>
      <c r="H964" s="5" t="s">
        <v>2500</v>
      </c>
      <c r="I964" s="5">
        <v>32827.47</v>
      </c>
      <c r="J964" s="5">
        <v>1181788.8500000001</v>
      </c>
      <c r="K964" s="5" t="s">
        <v>20</v>
      </c>
      <c r="L964" s="5" t="s">
        <v>326</v>
      </c>
      <c r="M964" s="5">
        <v>741</v>
      </c>
    </row>
    <row r="965" spans="1:13" x14ac:dyDescent="0.3">
      <c r="A965" s="4" t="s">
        <v>2501</v>
      </c>
      <c r="B965" s="4" t="s">
        <v>2502</v>
      </c>
      <c r="C965" s="4">
        <v>42</v>
      </c>
      <c r="D965" s="4" t="s">
        <v>37</v>
      </c>
      <c r="E965" s="4">
        <v>1450000</v>
      </c>
      <c r="F965" s="3">
        <v>7.4999999999999997E-2</v>
      </c>
      <c r="G965" s="4">
        <v>180</v>
      </c>
      <c r="H965" s="4" t="s">
        <v>2503</v>
      </c>
      <c r="I965" s="4">
        <v>13441.68</v>
      </c>
      <c r="J965" s="4">
        <v>2419502.2599999998</v>
      </c>
      <c r="K965" s="4" t="s">
        <v>16</v>
      </c>
      <c r="L965" s="4" t="s">
        <v>226</v>
      </c>
      <c r="M965" s="4">
        <v>612</v>
      </c>
    </row>
    <row r="966" spans="1:13" x14ac:dyDescent="0.3">
      <c r="A966" s="5" t="s">
        <v>2504</v>
      </c>
      <c r="B966" s="5" t="s">
        <v>2505</v>
      </c>
      <c r="C966" s="5">
        <v>49</v>
      </c>
      <c r="D966" s="5" t="s">
        <v>18</v>
      </c>
      <c r="E966" s="5">
        <v>710000</v>
      </c>
      <c r="F966" s="35">
        <v>8.5000000000000006E-2</v>
      </c>
      <c r="G966" s="5">
        <v>24</v>
      </c>
      <c r="H966" s="5" t="s">
        <v>2506</v>
      </c>
      <c r="I966" s="5">
        <v>32273.53</v>
      </c>
      <c r="J966" s="5">
        <v>774564.7</v>
      </c>
      <c r="K966" s="5" t="s">
        <v>16</v>
      </c>
      <c r="L966" s="5" t="s">
        <v>205</v>
      </c>
      <c r="M966" s="5">
        <v>622</v>
      </c>
    </row>
    <row r="967" spans="1:13" x14ac:dyDescent="0.3">
      <c r="A967" s="4" t="s">
        <v>2507</v>
      </c>
      <c r="B967" s="4" t="s">
        <v>745</v>
      </c>
      <c r="C967" s="4">
        <v>28</v>
      </c>
      <c r="D967" s="4" t="s">
        <v>32</v>
      </c>
      <c r="E967" s="4">
        <v>310000</v>
      </c>
      <c r="F967" s="3">
        <v>8.5000000000000006E-2</v>
      </c>
      <c r="G967" s="4">
        <v>240</v>
      </c>
      <c r="H967" s="4" t="s">
        <v>2508</v>
      </c>
      <c r="I967" s="4">
        <v>2690.25</v>
      </c>
      <c r="J967" s="4">
        <v>645660.49</v>
      </c>
      <c r="K967" s="4" t="s">
        <v>16</v>
      </c>
      <c r="L967" s="4" t="s">
        <v>316</v>
      </c>
      <c r="M967" s="4">
        <v>710</v>
      </c>
    </row>
    <row r="968" spans="1:13" x14ac:dyDescent="0.3">
      <c r="A968" s="5" t="s">
        <v>2509</v>
      </c>
      <c r="B968" s="5" t="s">
        <v>1065</v>
      </c>
      <c r="C968" s="5">
        <v>31</v>
      </c>
      <c r="D968" s="5" t="s">
        <v>18</v>
      </c>
      <c r="E968" s="5">
        <v>1540000</v>
      </c>
      <c r="F968" s="35">
        <v>0.09</v>
      </c>
      <c r="G968" s="5">
        <v>180</v>
      </c>
      <c r="H968" s="5" t="s">
        <v>685</v>
      </c>
      <c r="I968" s="5">
        <v>15619.71</v>
      </c>
      <c r="J968" s="5">
        <v>2811546.97</v>
      </c>
      <c r="K968" s="5" t="s">
        <v>16</v>
      </c>
      <c r="L968" s="5" t="s">
        <v>201</v>
      </c>
      <c r="M968" s="5">
        <v>718</v>
      </c>
    </row>
    <row r="969" spans="1:13" x14ac:dyDescent="0.3">
      <c r="A969" s="4" t="s">
        <v>2510</v>
      </c>
      <c r="B969" s="4" t="s">
        <v>2511</v>
      </c>
      <c r="C969" s="4">
        <v>61</v>
      </c>
      <c r="D969" s="4" t="s">
        <v>23</v>
      </c>
      <c r="E969" s="4">
        <v>2190000</v>
      </c>
      <c r="F969" s="3">
        <v>0.1</v>
      </c>
      <c r="G969" s="4">
        <v>84</v>
      </c>
      <c r="H969" s="4" t="s">
        <v>1916</v>
      </c>
      <c r="I969" s="4">
        <v>36356.589999999997</v>
      </c>
      <c r="J969" s="4">
        <v>3053953.81</v>
      </c>
      <c r="K969" s="4" t="s">
        <v>20</v>
      </c>
      <c r="L969" s="4" t="s">
        <v>86</v>
      </c>
      <c r="M969" s="4">
        <v>638</v>
      </c>
    </row>
    <row r="970" spans="1:13" x14ac:dyDescent="0.3">
      <c r="A970" s="5" t="s">
        <v>2512</v>
      </c>
      <c r="B970" s="5" t="s">
        <v>1287</v>
      </c>
      <c r="C970" s="5">
        <v>57</v>
      </c>
      <c r="D970" s="5" t="s">
        <v>18</v>
      </c>
      <c r="E970" s="5">
        <v>1310000</v>
      </c>
      <c r="F970" s="35">
        <v>0.105</v>
      </c>
      <c r="G970" s="5">
        <v>12</v>
      </c>
      <c r="H970" s="5" t="s">
        <v>2513</v>
      </c>
      <c r="I970" s="5">
        <v>115474.67</v>
      </c>
      <c r="J970" s="5">
        <v>1385696.04</v>
      </c>
      <c r="K970" s="5" t="s">
        <v>16</v>
      </c>
      <c r="L970" s="5" t="s">
        <v>143</v>
      </c>
      <c r="M970" s="5">
        <v>725</v>
      </c>
    </row>
    <row r="971" spans="1:13" x14ac:dyDescent="0.3">
      <c r="A971" s="4" t="s">
        <v>2514</v>
      </c>
      <c r="B971" s="4" t="s">
        <v>914</v>
      </c>
      <c r="C971" s="4">
        <v>34</v>
      </c>
      <c r="D971" s="4" t="s">
        <v>23</v>
      </c>
      <c r="E971" s="4">
        <v>1200000</v>
      </c>
      <c r="F971" s="3">
        <v>0.12</v>
      </c>
      <c r="G971" s="4">
        <v>12</v>
      </c>
      <c r="H971" s="4" t="s">
        <v>71</v>
      </c>
      <c r="I971" s="4">
        <v>106618.55</v>
      </c>
      <c r="J971" s="4">
        <v>1279422.56</v>
      </c>
      <c r="K971" s="4" t="s">
        <v>16</v>
      </c>
      <c r="L971" s="4" t="s">
        <v>90</v>
      </c>
      <c r="M971" s="4">
        <v>818</v>
      </c>
    </row>
    <row r="972" spans="1:13" x14ac:dyDescent="0.3">
      <c r="A972" s="5" t="s">
        <v>2515</v>
      </c>
      <c r="B972" s="5" t="s">
        <v>2516</v>
      </c>
      <c r="C972" s="5">
        <v>50</v>
      </c>
      <c r="D972" s="5" t="s">
        <v>32</v>
      </c>
      <c r="E972" s="5">
        <v>240000</v>
      </c>
      <c r="F972" s="35">
        <v>0.11</v>
      </c>
      <c r="G972" s="5">
        <v>48</v>
      </c>
      <c r="H972" s="5" t="s">
        <v>2517</v>
      </c>
      <c r="I972" s="5">
        <v>6202.93</v>
      </c>
      <c r="J972" s="5">
        <v>297740.42</v>
      </c>
      <c r="K972" s="5" t="s">
        <v>60</v>
      </c>
      <c r="L972" s="5" t="s">
        <v>21</v>
      </c>
      <c r="M972" s="5">
        <v>622</v>
      </c>
    </row>
    <row r="973" spans="1:13" x14ac:dyDescent="0.3">
      <c r="A973" s="4" t="s">
        <v>2518</v>
      </c>
      <c r="B973" s="4" t="s">
        <v>2139</v>
      </c>
      <c r="C973" s="4">
        <v>55</v>
      </c>
      <c r="D973" s="4" t="s">
        <v>18</v>
      </c>
      <c r="E973" s="4">
        <v>860000</v>
      </c>
      <c r="F973" s="3">
        <v>8.5000000000000006E-2</v>
      </c>
      <c r="G973" s="4">
        <v>120</v>
      </c>
      <c r="H973" s="4" t="s">
        <v>2519</v>
      </c>
      <c r="I973" s="4">
        <v>10662.77</v>
      </c>
      <c r="J973" s="4">
        <v>1279532.31</v>
      </c>
      <c r="K973" s="4" t="s">
        <v>16</v>
      </c>
      <c r="L973" s="4" t="s">
        <v>326</v>
      </c>
      <c r="M973" s="4">
        <v>794</v>
      </c>
    </row>
    <row r="974" spans="1:13" x14ac:dyDescent="0.3">
      <c r="A974" s="5" t="s">
        <v>2520</v>
      </c>
      <c r="B974" s="5" t="s">
        <v>605</v>
      </c>
      <c r="C974" s="5">
        <v>41</v>
      </c>
      <c r="D974" s="5" t="s">
        <v>37</v>
      </c>
      <c r="E974" s="5">
        <v>1610000</v>
      </c>
      <c r="F974" s="35">
        <v>0.1</v>
      </c>
      <c r="G974" s="5">
        <v>24</v>
      </c>
      <c r="H974" s="5" t="s">
        <v>2521</v>
      </c>
      <c r="I974" s="5">
        <v>74293.33</v>
      </c>
      <c r="J974" s="5">
        <v>1783039.95</v>
      </c>
      <c r="K974" s="5" t="s">
        <v>16</v>
      </c>
      <c r="L974" s="5" t="s">
        <v>94</v>
      </c>
      <c r="M974" s="5">
        <v>626</v>
      </c>
    </row>
    <row r="975" spans="1:13" x14ac:dyDescent="0.3">
      <c r="A975" s="4" t="s">
        <v>2522</v>
      </c>
      <c r="B975" s="4" t="s">
        <v>2523</v>
      </c>
      <c r="C975" s="4">
        <v>57</v>
      </c>
      <c r="D975" s="4" t="s">
        <v>18</v>
      </c>
      <c r="E975" s="4">
        <v>1010000</v>
      </c>
      <c r="F975" s="3">
        <v>0.13</v>
      </c>
      <c r="G975" s="4">
        <v>84</v>
      </c>
      <c r="H975" s="4" t="s">
        <v>2524</v>
      </c>
      <c r="I975" s="4">
        <v>18373.88</v>
      </c>
      <c r="J975" s="4">
        <v>1543406.17</v>
      </c>
      <c r="K975" s="4" t="s">
        <v>16</v>
      </c>
      <c r="L975" s="4" t="s">
        <v>119</v>
      </c>
      <c r="M975" s="4">
        <v>708</v>
      </c>
    </row>
    <row r="976" spans="1:13" x14ac:dyDescent="0.3">
      <c r="A976" s="5" t="s">
        <v>2525</v>
      </c>
      <c r="B976" s="5" t="s">
        <v>2526</v>
      </c>
      <c r="C976" s="5">
        <v>25</v>
      </c>
      <c r="D976" s="5" t="s">
        <v>18</v>
      </c>
      <c r="E976" s="5">
        <v>1960000</v>
      </c>
      <c r="F976" s="35">
        <v>8.5000000000000006E-2</v>
      </c>
      <c r="G976" s="5">
        <v>84</v>
      </c>
      <c r="H976" s="5" t="s">
        <v>2527</v>
      </c>
      <c r="I976" s="5">
        <v>31039.51</v>
      </c>
      <c r="J976" s="5">
        <v>2607318.96</v>
      </c>
      <c r="K976" s="5" t="s">
        <v>16</v>
      </c>
      <c r="L976" s="5" t="s">
        <v>34</v>
      </c>
      <c r="M976" s="5">
        <v>873</v>
      </c>
    </row>
    <row r="977" spans="1:13" x14ac:dyDescent="0.3">
      <c r="A977" s="4" t="s">
        <v>2528</v>
      </c>
      <c r="B977" s="4" t="s">
        <v>2529</v>
      </c>
      <c r="C977" s="4">
        <v>39</v>
      </c>
      <c r="D977" s="4" t="s">
        <v>15</v>
      </c>
      <c r="E977" s="4">
        <v>1390000</v>
      </c>
      <c r="F977" s="3">
        <v>0.08</v>
      </c>
      <c r="G977" s="4">
        <v>60</v>
      </c>
      <c r="H977" s="4" t="s">
        <v>2530</v>
      </c>
      <c r="I977" s="4">
        <v>28184.19</v>
      </c>
      <c r="J977" s="4">
        <v>1691051.28</v>
      </c>
      <c r="K977" s="4" t="s">
        <v>16</v>
      </c>
      <c r="L977" s="4" t="s">
        <v>132</v>
      </c>
      <c r="M977" s="4">
        <v>647</v>
      </c>
    </row>
    <row r="978" spans="1:13" x14ac:dyDescent="0.3">
      <c r="A978" s="5" t="s">
        <v>2531</v>
      </c>
      <c r="B978" s="5" t="s">
        <v>2532</v>
      </c>
      <c r="C978" s="5">
        <v>34</v>
      </c>
      <c r="D978" s="5" t="s">
        <v>37</v>
      </c>
      <c r="E978" s="5">
        <v>4030000</v>
      </c>
      <c r="F978" s="35">
        <v>0.11</v>
      </c>
      <c r="G978" s="5">
        <v>36</v>
      </c>
      <c r="H978" s="5" t="s">
        <v>2078</v>
      </c>
      <c r="I978" s="5">
        <v>131937.03</v>
      </c>
      <c r="J978" s="5">
        <v>4749733.08</v>
      </c>
      <c r="K978" s="5" t="s">
        <v>16</v>
      </c>
      <c r="L978" s="5" t="s">
        <v>119</v>
      </c>
      <c r="M978" s="5">
        <v>651</v>
      </c>
    </row>
    <row r="979" spans="1:13" x14ac:dyDescent="0.3">
      <c r="A979" s="4" t="s">
        <v>2533</v>
      </c>
      <c r="B979" s="4" t="s">
        <v>1354</v>
      </c>
      <c r="C979" s="4">
        <v>46</v>
      </c>
      <c r="D979" s="4" t="s">
        <v>42</v>
      </c>
      <c r="E979" s="4">
        <v>1070000</v>
      </c>
      <c r="F979" s="3">
        <v>0.1</v>
      </c>
      <c r="G979" s="4">
        <v>240</v>
      </c>
      <c r="H979" s="4" t="s">
        <v>2534</v>
      </c>
      <c r="I979" s="4">
        <v>10325.73</v>
      </c>
      <c r="J979" s="4">
        <v>2478175.58</v>
      </c>
      <c r="K979" s="4" t="s">
        <v>20</v>
      </c>
      <c r="L979" s="4" t="s">
        <v>249</v>
      </c>
      <c r="M979" s="4">
        <v>681</v>
      </c>
    </row>
    <row r="980" spans="1:13" x14ac:dyDescent="0.3">
      <c r="A980" s="5" t="s">
        <v>2535</v>
      </c>
      <c r="B980" s="5" t="s">
        <v>2375</v>
      </c>
      <c r="C980" s="5">
        <v>24</v>
      </c>
      <c r="D980" s="5" t="s">
        <v>37</v>
      </c>
      <c r="E980" s="5">
        <v>1950000</v>
      </c>
      <c r="F980" s="35">
        <v>0.125</v>
      </c>
      <c r="G980" s="5">
        <v>60</v>
      </c>
      <c r="H980" s="5" t="s">
        <v>2536</v>
      </c>
      <c r="I980" s="5">
        <v>43870.98</v>
      </c>
      <c r="J980" s="5">
        <v>2632258.77</v>
      </c>
      <c r="K980" s="5" t="s">
        <v>312</v>
      </c>
      <c r="L980" s="5" t="s">
        <v>132</v>
      </c>
      <c r="M980" s="5">
        <v>651</v>
      </c>
    </row>
    <row r="981" spans="1:13" x14ac:dyDescent="0.3">
      <c r="A981" s="4" t="s">
        <v>2537</v>
      </c>
      <c r="B981" s="4" t="s">
        <v>432</v>
      </c>
      <c r="C981" s="4">
        <v>45</v>
      </c>
      <c r="D981" s="4" t="s">
        <v>32</v>
      </c>
      <c r="E981" s="4">
        <v>450000</v>
      </c>
      <c r="F981" s="3">
        <v>8.5000000000000006E-2</v>
      </c>
      <c r="G981" s="4">
        <v>48</v>
      </c>
      <c r="H981" s="4" t="s">
        <v>2538</v>
      </c>
      <c r="I981" s="4">
        <v>11091.74</v>
      </c>
      <c r="J981" s="4">
        <v>532403.35</v>
      </c>
      <c r="K981" s="4" t="s">
        <v>16</v>
      </c>
      <c r="L981" s="4" t="s">
        <v>75</v>
      </c>
      <c r="M981" s="4">
        <v>568</v>
      </c>
    </row>
    <row r="982" spans="1:13" x14ac:dyDescent="0.3">
      <c r="A982" s="5" t="s">
        <v>2539</v>
      </c>
      <c r="B982" s="5" t="s">
        <v>26</v>
      </c>
      <c r="C982" s="5">
        <v>62</v>
      </c>
      <c r="D982" s="5" t="s">
        <v>27</v>
      </c>
      <c r="E982" s="5">
        <v>590000</v>
      </c>
      <c r="F982" s="35">
        <v>0.1</v>
      </c>
      <c r="G982" s="5">
        <v>60</v>
      </c>
      <c r="H982" s="5" t="s">
        <v>2540</v>
      </c>
      <c r="I982" s="5">
        <v>12535.76</v>
      </c>
      <c r="J982" s="5">
        <v>752145.38</v>
      </c>
      <c r="K982" s="5" t="s">
        <v>20</v>
      </c>
      <c r="L982" s="5" t="s">
        <v>155</v>
      </c>
      <c r="M982" s="5">
        <v>631</v>
      </c>
    </row>
    <row r="983" spans="1:13" x14ac:dyDescent="0.3">
      <c r="A983" s="4" t="s">
        <v>2541</v>
      </c>
      <c r="B983" s="4" t="s">
        <v>1505</v>
      </c>
      <c r="C983" s="4">
        <v>45</v>
      </c>
      <c r="D983" s="4" t="s">
        <v>15</v>
      </c>
      <c r="E983" s="4">
        <v>1820000</v>
      </c>
      <c r="F983" s="3">
        <v>0.125</v>
      </c>
      <c r="G983" s="4">
        <v>180</v>
      </c>
      <c r="H983" s="4" t="s">
        <v>1960</v>
      </c>
      <c r="I983" s="4">
        <v>22431.9</v>
      </c>
      <c r="J983" s="4">
        <v>4037742.34</v>
      </c>
      <c r="K983" s="4" t="s">
        <v>16</v>
      </c>
      <c r="L983" s="4" t="s">
        <v>132</v>
      </c>
      <c r="M983" s="4">
        <v>828</v>
      </c>
    </row>
    <row r="984" spans="1:13" x14ac:dyDescent="0.3">
      <c r="A984" s="5" t="s">
        <v>2542</v>
      </c>
      <c r="B984" s="5" t="s">
        <v>2543</v>
      </c>
      <c r="C984" s="5">
        <v>38</v>
      </c>
      <c r="D984" s="5" t="s">
        <v>37</v>
      </c>
      <c r="E984" s="5">
        <v>1110000</v>
      </c>
      <c r="F984" s="35">
        <v>7.4999999999999997E-2</v>
      </c>
      <c r="G984" s="5">
        <v>84</v>
      </c>
      <c r="H984" s="5" t="s">
        <v>2544</v>
      </c>
      <c r="I984" s="5">
        <v>17025.490000000002</v>
      </c>
      <c r="J984" s="5">
        <v>1430140.84</v>
      </c>
      <c r="K984" s="5" t="s">
        <v>16</v>
      </c>
      <c r="L984" s="5" t="s">
        <v>226</v>
      </c>
      <c r="M984" s="5">
        <v>888</v>
      </c>
    </row>
    <row r="985" spans="1:13" x14ac:dyDescent="0.3">
      <c r="A985" s="4" t="s">
        <v>2545</v>
      </c>
      <c r="B985" s="4" t="s">
        <v>2546</v>
      </c>
      <c r="C985" s="4">
        <v>60</v>
      </c>
      <c r="D985" s="4" t="s">
        <v>15</v>
      </c>
      <c r="E985" s="4">
        <v>240000</v>
      </c>
      <c r="F985" s="3">
        <v>7.4999999999999997E-2</v>
      </c>
      <c r="G985" s="4">
        <v>84</v>
      </c>
      <c r="H985" s="4" t="s">
        <v>2547</v>
      </c>
      <c r="I985" s="4">
        <v>3681.19</v>
      </c>
      <c r="J985" s="4">
        <v>309219.64</v>
      </c>
      <c r="K985" s="4" t="s">
        <v>60</v>
      </c>
      <c r="L985" s="4" t="s">
        <v>56</v>
      </c>
      <c r="M985" s="4">
        <v>880</v>
      </c>
    </row>
    <row r="986" spans="1:13" x14ac:dyDescent="0.3">
      <c r="A986" s="5" t="s">
        <v>2548</v>
      </c>
      <c r="B986" s="5" t="s">
        <v>499</v>
      </c>
      <c r="C986" s="5">
        <v>28</v>
      </c>
      <c r="D986" s="5" t="s">
        <v>15</v>
      </c>
      <c r="E986" s="5">
        <v>1430000</v>
      </c>
      <c r="F986" s="35">
        <v>0.11</v>
      </c>
      <c r="G986" s="5">
        <v>36</v>
      </c>
      <c r="H986" s="5" t="s">
        <v>2549</v>
      </c>
      <c r="I986" s="5">
        <v>46816.37</v>
      </c>
      <c r="J986" s="5">
        <v>1685389.16</v>
      </c>
      <c r="K986" s="5" t="s">
        <v>312</v>
      </c>
      <c r="L986" s="5" t="s">
        <v>68</v>
      </c>
      <c r="M986" s="5">
        <v>678</v>
      </c>
    </row>
    <row r="987" spans="1:13" x14ac:dyDescent="0.3">
      <c r="A987" s="4" t="s">
        <v>2550</v>
      </c>
      <c r="B987" s="4" t="s">
        <v>2551</v>
      </c>
      <c r="C987" s="4">
        <v>59</v>
      </c>
      <c r="D987" s="4" t="s">
        <v>18</v>
      </c>
      <c r="E987" s="4">
        <v>340000</v>
      </c>
      <c r="F987" s="3">
        <v>9.5000000000000001E-2</v>
      </c>
      <c r="G987" s="4">
        <v>180</v>
      </c>
      <c r="H987" s="4" t="s">
        <v>1508</v>
      </c>
      <c r="I987" s="4">
        <v>3550.36</v>
      </c>
      <c r="J987" s="4">
        <v>639065.51</v>
      </c>
      <c r="K987" s="4" t="s">
        <v>20</v>
      </c>
      <c r="L987" s="4" t="s">
        <v>52</v>
      </c>
      <c r="M987" s="4">
        <v>893</v>
      </c>
    </row>
    <row r="988" spans="1:13" x14ac:dyDescent="0.3">
      <c r="A988" s="5" t="s">
        <v>2552</v>
      </c>
      <c r="B988" s="5" t="s">
        <v>2553</v>
      </c>
      <c r="C988" s="5">
        <v>60</v>
      </c>
      <c r="D988" s="5" t="s">
        <v>37</v>
      </c>
      <c r="E988" s="5">
        <v>620000</v>
      </c>
      <c r="F988" s="35">
        <v>0.09</v>
      </c>
      <c r="G988" s="5">
        <v>120</v>
      </c>
      <c r="H988" s="5" t="s">
        <v>2554</v>
      </c>
      <c r="I988" s="5">
        <v>7853.9</v>
      </c>
      <c r="J988" s="5">
        <v>942467.76</v>
      </c>
      <c r="K988" s="5" t="s">
        <v>16</v>
      </c>
      <c r="L988" s="5" t="s">
        <v>119</v>
      </c>
      <c r="M988" s="5">
        <v>859</v>
      </c>
    </row>
    <row r="989" spans="1:13" x14ac:dyDescent="0.3">
      <c r="A989" s="4" t="s">
        <v>2555</v>
      </c>
      <c r="B989" s="4" t="s">
        <v>2556</v>
      </c>
      <c r="C989" s="4">
        <v>34</v>
      </c>
      <c r="D989" s="4" t="s">
        <v>37</v>
      </c>
      <c r="E989" s="4">
        <v>2700000</v>
      </c>
      <c r="F989" s="3">
        <v>8.5000000000000006E-2</v>
      </c>
      <c r="G989" s="4">
        <v>48</v>
      </c>
      <c r="H989" s="4" t="s">
        <v>2557</v>
      </c>
      <c r="I989" s="4">
        <v>66550.42</v>
      </c>
      <c r="J989" s="4">
        <v>3194420.12</v>
      </c>
      <c r="K989" s="4" t="s">
        <v>20</v>
      </c>
      <c r="L989" s="4" t="s">
        <v>316</v>
      </c>
      <c r="M989" s="4">
        <v>638</v>
      </c>
    </row>
    <row r="990" spans="1:13" x14ac:dyDescent="0.3">
      <c r="A990" s="5" t="s">
        <v>2558</v>
      </c>
      <c r="B990" s="5" t="s">
        <v>2559</v>
      </c>
      <c r="C990" s="5">
        <v>52</v>
      </c>
      <c r="D990" s="5" t="s">
        <v>23</v>
      </c>
      <c r="E990" s="5">
        <v>4620000</v>
      </c>
      <c r="F990" s="35">
        <v>0.12</v>
      </c>
      <c r="G990" s="5">
        <v>120</v>
      </c>
      <c r="H990" s="5" t="s">
        <v>1425</v>
      </c>
      <c r="I990" s="5">
        <v>66283.58</v>
      </c>
      <c r="J990" s="5">
        <v>7954029.3799999999</v>
      </c>
      <c r="K990" s="5" t="s">
        <v>60</v>
      </c>
      <c r="L990" s="5" t="s">
        <v>226</v>
      </c>
      <c r="M990" s="5">
        <v>762</v>
      </c>
    </row>
    <row r="991" spans="1:13" x14ac:dyDescent="0.3">
      <c r="A991" s="4" t="s">
        <v>2560</v>
      </c>
      <c r="B991" s="4" t="s">
        <v>2561</v>
      </c>
      <c r="C991" s="4">
        <v>58</v>
      </c>
      <c r="D991" s="4" t="s">
        <v>37</v>
      </c>
      <c r="E991" s="4">
        <v>830000</v>
      </c>
      <c r="F991" s="3">
        <v>8.5000000000000006E-2</v>
      </c>
      <c r="G991" s="4">
        <v>84</v>
      </c>
      <c r="H991" s="4" t="s">
        <v>2562</v>
      </c>
      <c r="I991" s="4">
        <v>13144.28</v>
      </c>
      <c r="J991" s="4">
        <v>1104119.76</v>
      </c>
      <c r="K991" s="4" t="s">
        <v>16</v>
      </c>
      <c r="L991" s="4" t="s">
        <v>159</v>
      </c>
      <c r="M991" s="4">
        <v>692</v>
      </c>
    </row>
    <row r="992" spans="1:13" x14ac:dyDescent="0.3">
      <c r="A992" s="5" t="s">
        <v>2563</v>
      </c>
      <c r="B992" s="5" t="s">
        <v>2564</v>
      </c>
      <c r="C992" s="5">
        <v>53</v>
      </c>
      <c r="D992" s="5" t="s">
        <v>37</v>
      </c>
      <c r="E992" s="5">
        <v>1010000</v>
      </c>
      <c r="F992" s="35">
        <v>0.11</v>
      </c>
      <c r="G992" s="5">
        <v>84</v>
      </c>
      <c r="H992" s="5" t="s">
        <v>1313</v>
      </c>
      <c r="I992" s="5">
        <v>17293.66</v>
      </c>
      <c r="J992" s="5">
        <v>1452667.51</v>
      </c>
      <c r="K992" s="5" t="s">
        <v>20</v>
      </c>
      <c r="L992" s="5" t="s">
        <v>94</v>
      </c>
      <c r="M992" s="5">
        <v>614</v>
      </c>
    </row>
    <row r="993" spans="1:13" x14ac:dyDescent="0.3">
      <c r="A993" s="4" t="s">
        <v>2565</v>
      </c>
      <c r="B993" s="4" t="s">
        <v>2566</v>
      </c>
      <c r="C993" s="4">
        <v>43</v>
      </c>
      <c r="D993" s="4" t="s">
        <v>23</v>
      </c>
      <c r="E993" s="4">
        <v>7680000</v>
      </c>
      <c r="F993" s="3">
        <v>0.08</v>
      </c>
      <c r="G993" s="4">
        <v>120</v>
      </c>
      <c r="H993" s="4" t="s">
        <v>2085</v>
      </c>
      <c r="I993" s="4">
        <v>93179.59</v>
      </c>
      <c r="J993" s="4">
        <v>11181551.1</v>
      </c>
      <c r="K993" s="4" t="s">
        <v>20</v>
      </c>
      <c r="L993" s="4" t="s">
        <v>155</v>
      </c>
      <c r="M993" s="4">
        <v>625</v>
      </c>
    </row>
    <row r="994" spans="1:13" x14ac:dyDescent="0.3">
      <c r="A994" s="5" t="s">
        <v>2567</v>
      </c>
      <c r="B994" s="5" t="s">
        <v>998</v>
      </c>
      <c r="C994" s="5">
        <v>35</v>
      </c>
      <c r="D994" s="5" t="s">
        <v>23</v>
      </c>
      <c r="E994" s="5">
        <v>9500000</v>
      </c>
      <c r="F994" s="35">
        <v>8.5000000000000006E-2</v>
      </c>
      <c r="G994" s="5">
        <v>60</v>
      </c>
      <c r="H994" s="5" t="s">
        <v>1276</v>
      </c>
      <c r="I994" s="5">
        <v>194907.05</v>
      </c>
      <c r="J994" s="5">
        <v>11694422.859999999</v>
      </c>
      <c r="K994" s="5" t="s">
        <v>60</v>
      </c>
      <c r="L994" s="5" t="s">
        <v>34</v>
      </c>
      <c r="M994" s="5">
        <v>748</v>
      </c>
    </row>
    <row r="995" spans="1:13" x14ac:dyDescent="0.3">
      <c r="A995" s="4" t="s">
        <v>2568</v>
      </c>
      <c r="B995" s="4" t="s">
        <v>1882</v>
      </c>
      <c r="C995" s="4">
        <v>53</v>
      </c>
      <c r="D995" s="4" t="s">
        <v>27</v>
      </c>
      <c r="E995" s="4">
        <v>400000</v>
      </c>
      <c r="F995" s="3">
        <v>0.12</v>
      </c>
      <c r="G995" s="4">
        <v>180</v>
      </c>
      <c r="H995" s="4" t="s">
        <v>2569</v>
      </c>
      <c r="I995" s="4">
        <v>4800.67</v>
      </c>
      <c r="J995" s="4">
        <v>864121</v>
      </c>
      <c r="K995" s="4" t="s">
        <v>16</v>
      </c>
      <c r="L995" s="4" t="s">
        <v>94</v>
      </c>
      <c r="M995" s="4">
        <v>692</v>
      </c>
    </row>
    <row r="996" spans="1:13" x14ac:dyDescent="0.3">
      <c r="A996" s="5" t="s">
        <v>2570</v>
      </c>
      <c r="B996" s="5" t="s">
        <v>2571</v>
      </c>
      <c r="C996" s="5">
        <v>45</v>
      </c>
      <c r="D996" s="5" t="s">
        <v>18</v>
      </c>
      <c r="E996" s="5">
        <v>1520000</v>
      </c>
      <c r="F996" s="35">
        <v>0.105</v>
      </c>
      <c r="G996" s="5">
        <v>36</v>
      </c>
      <c r="H996" s="5" t="s">
        <v>791</v>
      </c>
      <c r="I996" s="5">
        <v>49403.71</v>
      </c>
      <c r="J996" s="5">
        <v>1778533.71</v>
      </c>
      <c r="K996" s="5" t="s">
        <v>20</v>
      </c>
      <c r="L996" s="5" t="s">
        <v>191</v>
      </c>
      <c r="M996" s="5">
        <v>865</v>
      </c>
    </row>
    <row r="997" spans="1:13" x14ac:dyDescent="0.3">
      <c r="A997" s="4" t="s">
        <v>2572</v>
      </c>
      <c r="B997" s="4" t="s">
        <v>1660</v>
      </c>
      <c r="C997" s="4">
        <v>37</v>
      </c>
      <c r="D997" s="4" t="s">
        <v>37</v>
      </c>
      <c r="E997" s="4">
        <v>4700000</v>
      </c>
      <c r="F997" s="3">
        <v>0.125</v>
      </c>
      <c r="G997" s="4">
        <v>36</v>
      </c>
      <c r="H997" s="4" t="s">
        <v>855</v>
      </c>
      <c r="I997" s="4">
        <v>157232.04</v>
      </c>
      <c r="J997" s="4">
        <v>5660353.4500000002</v>
      </c>
      <c r="K997" s="4" t="s">
        <v>16</v>
      </c>
      <c r="L997" s="4" t="s">
        <v>94</v>
      </c>
      <c r="M997" s="4">
        <v>642</v>
      </c>
    </row>
    <row r="998" spans="1:13" x14ac:dyDescent="0.3">
      <c r="A998" s="5" t="s">
        <v>2573</v>
      </c>
      <c r="B998" s="5" t="s">
        <v>2574</v>
      </c>
      <c r="C998" s="5">
        <v>53</v>
      </c>
      <c r="D998" s="5" t="s">
        <v>42</v>
      </c>
      <c r="E998" s="5">
        <v>1170000</v>
      </c>
      <c r="F998" s="35">
        <v>0.105</v>
      </c>
      <c r="G998" s="5">
        <v>48</v>
      </c>
      <c r="H998" s="5" t="s">
        <v>2575</v>
      </c>
      <c r="I998" s="5">
        <v>29955.95</v>
      </c>
      <c r="J998" s="5">
        <v>1437885.81</v>
      </c>
      <c r="K998" s="5" t="s">
        <v>16</v>
      </c>
      <c r="L998" s="5" t="s">
        <v>86</v>
      </c>
      <c r="M998" s="5">
        <v>854</v>
      </c>
    </row>
    <row r="999" spans="1:13" x14ac:dyDescent="0.3">
      <c r="A999" s="4" t="s">
        <v>2576</v>
      </c>
      <c r="B999" s="4" t="s">
        <v>1259</v>
      </c>
      <c r="C999" s="4">
        <v>22</v>
      </c>
      <c r="D999" s="4" t="s">
        <v>15</v>
      </c>
      <c r="E999" s="4">
        <v>1090000</v>
      </c>
      <c r="F999" s="3">
        <v>0.105</v>
      </c>
      <c r="G999" s="4">
        <v>24</v>
      </c>
      <c r="H999" s="4" t="s">
        <v>2577</v>
      </c>
      <c r="I999" s="4">
        <v>50549.89</v>
      </c>
      <c r="J999" s="4">
        <v>1213197.25</v>
      </c>
      <c r="K999" s="4" t="s">
        <v>20</v>
      </c>
      <c r="L999" s="4" t="s">
        <v>119</v>
      </c>
      <c r="M999" s="4">
        <v>773</v>
      </c>
    </row>
    <row r="1000" spans="1:13" x14ac:dyDescent="0.3">
      <c r="A1000" s="5" t="s">
        <v>2578</v>
      </c>
      <c r="B1000" s="5" t="s">
        <v>2579</v>
      </c>
      <c r="C1000" s="5">
        <v>34</v>
      </c>
      <c r="D1000" s="5" t="s">
        <v>32</v>
      </c>
      <c r="E1000" s="5">
        <v>420000</v>
      </c>
      <c r="F1000" s="35">
        <v>0.105</v>
      </c>
      <c r="G1000" s="5">
        <v>60</v>
      </c>
      <c r="H1000" s="5" t="s">
        <v>700</v>
      </c>
      <c r="I1000" s="5">
        <v>9027.44</v>
      </c>
      <c r="J1000" s="5">
        <v>541646.29</v>
      </c>
      <c r="K1000" s="5" t="s">
        <v>16</v>
      </c>
      <c r="L1000" s="5" t="s">
        <v>147</v>
      </c>
      <c r="M1000" s="5">
        <v>840</v>
      </c>
    </row>
    <row r="1001" spans="1:13" x14ac:dyDescent="0.3">
      <c r="A1001" s="4" t="s">
        <v>2580</v>
      </c>
      <c r="B1001" s="4" t="s">
        <v>2419</v>
      </c>
      <c r="C1001" s="4">
        <v>60</v>
      </c>
      <c r="D1001" s="4" t="s">
        <v>23</v>
      </c>
      <c r="E1001" s="4">
        <v>7750000</v>
      </c>
      <c r="F1001" s="3">
        <v>0.11</v>
      </c>
      <c r="G1001" s="4">
        <v>48</v>
      </c>
      <c r="H1001" s="4" t="s">
        <v>2581</v>
      </c>
      <c r="I1001" s="4">
        <v>200302.8</v>
      </c>
      <c r="J1001" s="4">
        <v>9614534.4100000001</v>
      </c>
      <c r="K1001" s="4" t="s">
        <v>16</v>
      </c>
      <c r="L1001" s="4" t="s">
        <v>136</v>
      </c>
      <c r="M1001" s="4">
        <v>651</v>
      </c>
    </row>
    <row r="1002" spans="1:13" x14ac:dyDescent="0.3">
      <c r="A1002" s="5" t="s">
        <v>2582</v>
      </c>
      <c r="B1002" s="5" t="s">
        <v>2583</v>
      </c>
      <c r="C1002" s="5">
        <v>60</v>
      </c>
      <c r="D1002" s="5" t="s">
        <v>32</v>
      </c>
      <c r="E1002" s="5">
        <v>90000</v>
      </c>
      <c r="F1002" s="35">
        <v>0.105</v>
      </c>
      <c r="G1002" s="5">
        <v>240</v>
      </c>
      <c r="H1002" s="5" t="s">
        <v>2584</v>
      </c>
      <c r="I1002" s="5">
        <v>898.54</v>
      </c>
      <c r="J1002" s="5">
        <v>215650.06</v>
      </c>
      <c r="K1002" s="5" t="s">
        <v>16</v>
      </c>
      <c r="L1002" s="5" t="s">
        <v>56</v>
      </c>
      <c r="M1002" s="5">
        <v>816</v>
      </c>
    </row>
  </sheetData>
  <mergeCells count="1">
    <mergeCell ref="O3:R5"/>
  </mergeCells>
  <hyperlinks>
    <hyperlink ref="O3:Q5" location="'Clean Data'!A1" display="'Clean Data'!A1" xr:uid="{302319DF-B741-4642-9617-C5384D12A1D8}"/>
  </hyperlinks>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7CADB6-96F3-492B-893C-981CCF772CF0}">
  <sheetPr>
    <tabColor theme="9" tint="0.39997558519241921"/>
  </sheetPr>
  <dimension ref="A1:M1001"/>
  <sheetViews>
    <sheetView showGridLines="0" workbookViewId="0">
      <selection activeCell="H22" sqref="H22"/>
    </sheetView>
  </sheetViews>
  <sheetFormatPr defaultRowHeight="14" x14ac:dyDescent="0.3"/>
  <cols>
    <col min="1" max="5" width="15" customWidth="1"/>
    <col min="6" max="6" width="19.75" customWidth="1"/>
    <col min="7" max="13" width="15" customWidth="1"/>
    <col min="15" max="16" width="8"/>
    <col min="17" max="17" width="17.25" bestFit="1" customWidth="1"/>
  </cols>
  <sheetData>
    <row r="1" spans="1:13" ht="38" customHeight="1" x14ac:dyDescent="0.3">
      <c r="A1" s="34" t="s">
        <v>0</v>
      </c>
      <c r="B1" s="34" t="s">
        <v>2585</v>
      </c>
      <c r="C1" s="34" t="s">
        <v>4</v>
      </c>
      <c r="D1" s="34" t="s">
        <v>5</v>
      </c>
      <c r="E1" s="34" t="s">
        <v>6</v>
      </c>
      <c r="F1" s="34" t="s">
        <v>7</v>
      </c>
      <c r="G1" s="34" t="s">
        <v>2586</v>
      </c>
      <c r="H1" s="34" t="s">
        <v>9</v>
      </c>
      <c r="I1" s="34" t="s">
        <v>1</v>
      </c>
      <c r="J1" s="34" t="s">
        <v>10</v>
      </c>
      <c r="K1" s="34" t="s">
        <v>3</v>
      </c>
      <c r="L1" s="34" t="s">
        <v>11</v>
      </c>
      <c r="M1" s="34" t="s">
        <v>2</v>
      </c>
    </row>
    <row r="2" spans="1:13" x14ac:dyDescent="0.3">
      <c r="A2" s="1" t="s">
        <v>12</v>
      </c>
      <c r="B2" s="1" t="s">
        <v>17</v>
      </c>
      <c r="C2" s="1">
        <v>59</v>
      </c>
      <c r="D2" s="1" t="s">
        <v>18</v>
      </c>
      <c r="E2" s="1">
        <v>1420000</v>
      </c>
      <c r="F2" s="6">
        <v>0.125</v>
      </c>
      <c r="G2" s="1">
        <v>12</v>
      </c>
      <c r="H2" s="1" t="s">
        <v>19</v>
      </c>
      <c r="I2" s="8">
        <f>PMT(F2/12,G2, -E2)</f>
        <v>126497.66504905233</v>
      </c>
      <c r="J2" s="8">
        <f>(I2*G2)</f>
        <v>1517971.980588628</v>
      </c>
      <c r="K2" s="1" t="s">
        <v>21</v>
      </c>
      <c r="L2" s="1">
        <v>588</v>
      </c>
      <c r="M2" s="1" t="s">
        <v>20</v>
      </c>
    </row>
    <row r="3" spans="1:13" x14ac:dyDescent="0.3">
      <c r="A3" s="1" t="s">
        <v>13</v>
      </c>
      <c r="B3" s="1" t="s">
        <v>22</v>
      </c>
      <c r="C3" s="1">
        <v>49</v>
      </c>
      <c r="D3" s="1" t="s">
        <v>23</v>
      </c>
      <c r="E3" s="1">
        <v>9200000</v>
      </c>
      <c r="F3" s="7">
        <v>0.115</v>
      </c>
      <c r="G3" s="1">
        <v>12</v>
      </c>
      <c r="H3" s="1" t="s">
        <v>24</v>
      </c>
      <c r="I3" s="8">
        <f>PMT(F3/12,G3, -E3)</f>
        <v>815258.495563459</v>
      </c>
      <c r="J3" s="8">
        <f>(I3*G3)</f>
        <v>9783101.9467615075</v>
      </c>
      <c r="K3" s="1" t="s">
        <v>25</v>
      </c>
      <c r="L3" s="1">
        <v>747</v>
      </c>
      <c r="M3" s="1" t="s">
        <v>20</v>
      </c>
    </row>
    <row r="4" spans="1:13" x14ac:dyDescent="0.3">
      <c r="A4" s="1" t="s">
        <v>14</v>
      </c>
      <c r="B4" s="1" t="s">
        <v>26</v>
      </c>
      <c r="C4" s="1">
        <v>35</v>
      </c>
      <c r="D4" s="1" t="s">
        <v>27</v>
      </c>
      <c r="E4" s="1">
        <v>200000</v>
      </c>
      <c r="F4" s="7">
        <v>0.115</v>
      </c>
      <c r="G4" s="1">
        <v>240</v>
      </c>
      <c r="H4" s="1" t="s">
        <v>28</v>
      </c>
      <c r="I4" s="8">
        <f>PMT(F4/12,G4, -E4)</f>
        <v>2132.8592630257181</v>
      </c>
      <c r="J4" s="8">
        <f t="shared" ref="J4:J67" si="0">(I4*G4)</f>
        <v>511886.22312617232</v>
      </c>
      <c r="K4" s="1" t="s">
        <v>29</v>
      </c>
      <c r="L4" s="1">
        <v>683</v>
      </c>
      <c r="M4" s="1" t="s">
        <v>16</v>
      </c>
    </row>
    <row r="5" spans="1:13" x14ac:dyDescent="0.3">
      <c r="A5" s="1" t="s">
        <v>30</v>
      </c>
      <c r="B5" s="1" t="s">
        <v>31</v>
      </c>
      <c r="C5" s="1">
        <v>63</v>
      </c>
      <c r="D5" s="1" t="s">
        <v>32</v>
      </c>
      <c r="E5" s="1">
        <v>320000</v>
      </c>
      <c r="F5" s="7">
        <v>0.12</v>
      </c>
      <c r="G5" s="1">
        <v>48</v>
      </c>
      <c r="H5" s="1" t="s">
        <v>33</v>
      </c>
      <c r="I5" s="8">
        <f t="shared" ref="I5:I68" si="1">PMT(F5/12,G5, -E5)</f>
        <v>8426.8273382168845</v>
      </c>
      <c r="J5" s="8">
        <f t="shared" si="0"/>
        <v>404487.71223441046</v>
      </c>
      <c r="K5" s="1" t="s">
        <v>34</v>
      </c>
      <c r="L5" s="1">
        <v>616</v>
      </c>
      <c r="M5" s="1" t="s">
        <v>16</v>
      </c>
    </row>
    <row r="6" spans="1:13" x14ac:dyDescent="0.3">
      <c r="A6" s="1" t="s">
        <v>35</v>
      </c>
      <c r="B6" s="1" t="s">
        <v>36</v>
      </c>
      <c r="C6" s="1">
        <v>28</v>
      </c>
      <c r="D6" s="1" t="s">
        <v>37</v>
      </c>
      <c r="E6" s="1">
        <v>4240000</v>
      </c>
      <c r="F6" s="7">
        <v>8.5000000000000006E-2</v>
      </c>
      <c r="G6" s="1">
        <v>84</v>
      </c>
      <c r="H6" s="1" t="s">
        <v>38</v>
      </c>
      <c r="I6" s="8">
        <f t="shared" si="1"/>
        <v>67146.698253476541</v>
      </c>
      <c r="J6" s="8">
        <f t="shared" si="0"/>
        <v>5640322.6532920292</v>
      </c>
      <c r="K6" s="1" t="s">
        <v>39</v>
      </c>
      <c r="L6" s="1">
        <v>728</v>
      </c>
      <c r="M6" s="1" t="s">
        <v>16</v>
      </c>
    </row>
    <row r="7" spans="1:13" x14ac:dyDescent="0.3">
      <c r="A7" s="1" t="s">
        <v>40</v>
      </c>
      <c r="B7" s="1" t="s">
        <v>41</v>
      </c>
      <c r="C7" s="1">
        <v>41</v>
      </c>
      <c r="D7" s="1" t="s">
        <v>42</v>
      </c>
      <c r="E7" s="1">
        <v>420000</v>
      </c>
      <c r="F7" s="7">
        <v>9.5000000000000001E-2</v>
      </c>
      <c r="G7" s="1">
        <v>12</v>
      </c>
      <c r="H7" s="1" t="s">
        <v>43</v>
      </c>
      <c r="I7" s="8">
        <f t="shared" si="1"/>
        <v>36827.074945079126</v>
      </c>
      <c r="J7" s="8">
        <f t="shared" si="0"/>
        <v>441924.89934094949</v>
      </c>
      <c r="K7" s="1" t="s">
        <v>44</v>
      </c>
      <c r="L7" s="1">
        <v>591</v>
      </c>
      <c r="M7" s="1" t="s">
        <v>20</v>
      </c>
    </row>
    <row r="8" spans="1:13" x14ac:dyDescent="0.3">
      <c r="A8" s="1" t="s">
        <v>45</v>
      </c>
      <c r="B8" s="1" t="s">
        <v>46</v>
      </c>
      <c r="C8" s="1">
        <v>59</v>
      </c>
      <c r="D8" s="1" t="s">
        <v>42</v>
      </c>
      <c r="E8" s="1">
        <v>1250000</v>
      </c>
      <c r="F8" s="7">
        <v>0.08</v>
      </c>
      <c r="G8" s="1">
        <v>84</v>
      </c>
      <c r="H8" s="1" t="s">
        <v>47</v>
      </c>
      <c r="I8" s="8">
        <f t="shared" si="1"/>
        <v>19482.768003336925</v>
      </c>
      <c r="J8" s="8">
        <f t="shared" si="0"/>
        <v>1636552.5122803017</v>
      </c>
      <c r="K8" s="1" t="s">
        <v>48</v>
      </c>
      <c r="L8" s="1">
        <v>564</v>
      </c>
      <c r="M8" s="1" t="s">
        <v>16</v>
      </c>
    </row>
    <row r="9" spans="1:13" x14ac:dyDescent="0.3">
      <c r="A9" s="1" t="s">
        <v>49</v>
      </c>
      <c r="B9" s="1" t="s">
        <v>50</v>
      </c>
      <c r="C9" s="1">
        <v>39</v>
      </c>
      <c r="D9" s="1" t="s">
        <v>18</v>
      </c>
      <c r="E9" s="1">
        <v>480000</v>
      </c>
      <c r="F9" s="7">
        <v>9.5000000000000001E-2</v>
      </c>
      <c r="G9" s="1">
        <v>240</v>
      </c>
      <c r="H9" s="1" t="s">
        <v>51</v>
      </c>
      <c r="I9" s="8">
        <f t="shared" si="1"/>
        <v>4474.229701600887</v>
      </c>
      <c r="J9" s="8">
        <f t="shared" si="0"/>
        <v>1073815.128384213</v>
      </c>
      <c r="K9" s="1" t="s">
        <v>52</v>
      </c>
      <c r="L9" s="1">
        <v>660</v>
      </c>
      <c r="M9" s="1" t="s">
        <v>20</v>
      </c>
    </row>
    <row r="10" spans="1:13" x14ac:dyDescent="0.3">
      <c r="A10" s="1" t="s">
        <v>53</v>
      </c>
      <c r="B10" s="1" t="s">
        <v>54</v>
      </c>
      <c r="C10" s="1">
        <v>43</v>
      </c>
      <c r="D10" s="1" t="s">
        <v>27</v>
      </c>
      <c r="E10" s="1">
        <v>640000</v>
      </c>
      <c r="F10" s="7">
        <v>0.08</v>
      </c>
      <c r="G10" s="1">
        <v>48</v>
      </c>
      <c r="H10" s="1" t="s">
        <v>55</v>
      </c>
      <c r="I10" s="8">
        <f t="shared" si="1"/>
        <v>15624.270298561589</v>
      </c>
      <c r="J10" s="8">
        <f t="shared" si="0"/>
        <v>749964.97433095623</v>
      </c>
      <c r="K10" s="1" t="s">
        <v>56</v>
      </c>
      <c r="L10" s="1">
        <v>706</v>
      </c>
      <c r="M10" s="1" t="s">
        <v>20</v>
      </c>
    </row>
    <row r="11" spans="1:13" x14ac:dyDescent="0.3">
      <c r="A11" s="1" t="s">
        <v>57</v>
      </c>
      <c r="B11" s="1" t="s">
        <v>58</v>
      </c>
      <c r="C11" s="1">
        <v>31</v>
      </c>
      <c r="D11" s="1" t="s">
        <v>18</v>
      </c>
      <c r="E11" s="1">
        <v>1070000</v>
      </c>
      <c r="F11" s="7">
        <v>0.115</v>
      </c>
      <c r="G11" s="1">
        <v>12</v>
      </c>
      <c r="H11" s="1" t="s">
        <v>59</v>
      </c>
      <c r="I11" s="8">
        <f t="shared" si="1"/>
        <v>94818.107636184912</v>
      </c>
      <c r="J11" s="8">
        <f t="shared" si="0"/>
        <v>1137817.291634219</v>
      </c>
      <c r="K11" s="1" t="s">
        <v>25</v>
      </c>
      <c r="L11" s="1">
        <v>838</v>
      </c>
      <c r="M11" s="1" t="s">
        <v>60</v>
      </c>
    </row>
    <row r="12" spans="1:13" x14ac:dyDescent="0.3">
      <c r="A12" s="1" t="s">
        <v>61</v>
      </c>
      <c r="B12" s="1" t="s">
        <v>62</v>
      </c>
      <c r="C12" s="1">
        <v>31</v>
      </c>
      <c r="D12" s="1" t="s">
        <v>42</v>
      </c>
      <c r="E12" s="1">
        <v>1260000</v>
      </c>
      <c r="F12" s="7">
        <v>0.09</v>
      </c>
      <c r="G12" s="1">
        <v>12</v>
      </c>
      <c r="H12" s="1" t="s">
        <v>63</v>
      </c>
      <c r="I12" s="8">
        <f t="shared" si="1"/>
        <v>110188.86073010099</v>
      </c>
      <c r="J12" s="8">
        <f t="shared" si="0"/>
        <v>1322266.3287612118</v>
      </c>
      <c r="K12" s="1" t="s">
        <v>64</v>
      </c>
      <c r="L12" s="1">
        <v>780</v>
      </c>
      <c r="M12" s="1" t="s">
        <v>16</v>
      </c>
    </row>
    <row r="13" spans="1:13" x14ac:dyDescent="0.3">
      <c r="A13" s="1" t="s">
        <v>65</v>
      </c>
      <c r="B13" s="1" t="s">
        <v>66</v>
      </c>
      <c r="C13" s="1">
        <v>44</v>
      </c>
      <c r="D13" s="1" t="s">
        <v>37</v>
      </c>
      <c r="E13" s="1">
        <v>980000</v>
      </c>
      <c r="F13" s="7">
        <v>8.5000000000000006E-2</v>
      </c>
      <c r="G13" s="1">
        <v>48</v>
      </c>
      <c r="H13" s="1" t="s">
        <v>67</v>
      </c>
      <c r="I13" s="8">
        <f t="shared" si="1"/>
        <v>24155.337291658994</v>
      </c>
      <c r="J13" s="8">
        <f t="shared" si="0"/>
        <v>1159456.1899996316</v>
      </c>
      <c r="K13" s="1" t="s">
        <v>68</v>
      </c>
      <c r="L13" s="1">
        <v>706</v>
      </c>
      <c r="M13" s="1" t="s">
        <v>16</v>
      </c>
    </row>
    <row r="14" spans="1:13" x14ac:dyDescent="0.3">
      <c r="A14" s="1" t="s">
        <v>69</v>
      </c>
      <c r="B14" s="1" t="s">
        <v>70</v>
      </c>
      <c r="C14" s="1">
        <v>56</v>
      </c>
      <c r="D14" s="1" t="s">
        <v>37</v>
      </c>
      <c r="E14" s="1">
        <v>4380000</v>
      </c>
      <c r="F14" s="7">
        <v>0.115</v>
      </c>
      <c r="G14" s="1">
        <v>48</v>
      </c>
      <c r="H14" s="1" t="s">
        <v>71</v>
      </c>
      <c r="I14" s="8">
        <f t="shared" si="1"/>
        <v>114269.85900765535</v>
      </c>
      <c r="J14" s="8">
        <f t="shared" si="0"/>
        <v>5484953.2323674569</v>
      </c>
      <c r="K14" s="1" t="s">
        <v>52</v>
      </c>
      <c r="L14" s="1">
        <v>587</v>
      </c>
      <c r="M14" s="1" t="s">
        <v>20</v>
      </c>
    </row>
    <row r="15" spans="1:13" x14ac:dyDescent="0.3">
      <c r="A15" s="1" t="s">
        <v>72</v>
      </c>
      <c r="B15" s="1" t="s">
        <v>73</v>
      </c>
      <c r="C15" s="1">
        <v>60</v>
      </c>
      <c r="D15" s="1" t="s">
        <v>42</v>
      </c>
      <c r="E15" s="1">
        <v>950000</v>
      </c>
      <c r="F15" s="7">
        <v>0.1</v>
      </c>
      <c r="G15" s="1">
        <v>84</v>
      </c>
      <c r="H15" s="1" t="s">
        <v>74</v>
      </c>
      <c r="I15" s="8">
        <f t="shared" si="1"/>
        <v>15771.124825541612</v>
      </c>
      <c r="J15" s="8">
        <f t="shared" si="0"/>
        <v>1324774.4853454954</v>
      </c>
      <c r="K15" s="1" t="s">
        <v>75</v>
      </c>
      <c r="L15" s="1">
        <v>646</v>
      </c>
      <c r="M15" s="1" t="s">
        <v>60</v>
      </c>
    </row>
    <row r="16" spans="1:13" x14ac:dyDescent="0.3">
      <c r="A16" s="1" t="s">
        <v>76</v>
      </c>
      <c r="B16" s="1" t="s">
        <v>77</v>
      </c>
      <c r="C16" s="1">
        <v>44</v>
      </c>
      <c r="D16" s="1" t="s">
        <v>23</v>
      </c>
      <c r="E16" s="1">
        <v>1370000</v>
      </c>
      <c r="F16" s="7">
        <v>0.105</v>
      </c>
      <c r="G16" s="1">
        <v>60</v>
      </c>
      <c r="H16" s="1" t="s">
        <v>78</v>
      </c>
      <c r="I16" s="8">
        <f t="shared" si="1"/>
        <v>29446.643518020919</v>
      </c>
      <c r="J16" s="8">
        <f t="shared" si="0"/>
        <v>1766798.6110812551</v>
      </c>
      <c r="K16" s="1" t="s">
        <v>29</v>
      </c>
      <c r="L16" s="1">
        <v>838</v>
      </c>
      <c r="M16" s="1" t="s">
        <v>20</v>
      </c>
    </row>
    <row r="17" spans="1:13" x14ac:dyDescent="0.3">
      <c r="A17" s="1" t="s">
        <v>79</v>
      </c>
      <c r="B17" s="1" t="s">
        <v>80</v>
      </c>
      <c r="C17" s="1">
        <v>23</v>
      </c>
      <c r="D17" s="1" t="s">
        <v>18</v>
      </c>
      <c r="E17" s="1">
        <v>1030000</v>
      </c>
      <c r="F17" s="7">
        <v>0.12</v>
      </c>
      <c r="G17" s="1">
        <v>36</v>
      </c>
      <c r="H17" s="1" t="s">
        <v>81</v>
      </c>
      <c r="I17" s="8">
        <f t="shared" si="1"/>
        <v>34210.739107236725</v>
      </c>
      <c r="J17" s="8">
        <f t="shared" si="0"/>
        <v>1231586.6078605221</v>
      </c>
      <c r="K17" s="1" t="s">
        <v>82</v>
      </c>
      <c r="L17" s="1">
        <v>803</v>
      </c>
      <c r="M17" s="1" t="s">
        <v>20</v>
      </c>
    </row>
    <row r="18" spans="1:13" x14ac:dyDescent="0.3">
      <c r="A18" s="1" t="s">
        <v>83</v>
      </c>
      <c r="B18" s="1" t="s">
        <v>84</v>
      </c>
      <c r="C18" s="1">
        <v>42</v>
      </c>
      <c r="D18" s="1" t="s">
        <v>23</v>
      </c>
      <c r="E18" s="1">
        <v>5270000</v>
      </c>
      <c r="F18" s="7">
        <v>0.125</v>
      </c>
      <c r="G18" s="1">
        <v>24</v>
      </c>
      <c r="H18" s="1" t="s">
        <v>85</v>
      </c>
      <c r="I18" s="8">
        <f t="shared" si="1"/>
        <v>249309.51440108244</v>
      </c>
      <c r="J18" s="8">
        <f t="shared" si="0"/>
        <v>5983428.3456259789</v>
      </c>
      <c r="K18" s="1" t="s">
        <v>86</v>
      </c>
      <c r="L18" s="1">
        <v>745</v>
      </c>
      <c r="M18" s="1" t="s">
        <v>16</v>
      </c>
    </row>
    <row r="19" spans="1:13" x14ac:dyDescent="0.3">
      <c r="A19" s="1" t="s">
        <v>87</v>
      </c>
      <c r="B19" s="1" t="s">
        <v>88</v>
      </c>
      <c r="C19" s="1">
        <v>22</v>
      </c>
      <c r="D19" s="1" t="s">
        <v>18</v>
      </c>
      <c r="E19" s="1">
        <v>1910000</v>
      </c>
      <c r="F19" s="7">
        <v>0.125</v>
      </c>
      <c r="G19" s="1">
        <v>120</v>
      </c>
      <c r="H19" s="1" t="s">
        <v>89</v>
      </c>
      <c r="I19" s="8">
        <f t="shared" si="1"/>
        <v>27957.848216544564</v>
      </c>
      <c r="J19" s="8">
        <f t="shared" si="0"/>
        <v>3354941.7859853478</v>
      </c>
      <c r="K19" s="1" t="s">
        <v>90</v>
      </c>
      <c r="L19" s="1">
        <v>635</v>
      </c>
      <c r="M19" s="1" t="s">
        <v>60</v>
      </c>
    </row>
    <row r="20" spans="1:13" x14ac:dyDescent="0.3">
      <c r="A20" s="1" t="s">
        <v>91</v>
      </c>
      <c r="B20" s="1" t="s">
        <v>92</v>
      </c>
      <c r="C20" s="1">
        <v>44</v>
      </c>
      <c r="D20" s="1" t="s">
        <v>37</v>
      </c>
      <c r="E20" s="1">
        <v>530000</v>
      </c>
      <c r="F20" s="7">
        <v>0.125</v>
      </c>
      <c r="G20" s="1">
        <v>240</v>
      </c>
      <c r="H20" s="1" t="s">
        <v>93</v>
      </c>
      <c r="I20" s="8">
        <f t="shared" si="1"/>
        <v>6021.5449134861574</v>
      </c>
      <c r="J20" s="8">
        <f t="shared" si="0"/>
        <v>1445170.7792366778</v>
      </c>
      <c r="K20" s="1" t="s">
        <v>94</v>
      </c>
      <c r="L20" s="1">
        <v>871</v>
      </c>
      <c r="M20" s="1" t="s">
        <v>16</v>
      </c>
    </row>
    <row r="21" spans="1:13" x14ac:dyDescent="0.3">
      <c r="A21" s="1" t="s">
        <v>95</v>
      </c>
      <c r="B21" s="1" t="s">
        <v>96</v>
      </c>
      <c r="C21" s="1">
        <v>64</v>
      </c>
      <c r="D21" s="1" t="s">
        <v>23</v>
      </c>
      <c r="E21" s="1">
        <v>4660000</v>
      </c>
      <c r="F21" s="7">
        <v>0.125</v>
      </c>
      <c r="G21" s="1">
        <v>60</v>
      </c>
      <c r="H21" s="1" t="s">
        <v>97</v>
      </c>
      <c r="I21" s="8">
        <f t="shared" si="1"/>
        <v>104840.3921304378</v>
      </c>
      <c r="J21" s="8">
        <f t="shared" si="0"/>
        <v>6290423.5278262682</v>
      </c>
      <c r="K21" s="1" t="s">
        <v>25</v>
      </c>
      <c r="L21" s="1">
        <v>559</v>
      </c>
      <c r="M21" s="1" t="s">
        <v>20</v>
      </c>
    </row>
    <row r="22" spans="1:13" x14ac:dyDescent="0.3">
      <c r="A22" s="1" t="s">
        <v>98</v>
      </c>
      <c r="B22" s="1" t="s">
        <v>99</v>
      </c>
      <c r="C22" s="1">
        <v>50</v>
      </c>
      <c r="D22" s="1" t="s">
        <v>18</v>
      </c>
      <c r="E22" s="1">
        <v>1410000</v>
      </c>
      <c r="F22" s="7">
        <v>0.08</v>
      </c>
      <c r="G22" s="1">
        <v>36</v>
      </c>
      <c r="H22" s="1" t="s">
        <v>100</v>
      </c>
      <c r="I22" s="8">
        <f t="shared" si="1"/>
        <v>44184.275300617497</v>
      </c>
      <c r="J22" s="8">
        <f t="shared" si="0"/>
        <v>1590633.9108222299</v>
      </c>
      <c r="K22" s="1" t="s">
        <v>90</v>
      </c>
      <c r="L22" s="1">
        <v>554</v>
      </c>
      <c r="M22" s="1" t="s">
        <v>16</v>
      </c>
    </row>
    <row r="23" spans="1:13" x14ac:dyDescent="0.3">
      <c r="A23" s="1" t="s">
        <v>101</v>
      </c>
      <c r="B23" s="1" t="s">
        <v>102</v>
      </c>
      <c r="C23" s="1">
        <v>58</v>
      </c>
      <c r="D23" s="1" t="s">
        <v>27</v>
      </c>
      <c r="E23" s="1">
        <v>180000</v>
      </c>
      <c r="F23" s="7">
        <v>9.5000000000000001E-2</v>
      </c>
      <c r="G23" s="1">
        <v>24</v>
      </c>
      <c r="H23" s="1" t="s">
        <v>103</v>
      </c>
      <c r="I23" s="8">
        <f t="shared" si="1"/>
        <v>8264.6087380065565</v>
      </c>
      <c r="J23" s="8">
        <f t="shared" si="0"/>
        <v>198350.60971215734</v>
      </c>
      <c r="K23" s="1" t="s">
        <v>104</v>
      </c>
      <c r="L23" s="1">
        <v>672</v>
      </c>
      <c r="M23" s="1" t="s">
        <v>16</v>
      </c>
    </row>
    <row r="24" spans="1:13" x14ac:dyDescent="0.3">
      <c r="A24" s="1" t="s">
        <v>105</v>
      </c>
      <c r="B24" s="1" t="s">
        <v>106</v>
      </c>
      <c r="C24" s="1">
        <v>22</v>
      </c>
      <c r="D24" s="1" t="s">
        <v>15</v>
      </c>
      <c r="E24" s="1">
        <v>290000</v>
      </c>
      <c r="F24" s="7">
        <v>0.13</v>
      </c>
      <c r="G24" s="1">
        <v>12</v>
      </c>
      <c r="H24" s="1" t="s">
        <v>107</v>
      </c>
      <c r="I24" s="8">
        <f t="shared" si="1"/>
        <v>25902.009956407204</v>
      </c>
      <c r="J24" s="8">
        <f t="shared" si="0"/>
        <v>310824.11947688647</v>
      </c>
      <c r="K24" s="1" t="s">
        <v>108</v>
      </c>
      <c r="L24" s="1">
        <v>879</v>
      </c>
      <c r="M24" s="1" t="s">
        <v>20</v>
      </c>
    </row>
    <row r="25" spans="1:13" x14ac:dyDescent="0.3">
      <c r="A25" s="1" t="s">
        <v>109</v>
      </c>
      <c r="B25" s="1" t="s">
        <v>110</v>
      </c>
      <c r="C25" s="1">
        <v>41</v>
      </c>
      <c r="D25" s="1" t="s">
        <v>32</v>
      </c>
      <c r="E25" s="1">
        <v>270000</v>
      </c>
      <c r="F25" s="7">
        <v>0.105</v>
      </c>
      <c r="G25" s="1">
        <v>60</v>
      </c>
      <c r="H25" s="1" t="s">
        <v>111</v>
      </c>
      <c r="I25" s="8">
        <f t="shared" si="1"/>
        <v>5803.3531020917144</v>
      </c>
      <c r="J25" s="8">
        <f t="shared" si="0"/>
        <v>348201.18612550286</v>
      </c>
      <c r="K25" s="1" t="s">
        <v>34</v>
      </c>
      <c r="L25" s="1">
        <v>667</v>
      </c>
      <c r="M25" s="1" t="s">
        <v>16</v>
      </c>
    </row>
    <row r="26" spans="1:13" x14ac:dyDescent="0.3">
      <c r="A26" s="1" t="s">
        <v>112</v>
      </c>
      <c r="B26" s="1" t="s">
        <v>113</v>
      </c>
      <c r="C26" s="1">
        <v>53</v>
      </c>
      <c r="D26" s="1" t="s">
        <v>42</v>
      </c>
      <c r="E26" s="1">
        <v>1020000</v>
      </c>
      <c r="F26" s="7">
        <v>0.13</v>
      </c>
      <c r="G26" s="1">
        <v>60</v>
      </c>
      <c r="H26" s="1" t="s">
        <v>114</v>
      </c>
      <c r="I26" s="8">
        <f t="shared" si="1"/>
        <v>23208.134505108505</v>
      </c>
      <c r="J26" s="8">
        <f t="shared" si="0"/>
        <v>1392488.0703065102</v>
      </c>
      <c r="K26" s="1" t="s">
        <v>115</v>
      </c>
      <c r="L26" s="1">
        <v>843</v>
      </c>
      <c r="M26" s="1" t="s">
        <v>20</v>
      </c>
    </row>
    <row r="27" spans="1:13" x14ac:dyDescent="0.3">
      <c r="A27" s="1" t="s">
        <v>116</v>
      </c>
      <c r="B27" s="1" t="s">
        <v>117</v>
      </c>
      <c r="C27" s="1">
        <v>32</v>
      </c>
      <c r="D27" s="1" t="s">
        <v>18</v>
      </c>
      <c r="E27" s="1">
        <v>1670000</v>
      </c>
      <c r="F27" s="7">
        <v>0.09</v>
      </c>
      <c r="G27" s="1">
        <v>180</v>
      </c>
      <c r="H27" s="1" t="s">
        <v>118</v>
      </c>
      <c r="I27" s="8">
        <f t="shared" si="1"/>
        <v>16938.251955501808</v>
      </c>
      <c r="J27" s="8">
        <f t="shared" si="0"/>
        <v>3048885.3519903254</v>
      </c>
      <c r="K27" s="1" t="s">
        <v>119</v>
      </c>
      <c r="L27" s="1">
        <v>708</v>
      </c>
      <c r="M27" s="1" t="s">
        <v>16</v>
      </c>
    </row>
    <row r="28" spans="1:13" x14ac:dyDescent="0.3">
      <c r="A28" s="1" t="s">
        <v>120</v>
      </c>
      <c r="B28" s="1" t="s">
        <v>121</v>
      </c>
      <c r="C28" s="1">
        <v>42</v>
      </c>
      <c r="D28" s="1" t="s">
        <v>27</v>
      </c>
      <c r="E28" s="1">
        <v>170000</v>
      </c>
      <c r="F28" s="7">
        <v>7.4999999999999997E-2</v>
      </c>
      <c r="G28" s="1">
        <v>240</v>
      </c>
      <c r="H28" s="1" t="s">
        <v>122</v>
      </c>
      <c r="I28" s="8">
        <f t="shared" si="1"/>
        <v>1369.5084290380723</v>
      </c>
      <c r="J28" s="8">
        <f t="shared" si="0"/>
        <v>328682.02296913735</v>
      </c>
      <c r="K28" s="1" t="s">
        <v>52</v>
      </c>
      <c r="L28" s="1">
        <v>852</v>
      </c>
      <c r="M28" s="1" t="s">
        <v>16</v>
      </c>
    </row>
    <row r="29" spans="1:13" x14ac:dyDescent="0.3">
      <c r="A29" s="1" t="s">
        <v>123</v>
      </c>
      <c r="B29" s="1" t="s">
        <v>124</v>
      </c>
      <c r="C29" s="1">
        <v>64</v>
      </c>
      <c r="D29" s="1" t="s">
        <v>37</v>
      </c>
      <c r="E29" s="1">
        <v>1010000</v>
      </c>
      <c r="F29" s="7">
        <v>0.09</v>
      </c>
      <c r="G29" s="1">
        <v>240</v>
      </c>
      <c r="H29" s="1" t="s">
        <v>125</v>
      </c>
      <c r="I29" s="8">
        <f t="shared" si="1"/>
        <v>9087.232154086747</v>
      </c>
      <c r="J29" s="8">
        <f t="shared" si="0"/>
        <v>2180935.7169808191</v>
      </c>
      <c r="K29" s="1" t="s">
        <v>64</v>
      </c>
      <c r="L29" s="1">
        <v>777</v>
      </c>
      <c r="M29" s="1" t="s">
        <v>16</v>
      </c>
    </row>
    <row r="30" spans="1:13" x14ac:dyDescent="0.3">
      <c r="A30" s="1" t="s">
        <v>126</v>
      </c>
      <c r="B30" s="1" t="s">
        <v>127</v>
      </c>
      <c r="C30" s="1">
        <v>45</v>
      </c>
      <c r="D30" s="1" t="s">
        <v>15</v>
      </c>
      <c r="E30" s="1">
        <v>340000</v>
      </c>
      <c r="F30" s="7">
        <v>0.08</v>
      </c>
      <c r="G30" s="1">
        <v>84</v>
      </c>
      <c r="H30" s="1" t="s">
        <v>128</v>
      </c>
      <c r="I30" s="8">
        <f t="shared" si="1"/>
        <v>5299.3128969076442</v>
      </c>
      <c r="J30" s="8">
        <f t="shared" si="0"/>
        <v>445142.28334024211</v>
      </c>
      <c r="K30" s="1" t="s">
        <v>52</v>
      </c>
      <c r="L30" s="1">
        <v>765</v>
      </c>
      <c r="M30" s="1" t="s">
        <v>20</v>
      </c>
    </row>
    <row r="31" spans="1:13" x14ac:dyDescent="0.3">
      <c r="A31" s="1" t="s">
        <v>129</v>
      </c>
      <c r="B31" s="1" t="s">
        <v>130</v>
      </c>
      <c r="C31" s="1">
        <v>47</v>
      </c>
      <c r="D31" s="1" t="s">
        <v>32</v>
      </c>
      <c r="E31" s="1">
        <v>300000</v>
      </c>
      <c r="F31" s="7">
        <v>0.105</v>
      </c>
      <c r="G31" s="1">
        <v>120</v>
      </c>
      <c r="H31" s="1" t="s">
        <v>131</v>
      </c>
      <c r="I31" s="8">
        <f t="shared" si="1"/>
        <v>4048.0499032664093</v>
      </c>
      <c r="J31" s="8">
        <f t="shared" si="0"/>
        <v>485765.98839196912</v>
      </c>
      <c r="K31" s="1" t="s">
        <v>132</v>
      </c>
      <c r="L31" s="1">
        <v>733</v>
      </c>
      <c r="M31" s="1" t="s">
        <v>16</v>
      </c>
    </row>
    <row r="32" spans="1:13" x14ac:dyDescent="0.3">
      <c r="A32" s="1" t="s">
        <v>133</v>
      </c>
      <c r="B32" s="1" t="s">
        <v>134</v>
      </c>
      <c r="C32" s="1">
        <v>62</v>
      </c>
      <c r="D32" s="1" t="s">
        <v>18</v>
      </c>
      <c r="E32" s="1">
        <v>270000</v>
      </c>
      <c r="F32" s="7">
        <v>0.08</v>
      </c>
      <c r="G32" s="1">
        <v>36</v>
      </c>
      <c r="H32" s="1" t="s">
        <v>135</v>
      </c>
      <c r="I32" s="8">
        <f t="shared" si="1"/>
        <v>8460.8186745863295</v>
      </c>
      <c r="J32" s="8">
        <f t="shared" si="0"/>
        <v>304589.47228510788</v>
      </c>
      <c r="K32" s="1" t="s">
        <v>136</v>
      </c>
      <c r="L32" s="1">
        <v>564</v>
      </c>
      <c r="M32" s="1" t="s">
        <v>16</v>
      </c>
    </row>
    <row r="33" spans="1:13" x14ac:dyDescent="0.3">
      <c r="A33" s="1" t="s">
        <v>137</v>
      </c>
      <c r="B33" s="1" t="s">
        <v>138</v>
      </c>
      <c r="C33" s="1">
        <v>48</v>
      </c>
      <c r="D33" s="1" t="s">
        <v>37</v>
      </c>
      <c r="E33" s="1">
        <v>2910000</v>
      </c>
      <c r="F33" s="7">
        <v>0.11</v>
      </c>
      <c r="G33" s="1">
        <v>84</v>
      </c>
      <c r="H33" s="1" t="s">
        <v>139</v>
      </c>
      <c r="I33" s="8">
        <f t="shared" si="1"/>
        <v>49826.29002555539</v>
      </c>
      <c r="J33" s="8">
        <f t="shared" si="0"/>
        <v>4185408.3621466528</v>
      </c>
      <c r="K33" s="1" t="s">
        <v>21</v>
      </c>
      <c r="L33" s="1">
        <v>706</v>
      </c>
      <c r="M33" s="1" t="s">
        <v>60</v>
      </c>
    </row>
    <row r="34" spans="1:13" x14ac:dyDescent="0.3">
      <c r="A34" s="1" t="s">
        <v>140</v>
      </c>
      <c r="B34" s="1" t="s">
        <v>141</v>
      </c>
      <c r="C34" s="1">
        <v>36</v>
      </c>
      <c r="D34" s="1" t="s">
        <v>18</v>
      </c>
      <c r="E34" s="1">
        <v>1060000</v>
      </c>
      <c r="F34" s="7">
        <v>0.12</v>
      </c>
      <c r="G34" s="1">
        <v>180</v>
      </c>
      <c r="H34" s="1" t="s">
        <v>142</v>
      </c>
      <c r="I34" s="8">
        <f t="shared" si="1"/>
        <v>12721.781458170044</v>
      </c>
      <c r="J34" s="8">
        <f t="shared" si="0"/>
        <v>2289920.662470608</v>
      </c>
      <c r="K34" s="1" t="s">
        <v>143</v>
      </c>
      <c r="L34" s="1">
        <v>685</v>
      </c>
      <c r="M34" s="1" t="s">
        <v>20</v>
      </c>
    </row>
    <row r="35" spans="1:13" x14ac:dyDescent="0.3">
      <c r="A35" s="1" t="s">
        <v>144</v>
      </c>
      <c r="B35" s="1" t="s">
        <v>145</v>
      </c>
      <c r="C35" s="1">
        <v>35</v>
      </c>
      <c r="D35" s="1" t="s">
        <v>15</v>
      </c>
      <c r="E35" s="1">
        <v>580000</v>
      </c>
      <c r="F35" s="7">
        <v>0.12</v>
      </c>
      <c r="G35" s="1">
        <v>84</v>
      </c>
      <c r="H35" s="1" t="s">
        <v>146</v>
      </c>
      <c r="I35" s="8">
        <f t="shared" si="1"/>
        <v>10238.585022302816</v>
      </c>
      <c r="J35" s="8">
        <f t="shared" si="0"/>
        <v>860041.14187343651</v>
      </c>
      <c r="K35" s="1" t="s">
        <v>147</v>
      </c>
      <c r="L35" s="1">
        <v>810</v>
      </c>
      <c r="M35" s="1" t="s">
        <v>16</v>
      </c>
    </row>
    <row r="36" spans="1:13" x14ac:dyDescent="0.3">
      <c r="A36" s="1" t="s">
        <v>148</v>
      </c>
      <c r="B36" s="1" t="s">
        <v>149</v>
      </c>
      <c r="C36" s="1">
        <v>64</v>
      </c>
      <c r="D36" s="1" t="s">
        <v>27</v>
      </c>
      <c r="E36" s="1">
        <v>910000</v>
      </c>
      <c r="F36" s="7">
        <v>7.4999999999999997E-2</v>
      </c>
      <c r="G36" s="1">
        <v>48</v>
      </c>
      <c r="H36" s="1" t="s">
        <v>150</v>
      </c>
      <c r="I36" s="8">
        <f t="shared" si="1"/>
        <v>22002.800763335421</v>
      </c>
      <c r="J36" s="8">
        <f t="shared" si="0"/>
        <v>1056134.4366401001</v>
      </c>
      <c r="K36" s="1" t="s">
        <v>151</v>
      </c>
      <c r="L36" s="1">
        <v>706</v>
      </c>
      <c r="M36" s="1" t="s">
        <v>60</v>
      </c>
    </row>
    <row r="37" spans="1:13" x14ac:dyDescent="0.3">
      <c r="A37" s="1" t="s">
        <v>152</v>
      </c>
      <c r="B37" s="1" t="s">
        <v>153</v>
      </c>
      <c r="C37" s="1">
        <v>23</v>
      </c>
      <c r="D37" s="1" t="s">
        <v>15</v>
      </c>
      <c r="E37" s="1">
        <v>480000</v>
      </c>
      <c r="F37" s="7">
        <v>9.5000000000000001E-2</v>
      </c>
      <c r="G37" s="1">
        <v>36</v>
      </c>
      <c r="H37" s="1" t="s">
        <v>154</v>
      </c>
      <c r="I37" s="8">
        <f t="shared" si="1"/>
        <v>15375.81587557521</v>
      </c>
      <c r="J37" s="8">
        <f t="shared" si="0"/>
        <v>553529.37152070762</v>
      </c>
      <c r="K37" s="1" t="s">
        <v>155</v>
      </c>
      <c r="L37" s="1">
        <v>596</v>
      </c>
      <c r="M37" s="1" t="s">
        <v>16</v>
      </c>
    </row>
    <row r="38" spans="1:13" x14ac:dyDescent="0.3">
      <c r="A38" s="1" t="s">
        <v>156</v>
      </c>
      <c r="B38" s="1" t="s">
        <v>157</v>
      </c>
      <c r="C38" s="1">
        <v>57</v>
      </c>
      <c r="D38" s="1" t="s">
        <v>18</v>
      </c>
      <c r="E38" s="1">
        <v>1810000</v>
      </c>
      <c r="F38" s="7">
        <v>0.125</v>
      </c>
      <c r="G38" s="1">
        <v>120</v>
      </c>
      <c r="H38" s="1" t="s">
        <v>158</v>
      </c>
      <c r="I38" s="8">
        <f t="shared" si="1"/>
        <v>26494.086529814482</v>
      </c>
      <c r="J38" s="8">
        <f t="shared" si="0"/>
        <v>3179290.383577738</v>
      </c>
      <c r="K38" s="1" t="s">
        <v>159</v>
      </c>
      <c r="L38" s="1">
        <v>873</v>
      </c>
      <c r="M38" s="1" t="s">
        <v>20</v>
      </c>
    </row>
    <row r="39" spans="1:13" x14ac:dyDescent="0.3">
      <c r="A39" s="1" t="s">
        <v>160</v>
      </c>
      <c r="B39" s="1" t="s">
        <v>161</v>
      </c>
      <c r="C39" s="1">
        <v>27</v>
      </c>
      <c r="D39" s="1" t="s">
        <v>23</v>
      </c>
      <c r="E39" s="1">
        <v>8050000</v>
      </c>
      <c r="F39" s="7">
        <v>0.13</v>
      </c>
      <c r="G39" s="1">
        <v>12</v>
      </c>
      <c r="H39" s="1" t="s">
        <v>162</v>
      </c>
      <c r="I39" s="8">
        <f t="shared" si="1"/>
        <v>719004.06947957922</v>
      </c>
      <c r="J39" s="8">
        <f t="shared" si="0"/>
        <v>8628048.8337549511</v>
      </c>
      <c r="K39" s="1" t="s">
        <v>90</v>
      </c>
      <c r="L39" s="1">
        <v>881</v>
      </c>
      <c r="M39" s="1" t="s">
        <v>16</v>
      </c>
    </row>
    <row r="40" spans="1:13" x14ac:dyDescent="0.3">
      <c r="A40" s="1" t="s">
        <v>163</v>
      </c>
      <c r="B40" s="1" t="s">
        <v>164</v>
      </c>
      <c r="C40" s="1">
        <v>41</v>
      </c>
      <c r="D40" s="1" t="s">
        <v>27</v>
      </c>
      <c r="E40" s="1">
        <v>490000</v>
      </c>
      <c r="F40" s="7">
        <v>0.125</v>
      </c>
      <c r="G40" s="1">
        <v>48</v>
      </c>
      <c r="H40" s="1" t="s">
        <v>165</v>
      </c>
      <c r="I40" s="8">
        <f t="shared" si="1"/>
        <v>13024.199456967881</v>
      </c>
      <c r="J40" s="8">
        <f t="shared" si="0"/>
        <v>625161.57393445831</v>
      </c>
      <c r="K40" s="1" t="s">
        <v>94</v>
      </c>
      <c r="L40" s="1">
        <v>722</v>
      </c>
      <c r="M40" s="1" t="s">
        <v>16</v>
      </c>
    </row>
    <row r="41" spans="1:13" x14ac:dyDescent="0.3">
      <c r="A41" s="1" t="s">
        <v>166</v>
      </c>
      <c r="B41" s="1" t="s">
        <v>167</v>
      </c>
      <c r="C41" s="1">
        <v>29</v>
      </c>
      <c r="D41" s="1" t="s">
        <v>42</v>
      </c>
      <c r="E41" s="1">
        <v>1100000</v>
      </c>
      <c r="F41" s="7">
        <v>0.13</v>
      </c>
      <c r="G41" s="1">
        <v>48</v>
      </c>
      <c r="H41" s="1" t="s">
        <v>168</v>
      </c>
      <c r="I41" s="8">
        <f t="shared" si="1"/>
        <v>29510.245483141382</v>
      </c>
      <c r="J41" s="8">
        <f t="shared" si="0"/>
        <v>1416491.7831907864</v>
      </c>
      <c r="K41" s="1" t="s">
        <v>68</v>
      </c>
      <c r="L41" s="1">
        <v>679</v>
      </c>
      <c r="M41" s="1" t="s">
        <v>16</v>
      </c>
    </row>
    <row r="42" spans="1:13" x14ac:dyDescent="0.3">
      <c r="A42" s="1" t="s">
        <v>169</v>
      </c>
      <c r="B42" s="1" t="s">
        <v>170</v>
      </c>
      <c r="C42" s="1">
        <v>59</v>
      </c>
      <c r="D42" s="1" t="s">
        <v>37</v>
      </c>
      <c r="E42" s="1">
        <v>4260000</v>
      </c>
      <c r="F42" s="7">
        <v>8.5000000000000006E-2</v>
      </c>
      <c r="G42" s="1">
        <v>36</v>
      </c>
      <c r="H42" s="1" t="s">
        <v>171</v>
      </c>
      <c r="I42" s="8">
        <f t="shared" si="1"/>
        <v>134477.70942435451</v>
      </c>
      <c r="J42" s="8">
        <f t="shared" si="0"/>
        <v>4841197.5392767629</v>
      </c>
      <c r="K42" s="1" t="s">
        <v>52</v>
      </c>
      <c r="L42" s="1">
        <v>644</v>
      </c>
      <c r="M42" s="1" t="s">
        <v>20</v>
      </c>
    </row>
    <row r="43" spans="1:13" x14ac:dyDescent="0.3">
      <c r="A43" s="1" t="s">
        <v>172</v>
      </c>
      <c r="B43" s="1" t="s">
        <v>173</v>
      </c>
      <c r="C43" s="1">
        <v>38</v>
      </c>
      <c r="D43" s="1" t="s">
        <v>23</v>
      </c>
      <c r="E43" s="1">
        <v>7330000</v>
      </c>
      <c r="F43" s="7">
        <v>0.08</v>
      </c>
      <c r="G43" s="1">
        <v>48</v>
      </c>
      <c r="H43" s="1" t="s">
        <v>174</v>
      </c>
      <c r="I43" s="8">
        <f t="shared" si="1"/>
        <v>178946.7207632132</v>
      </c>
      <c r="J43" s="8">
        <f t="shared" si="0"/>
        <v>8589442.5966342334</v>
      </c>
      <c r="K43" s="1" t="s">
        <v>108</v>
      </c>
      <c r="L43" s="1">
        <v>664</v>
      </c>
      <c r="M43" s="1" t="s">
        <v>16</v>
      </c>
    </row>
    <row r="44" spans="1:13" x14ac:dyDescent="0.3">
      <c r="A44" s="1" t="s">
        <v>175</v>
      </c>
      <c r="B44" s="1" t="s">
        <v>176</v>
      </c>
      <c r="C44" s="1">
        <v>24</v>
      </c>
      <c r="D44" s="1" t="s">
        <v>18</v>
      </c>
      <c r="E44" s="1">
        <v>990000</v>
      </c>
      <c r="F44" s="7">
        <v>7.4999999999999997E-2</v>
      </c>
      <c r="G44" s="1">
        <v>12</v>
      </c>
      <c r="H44" s="1" t="s">
        <v>177</v>
      </c>
      <c r="I44" s="8">
        <f t="shared" si="1"/>
        <v>85889.842716553132</v>
      </c>
      <c r="J44" s="8">
        <f t="shared" si="0"/>
        <v>1030678.1125986376</v>
      </c>
      <c r="K44" s="1" t="s">
        <v>64</v>
      </c>
      <c r="L44" s="1">
        <v>792</v>
      </c>
      <c r="M44" s="1" t="s">
        <v>20</v>
      </c>
    </row>
    <row r="45" spans="1:13" x14ac:dyDescent="0.3">
      <c r="A45" s="1" t="s">
        <v>178</v>
      </c>
      <c r="B45" s="1" t="s">
        <v>179</v>
      </c>
      <c r="C45" s="1">
        <v>45</v>
      </c>
      <c r="D45" s="1" t="s">
        <v>42</v>
      </c>
      <c r="E45" s="1">
        <v>470000</v>
      </c>
      <c r="F45" s="7">
        <v>0.13</v>
      </c>
      <c r="G45" s="1">
        <v>240</v>
      </c>
      <c r="H45" s="1" t="s">
        <v>180</v>
      </c>
      <c r="I45" s="8">
        <f t="shared" si="1"/>
        <v>5506.4058430080267</v>
      </c>
      <c r="J45" s="8">
        <f t="shared" si="0"/>
        <v>1321537.4023219263</v>
      </c>
      <c r="K45" s="1" t="s">
        <v>29</v>
      </c>
      <c r="L45" s="1">
        <v>841</v>
      </c>
      <c r="M45" s="1" t="s">
        <v>20</v>
      </c>
    </row>
    <row r="46" spans="1:13" x14ac:dyDescent="0.3">
      <c r="A46" s="1" t="s">
        <v>181</v>
      </c>
      <c r="B46" s="1" t="s">
        <v>182</v>
      </c>
      <c r="C46" s="1">
        <v>34</v>
      </c>
      <c r="D46" s="1" t="s">
        <v>15</v>
      </c>
      <c r="E46" s="1">
        <v>1630000</v>
      </c>
      <c r="F46" s="7">
        <v>8.5000000000000006E-2</v>
      </c>
      <c r="G46" s="1">
        <v>36</v>
      </c>
      <c r="H46" s="1" t="s">
        <v>183</v>
      </c>
      <c r="I46" s="8">
        <f t="shared" si="1"/>
        <v>51455.086000398558</v>
      </c>
      <c r="J46" s="8">
        <f t="shared" si="0"/>
        <v>1852383.0960143481</v>
      </c>
      <c r="K46" s="1" t="s">
        <v>108</v>
      </c>
      <c r="L46" s="1">
        <v>831</v>
      </c>
      <c r="M46" s="1" t="s">
        <v>20</v>
      </c>
    </row>
    <row r="47" spans="1:13" x14ac:dyDescent="0.3">
      <c r="A47" s="1" t="s">
        <v>184</v>
      </c>
      <c r="B47" s="1" t="s">
        <v>185</v>
      </c>
      <c r="C47" s="1">
        <v>29</v>
      </c>
      <c r="D47" s="1" t="s">
        <v>23</v>
      </c>
      <c r="E47" s="1">
        <v>3230000</v>
      </c>
      <c r="F47" s="7">
        <v>0.13</v>
      </c>
      <c r="G47" s="1">
        <v>24</v>
      </c>
      <c r="H47" s="1" t="s">
        <v>186</v>
      </c>
      <c r="I47" s="8">
        <f t="shared" si="1"/>
        <v>153560.08696069676</v>
      </c>
      <c r="J47" s="8">
        <f t="shared" si="0"/>
        <v>3685442.0870567225</v>
      </c>
      <c r="K47" s="1" t="s">
        <v>187</v>
      </c>
      <c r="L47" s="1">
        <v>848</v>
      </c>
      <c r="M47" s="1" t="s">
        <v>20</v>
      </c>
    </row>
    <row r="48" spans="1:13" x14ac:dyDescent="0.3">
      <c r="A48" s="1" t="s">
        <v>188</v>
      </c>
      <c r="B48" s="1" t="s">
        <v>189</v>
      </c>
      <c r="C48" s="1">
        <v>46</v>
      </c>
      <c r="D48" s="1" t="s">
        <v>18</v>
      </c>
      <c r="E48" s="1">
        <v>1570000</v>
      </c>
      <c r="F48" s="7">
        <v>7.4999999999999997E-2</v>
      </c>
      <c r="G48" s="1">
        <v>84</v>
      </c>
      <c r="H48" s="1" t="s">
        <v>190</v>
      </c>
      <c r="I48" s="8">
        <f t="shared" si="1"/>
        <v>24081.093089406324</v>
      </c>
      <c r="J48" s="8">
        <f t="shared" si="0"/>
        <v>2022811.8195101311</v>
      </c>
      <c r="K48" s="1" t="s">
        <v>191</v>
      </c>
      <c r="L48" s="1">
        <v>832</v>
      </c>
      <c r="M48" s="1" t="s">
        <v>16</v>
      </c>
    </row>
    <row r="49" spans="1:13" x14ac:dyDescent="0.3">
      <c r="A49" s="1" t="s">
        <v>192</v>
      </c>
      <c r="B49" s="1" t="s">
        <v>193</v>
      </c>
      <c r="C49" s="1">
        <v>22</v>
      </c>
      <c r="D49" s="1" t="s">
        <v>42</v>
      </c>
      <c r="E49" s="1">
        <v>1030000</v>
      </c>
      <c r="F49" s="7">
        <v>8.5000000000000006E-2</v>
      </c>
      <c r="G49" s="1">
        <v>12</v>
      </c>
      <c r="H49" s="1" t="s">
        <v>194</v>
      </c>
      <c r="I49" s="8">
        <f t="shared" si="1"/>
        <v>89836.375933895513</v>
      </c>
      <c r="J49" s="8">
        <f t="shared" si="0"/>
        <v>1078036.5112067461</v>
      </c>
      <c r="K49" s="1" t="s">
        <v>48</v>
      </c>
      <c r="L49" s="1">
        <v>618</v>
      </c>
      <c r="M49" s="1" t="s">
        <v>16</v>
      </c>
    </row>
    <row r="50" spans="1:13" x14ac:dyDescent="0.3">
      <c r="A50" s="1" t="s">
        <v>195</v>
      </c>
      <c r="B50" s="1" t="s">
        <v>196</v>
      </c>
      <c r="C50" s="1">
        <v>40</v>
      </c>
      <c r="D50" s="1" t="s">
        <v>27</v>
      </c>
      <c r="E50" s="1">
        <v>220000</v>
      </c>
      <c r="F50" s="7">
        <v>0.11</v>
      </c>
      <c r="G50" s="1">
        <v>120</v>
      </c>
      <c r="H50" s="1" t="s">
        <v>197</v>
      </c>
      <c r="I50" s="8">
        <f t="shared" si="1"/>
        <v>3030.500248422295</v>
      </c>
      <c r="J50" s="8">
        <f t="shared" si="0"/>
        <v>363660.02981067542</v>
      </c>
      <c r="K50" s="1" t="s">
        <v>90</v>
      </c>
      <c r="L50" s="1">
        <v>697</v>
      </c>
      <c r="M50" s="1" t="s">
        <v>20</v>
      </c>
    </row>
    <row r="51" spans="1:13" x14ac:dyDescent="0.3">
      <c r="A51" s="1" t="s">
        <v>198</v>
      </c>
      <c r="B51" s="1" t="s">
        <v>199</v>
      </c>
      <c r="C51" s="1">
        <v>48</v>
      </c>
      <c r="D51" s="1" t="s">
        <v>15</v>
      </c>
      <c r="E51" s="1">
        <v>570000</v>
      </c>
      <c r="F51" s="7">
        <v>0.1</v>
      </c>
      <c r="G51" s="1">
        <v>60</v>
      </c>
      <c r="H51" s="1" t="s">
        <v>200</v>
      </c>
      <c r="I51" s="8">
        <f t="shared" si="1"/>
        <v>12110.815485422916</v>
      </c>
      <c r="J51" s="8">
        <f t="shared" si="0"/>
        <v>726648.929125375</v>
      </c>
      <c r="K51" s="1" t="s">
        <v>201</v>
      </c>
      <c r="L51" s="1">
        <v>560</v>
      </c>
      <c r="M51" s="1" t="s">
        <v>16</v>
      </c>
    </row>
    <row r="52" spans="1:13" x14ac:dyDescent="0.3">
      <c r="A52" s="1" t="s">
        <v>202</v>
      </c>
      <c r="B52" s="1" t="s">
        <v>203</v>
      </c>
      <c r="C52" s="1">
        <v>27</v>
      </c>
      <c r="D52" s="1" t="s">
        <v>42</v>
      </c>
      <c r="E52" s="1">
        <v>1430000</v>
      </c>
      <c r="F52" s="7">
        <v>0.115</v>
      </c>
      <c r="G52" s="1">
        <v>240</v>
      </c>
      <c r="H52" s="1" t="s">
        <v>204</v>
      </c>
      <c r="I52" s="8">
        <f t="shared" si="1"/>
        <v>15249.943730633884</v>
      </c>
      <c r="J52" s="8">
        <f t="shared" si="0"/>
        <v>3659986.4953521322</v>
      </c>
      <c r="K52" s="1" t="s">
        <v>205</v>
      </c>
      <c r="L52" s="1">
        <v>803</v>
      </c>
      <c r="M52" s="1" t="s">
        <v>60</v>
      </c>
    </row>
    <row r="53" spans="1:13" x14ac:dyDescent="0.3">
      <c r="A53" s="1" t="s">
        <v>206</v>
      </c>
      <c r="B53" s="1" t="s">
        <v>207</v>
      </c>
      <c r="C53" s="1">
        <v>64</v>
      </c>
      <c r="D53" s="1" t="s">
        <v>15</v>
      </c>
      <c r="E53" s="1">
        <v>1020000</v>
      </c>
      <c r="F53" s="7">
        <v>0.115</v>
      </c>
      <c r="G53" s="1">
        <v>12</v>
      </c>
      <c r="H53" s="1" t="s">
        <v>208</v>
      </c>
      <c r="I53" s="8">
        <f t="shared" si="1"/>
        <v>90387.354942905236</v>
      </c>
      <c r="J53" s="8">
        <f t="shared" si="0"/>
        <v>1084648.2593148628</v>
      </c>
      <c r="K53" s="1" t="s">
        <v>34</v>
      </c>
      <c r="L53" s="1">
        <v>879</v>
      </c>
      <c r="M53" s="1" t="s">
        <v>20</v>
      </c>
    </row>
    <row r="54" spans="1:13" x14ac:dyDescent="0.3">
      <c r="A54" s="1" t="s">
        <v>209</v>
      </c>
      <c r="B54" s="1" t="s">
        <v>210</v>
      </c>
      <c r="C54" s="1">
        <v>28</v>
      </c>
      <c r="D54" s="1" t="s">
        <v>42</v>
      </c>
      <c r="E54" s="1">
        <v>1410000</v>
      </c>
      <c r="F54" s="7">
        <v>0.13</v>
      </c>
      <c r="G54" s="1">
        <v>12</v>
      </c>
      <c r="H54" s="1" t="s">
        <v>211</v>
      </c>
      <c r="I54" s="8">
        <f t="shared" si="1"/>
        <v>125937.35875356606</v>
      </c>
      <c r="J54" s="8">
        <f t="shared" si="0"/>
        <v>1511248.3050427928</v>
      </c>
      <c r="K54" s="1" t="s">
        <v>212</v>
      </c>
      <c r="L54" s="1">
        <v>587</v>
      </c>
      <c r="M54" s="1" t="s">
        <v>20</v>
      </c>
    </row>
    <row r="55" spans="1:13" x14ac:dyDescent="0.3">
      <c r="A55" s="1" t="s">
        <v>213</v>
      </c>
      <c r="B55" s="1" t="s">
        <v>214</v>
      </c>
      <c r="C55" s="1">
        <v>55</v>
      </c>
      <c r="D55" s="1" t="s">
        <v>37</v>
      </c>
      <c r="E55" s="1">
        <v>1570000</v>
      </c>
      <c r="F55" s="7">
        <v>9.5000000000000001E-2</v>
      </c>
      <c r="G55" s="1">
        <v>24</v>
      </c>
      <c r="H55" s="1" t="s">
        <v>215</v>
      </c>
      <c r="I55" s="8">
        <f t="shared" si="1"/>
        <v>72085.75399261275</v>
      </c>
      <c r="J55" s="8">
        <f t="shared" si="0"/>
        <v>1730058.0958227059</v>
      </c>
      <c r="K55" s="1" t="s">
        <v>34</v>
      </c>
      <c r="L55" s="1">
        <v>683</v>
      </c>
      <c r="M55" s="1" t="s">
        <v>16</v>
      </c>
    </row>
    <row r="56" spans="1:13" x14ac:dyDescent="0.3">
      <c r="A56" s="1" t="s">
        <v>216</v>
      </c>
      <c r="B56" s="1" t="s">
        <v>217</v>
      </c>
      <c r="C56" s="1">
        <v>34</v>
      </c>
      <c r="D56" s="1" t="s">
        <v>27</v>
      </c>
      <c r="E56" s="1">
        <v>860000</v>
      </c>
      <c r="F56" s="7">
        <v>8.5000000000000006E-2</v>
      </c>
      <c r="G56" s="1">
        <v>12</v>
      </c>
      <c r="H56" s="1" t="s">
        <v>218</v>
      </c>
      <c r="I56" s="8">
        <f t="shared" si="1"/>
        <v>75009.012915679748</v>
      </c>
      <c r="J56" s="8">
        <f t="shared" si="0"/>
        <v>900108.15498815698</v>
      </c>
      <c r="K56" s="1" t="s">
        <v>143</v>
      </c>
      <c r="L56" s="1">
        <v>749</v>
      </c>
      <c r="M56" s="1" t="s">
        <v>60</v>
      </c>
    </row>
    <row r="57" spans="1:13" x14ac:dyDescent="0.3">
      <c r="A57" s="1" t="s">
        <v>219</v>
      </c>
      <c r="B57" s="1" t="s">
        <v>220</v>
      </c>
      <c r="C57" s="1">
        <v>37</v>
      </c>
      <c r="D57" s="1" t="s">
        <v>23</v>
      </c>
      <c r="E57" s="1">
        <v>4740000</v>
      </c>
      <c r="F57" s="7">
        <v>0.1</v>
      </c>
      <c r="G57" s="1">
        <v>12</v>
      </c>
      <c r="H57" s="1" t="s">
        <v>221</v>
      </c>
      <c r="I57" s="8">
        <f t="shared" si="1"/>
        <v>416721.30547024542</v>
      </c>
      <c r="J57" s="8">
        <f t="shared" si="0"/>
        <v>5000655.6656429451</v>
      </c>
      <c r="K57" s="1" t="s">
        <v>222</v>
      </c>
      <c r="L57" s="1">
        <v>572</v>
      </c>
      <c r="M57" s="1" t="s">
        <v>16</v>
      </c>
    </row>
    <row r="58" spans="1:13" x14ac:dyDescent="0.3">
      <c r="A58" s="1" t="s">
        <v>223</v>
      </c>
      <c r="B58" s="1" t="s">
        <v>224</v>
      </c>
      <c r="C58" s="1">
        <v>56</v>
      </c>
      <c r="D58" s="1" t="s">
        <v>42</v>
      </c>
      <c r="E58" s="1">
        <v>310000</v>
      </c>
      <c r="F58" s="7">
        <v>8.5000000000000006E-2</v>
      </c>
      <c r="G58" s="1">
        <v>24</v>
      </c>
      <c r="H58" s="1" t="s">
        <v>225</v>
      </c>
      <c r="I58" s="8">
        <f t="shared" si="1"/>
        <v>14091.259213229672</v>
      </c>
      <c r="J58" s="8">
        <f t="shared" si="0"/>
        <v>338190.22111751215</v>
      </c>
      <c r="K58" s="1" t="s">
        <v>226</v>
      </c>
      <c r="L58" s="1">
        <v>852</v>
      </c>
      <c r="M58" s="1" t="s">
        <v>16</v>
      </c>
    </row>
    <row r="59" spans="1:13" x14ac:dyDescent="0.3">
      <c r="A59" s="1" t="s">
        <v>227</v>
      </c>
      <c r="B59" s="1" t="s">
        <v>228</v>
      </c>
      <c r="C59" s="1">
        <v>60</v>
      </c>
      <c r="D59" s="1" t="s">
        <v>15</v>
      </c>
      <c r="E59" s="1">
        <v>1790000</v>
      </c>
      <c r="F59" s="7">
        <v>0.13</v>
      </c>
      <c r="G59" s="1">
        <v>120</v>
      </c>
      <c r="H59" s="1" t="s">
        <v>229</v>
      </c>
      <c r="I59" s="8">
        <f t="shared" si="1"/>
        <v>26726.622455923247</v>
      </c>
      <c r="J59" s="8">
        <f t="shared" si="0"/>
        <v>3207194.6947107897</v>
      </c>
      <c r="K59" s="1" t="s">
        <v>201</v>
      </c>
      <c r="L59" s="1">
        <v>895</v>
      </c>
      <c r="M59" s="1" t="s">
        <v>16</v>
      </c>
    </row>
    <row r="60" spans="1:13" x14ac:dyDescent="0.3">
      <c r="A60" s="1" t="s">
        <v>230</v>
      </c>
      <c r="B60" s="1" t="s">
        <v>231</v>
      </c>
      <c r="C60" s="1">
        <v>24</v>
      </c>
      <c r="D60" s="1" t="s">
        <v>27</v>
      </c>
      <c r="E60" s="1">
        <v>120000</v>
      </c>
      <c r="F60" s="7">
        <v>9.5000000000000001E-2</v>
      </c>
      <c r="G60" s="1">
        <v>180</v>
      </c>
      <c r="H60" s="1" t="s">
        <v>232</v>
      </c>
      <c r="I60" s="8">
        <f t="shared" si="1"/>
        <v>1253.0696194365437</v>
      </c>
      <c r="J60" s="8">
        <f t="shared" si="0"/>
        <v>225552.53149857785</v>
      </c>
      <c r="K60" s="1" t="s">
        <v>132</v>
      </c>
      <c r="L60" s="1">
        <v>851</v>
      </c>
      <c r="M60" s="1" t="s">
        <v>20</v>
      </c>
    </row>
    <row r="61" spans="1:13" x14ac:dyDescent="0.3">
      <c r="A61" s="1" t="s">
        <v>233</v>
      </c>
      <c r="B61" s="1" t="s">
        <v>234</v>
      </c>
      <c r="C61" s="1">
        <v>22</v>
      </c>
      <c r="D61" s="1" t="s">
        <v>23</v>
      </c>
      <c r="E61" s="1">
        <v>6010000</v>
      </c>
      <c r="F61" s="7">
        <v>0.13</v>
      </c>
      <c r="G61" s="1">
        <v>120</v>
      </c>
      <c r="H61" s="1" t="s">
        <v>235</v>
      </c>
      <c r="I61" s="8">
        <f t="shared" si="1"/>
        <v>89735.754726312138</v>
      </c>
      <c r="J61" s="8">
        <f t="shared" si="0"/>
        <v>10768290.567157457</v>
      </c>
      <c r="K61" s="1" t="s">
        <v>82</v>
      </c>
      <c r="L61" s="1">
        <v>767</v>
      </c>
      <c r="M61" s="1" t="s">
        <v>20</v>
      </c>
    </row>
    <row r="62" spans="1:13" x14ac:dyDescent="0.3">
      <c r="A62" s="1" t="s">
        <v>236</v>
      </c>
      <c r="B62" s="1" t="s">
        <v>237</v>
      </c>
      <c r="C62" s="1">
        <v>26</v>
      </c>
      <c r="D62" s="1" t="s">
        <v>15</v>
      </c>
      <c r="E62" s="1">
        <v>1170000</v>
      </c>
      <c r="F62" s="7">
        <v>0.08</v>
      </c>
      <c r="G62" s="1">
        <v>24</v>
      </c>
      <c r="H62" s="1" t="s">
        <v>238</v>
      </c>
      <c r="I62" s="8">
        <f t="shared" si="1"/>
        <v>52915.931003735459</v>
      </c>
      <c r="J62" s="8">
        <f t="shared" si="0"/>
        <v>1269982.344089651</v>
      </c>
      <c r="K62" s="1" t="s">
        <v>52</v>
      </c>
      <c r="L62" s="1">
        <v>690</v>
      </c>
      <c r="M62" s="1" t="s">
        <v>20</v>
      </c>
    </row>
    <row r="63" spans="1:13" x14ac:dyDescent="0.3">
      <c r="A63" s="1" t="s">
        <v>239</v>
      </c>
      <c r="B63" s="1" t="s">
        <v>240</v>
      </c>
      <c r="C63" s="1">
        <v>62</v>
      </c>
      <c r="D63" s="1" t="s">
        <v>27</v>
      </c>
      <c r="E63" s="1">
        <v>810000</v>
      </c>
      <c r="F63" s="7">
        <v>7.4999999999999997E-2</v>
      </c>
      <c r="G63" s="1">
        <v>240</v>
      </c>
      <c r="H63" s="1" t="s">
        <v>241</v>
      </c>
      <c r="I63" s="8">
        <f t="shared" si="1"/>
        <v>6525.3048677696388</v>
      </c>
      <c r="J63" s="8">
        <f t="shared" si="0"/>
        <v>1566073.1682647134</v>
      </c>
      <c r="K63" s="1" t="s">
        <v>159</v>
      </c>
      <c r="L63" s="1">
        <v>653</v>
      </c>
      <c r="M63" s="1" t="s">
        <v>20</v>
      </c>
    </row>
    <row r="64" spans="1:13" x14ac:dyDescent="0.3">
      <c r="A64" s="1" t="s">
        <v>242</v>
      </c>
      <c r="B64" s="1" t="s">
        <v>41</v>
      </c>
      <c r="C64" s="1">
        <v>24</v>
      </c>
      <c r="D64" s="1" t="s">
        <v>15</v>
      </c>
      <c r="E64" s="1">
        <v>1710000</v>
      </c>
      <c r="F64" s="7">
        <v>0.1</v>
      </c>
      <c r="G64" s="1">
        <v>60</v>
      </c>
      <c r="H64" s="1" t="s">
        <v>24</v>
      </c>
      <c r="I64" s="8">
        <f t="shared" si="1"/>
        <v>36332.446456268757</v>
      </c>
      <c r="J64" s="8">
        <f t="shared" si="0"/>
        <v>2179946.7873761253</v>
      </c>
      <c r="K64" s="1" t="s">
        <v>52</v>
      </c>
      <c r="L64" s="1">
        <v>759</v>
      </c>
      <c r="M64" s="1" t="s">
        <v>20</v>
      </c>
    </row>
    <row r="65" spans="1:13" x14ac:dyDescent="0.3">
      <c r="A65" s="1" t="s">
        <v>243</v>
      </c>
      <c r="B65" s="1" t="s">
        <v>244</v>
      </c>
      <c r="C65" s="1">
        <v>49</v>
      </c>
      <c r="D65" s="1" t="s">
        <v>18</v>
      </c>
      <c r="E65" s="1">
        <v>1340000</v>
      </c>
      <c r="F65" s="7">
        <v>0.105</v>
      </c>
      <c r="G65" s="1">
        <v>180</v>
      </c>
      <c r="H65" s="1" t="s">
        <v>245</v>
      </c>
      <c r="I65" s="8">
        <f t="shared" si="1"/>
        <v>14812.345577542079</v>
      </c>
      <c r="J65" s="8">
        <f t="shared" si="0"/>
        <v>2666222.203957574</v>
      </c>
      <c r="K65" s="1" t="s">
        <v>104</v>
      </c>
      <c r="L65" s="1">
        <v>660</v>
      </c>
      <c r="M65" s="1" t="s">
        <v>16</v>
      </c>
    </row>
    <row r="66" spans="1:13" x14ac:dyDescent="0.3">
      <c r="A66" s="1" t="s">
        <v>246</v>
      </c>
      <c r="B66" s="1" t="s">
        <v>247</v>
      </c>
      <c r="C66" s="1">
        <v>38</v>
      </c>
      <c r="D66" s="1" t="s">
        <v>32</v>
      </c>
      <c r="E66" s="1">
        <v>270000</v>
      </c>
      <c r="F66" s="7">
        <v>9.5000000000000001E-2</v>
      </c>
      <c r="G66" s="1">
        <v>36</v>
      </c>
      <c r="H66" s="1" t="s">
        <v>248</v>
      </c>
      <c r="I66" s="8">
        <f t="shared" si="1"/>
        <v>8648.8964300110565</v>
      </c>
      <c r="J66" s="8">
        <f t="shared" si="0"/>
        <v>311360.27148039802</v>
      </c>
      <c r="K66" s="1" t="s">
        <v>249</v>
      </c>
      <c r="L66" s="1">
        <v>653</v>
      </c>
      <c r="M66" s="1" t="s">
        <v>16</v>
      </c>
    </row>
    <row r="67" spans="1:13" x14ac:dyDescent="0.3">
      <c r="A67" s="1" t="s">
        <v>250</v>
      </c>
      <c r="B67" s="1" t="s">
        <v>251</v>
      </c>
      <c r="C67" s="1">
        <v>46</v>
      </c>
      <c r="D67" s="1" t="s">
        <v>32</v>
      </c>
      <c r="E67" s="1">
        <v>330000</v>
      </c>
      <c r="F67" s="7">
        <v>0.115</v>
      </c>
      <c r="G67" s="1">
        <v>48</v>
      </c>
      <c r="H67" s="1" t="s">
        <v>252</v>
      </c>
      <c r="I67" s="8">
        <f t="shared" si="1"/>
        <v>8609.3729389329383</v>
      </c>
      <c r="J67" s="8">
        <f t="shared" si="0"/>
        <v>413249.90106878104</v>
      </c>
      <c r="K67" s="1" t="s">
        <v>155</v>
      </c>
      <c r="L67" s="1">
        <v>865</v>
      </c>
      <c r="M67" s="1" t="s">
        <v>20</v>
      </c>
    </row>
    <row r="68" spans="1:13" x14ac:dyDescent="0.3">
      <c r="A68" s="1" t="s">
        <v>253</v>
      </c>
      <c r="B68" s="1" t="s">
        <v>254</v>
      </c>
      <c r="C68" s="1">
        <v>64</v>
      </c>
      <c r="D68" s="1" t="s">
        <v>27</v>
      </c>
      <c r="E68" s="1">
        <v>500000</v>
      </c>
      <c r="F68" s="7">
        <v>0.08</v>
      </c>
      <c r="G68" s="1">
        <v>12</v>
      </c>
      <c r="H68" s="1" t="s">
        <v>255</v>
      </c>
      <c r="I68" s="8">
        <f t="shared" si="1"/>
        <v>43494.214542710535</v>
      </c>
      <c r="J68" s="8">
        <f t="shared" ref="J68:J131" si="2">(I68*G68)</f>
        <v>521930.57451252639</v>
      </c>
      <c r="K68" s="1" t="s">
        <v>25</v>
      </c>
      <c r="L68" s="1">
        <v>720</v>
      </c>
      <c r="M68" s="1" t="s">
        <v>60</v>
      </c>
    </row>
    <row r="69" spans="1:13" x14ac:dyDescent="0.3">
      <c r="A69" s="1" t="s">
        <v>256</v>
      </c>
      <c r="B69" s="1" t="s">
        <v>257</v>
      </c>
      <c r="C69" s="1">
        <v>54</v>
      </c>
      <c r="D69" s="1" t="s">
        <v>18</v>
      </c>
      <c r="E69" s="1">
        <v>1930000</v>
      </c>
      <c r="F69" s="7">
        <v>9.5000000000000001E-2</v>
      </c>
      <c r="G69" s="1">
        <v>60</v>
      </c>
      <c r="H69" s="1" t="s">
        <v>258</v>
      </c>
      <c r="I69" s="8">
        <f t="shared" ref="I69:I132" si="3">PMT(F69/12,G69, -E69)</f>
        <v>40533.592327750928</v>
      </c>
      <c r="J69" s="8">
        <f t="shared" si="2"/>
        <v>2432015.5396650555</v>
      </c>
      <c r="K69" s="1" t="s">
        <v>119</v>
      </c>
      <c r="L69" s="1">
        <v>873</v>
      </c>
      <c r="M69" s="1" t="s">
        <v>16</v>
      </c>
    </row>
    <row r="70" spans="1:13" x14ac:dyDescent="0.3">
      <c r="A70" s="1" t="s">
        <v>259</v>
      </c>
      <c r="B70" s="1" t="s">
        <v>260</v>
      </c>
      <c r="C70" s="1">
        <v>30</v>
      </c>
      <c r="D70" s="1" t="s">
        <v>23</v>
      </c>
      <c r="E70" s="1">
        <v>4850000</v>
      </c>
      <c r="F70" s="7">
        <v>0.13</v>
      </c>
      <c r="G70" s="1">
        <v>120</v>
      </c>
      <c r="H70" s="1" t="s">
        <v>261</v>
      </c>
      <c r="I70" s="8">
        <f t="shared" si="3"/>
        <v>72415.708888954061</v>
      </c>
      <c r="J70" s="8">
        <f t="shared" si="2"/>
        <v>8689885.0666744877</v>
      </c>
      <c r="K70" s="1" t="s">
        <v>48</v>
      </c>
      <c r="L70" s="1">
        <v>682</v>
      </c>
      <c r="M70" s="1" t="s">
        <v>16</v>
      </c>
    </row>
    <row r="71" spans="1:13" x14ac:dyDescent="0.3">
      <c r="A71" s="1" t="s">
        <v>262</v>
      </c>
      <c r="B71" s="1" t="s">
        <v>263</v>
      </c>
      <c r="C71" s="1">
        <v>56</v>
      </c>
      <c r="D71" s="1" t="s">
        <v>23</v>
      </c>
      <c r="E71" s="1">
        <v>5150000</v>
      </c>
      <c r="F71" s="7">
        <v>0.12</v>
      </c>
      <c r="G71" s="1">
        <v>24</v>
      </c>
      <c r="H71" s="1" t="s">
        <v>264</v>
      </c>
      <c r="I71" s="8">
        <f t="shared" si="3"/>
        <v>242428.38194981322</v>
      </c>
      <c r="J71" s="8">
        <f t="shared" si="2"/>
        <v>5818281.1667955173</v>
      </c>
      <c r="K71" s="1" t="s">
        <v>64</v>
      </c>
      <c r="L71" s="1">
        <v>842</v>
      </c>
      <c r="M71" s="1" t="s">
        <v>16</v>
      </c>
    </row>
    <row r="72" spans="1:13" x14ac:dyDescent="0.3">
      <c r="A72" s="1" t="s">
        <v>265</v>
      </c>
      <c r="B72" s="1" t="s">
        <v>266</v>
      </c>
      <c r="C72" s="1">
        <v>34</v>
      </c>
      <c r="D72" s="1" t="s">
        <v>15</v>
      </c>
      <c r="E72" s="1">
        <v>1170000</v>
      </c>
      <c r="F72" s="7">
        <v>0.125</v>
      </c>
      <c r="G72" s="1">
        <v>240</v>
      </c>
      <c r="H72" s="1" t="s">
        <v>267</v>
      </c>
      <c r="I72" s="8">
        <f t="shared" si="3"/>
        <v>13292.844431658123</v>
      </c>
      <c r="J72" s="8">
        <f t="shared" si="2"/>
        <v>3190282.6635979493</v>
      </c>
      <c r="K72" s="1" t="s">
        <v>21</v>
      </c>
      <c r="L72" s="1">
        <v>877</v>
      </c>
      <c r="M72" s="1" t="s">
        <v>16</v>
      </c>
    </row>
    <row r="73" spans="1:13" x14ac:dyDescent="0.3">
      <c r="A73" s="1" t="s">
        <v>268</v>
      </c>
      <c r="B73" s="1" t="s">
        <v>269</v>
      </c>
      <c r="C73" s="1">
        <v>51</v>
      </c>
      <c r="D73" s="1" t="s">
        <v>27</v>
      </c>
      <c r="E73" s="1">
        <v>460000</v>
      </c>
      <c r="F73" s="7">
        <v>0.08</v>
      </c>
      <c r="G73" s="1">
        <v>60</v>
      </c>
      <c r="H73" s="1" t="s">
        <v>270</v>
      </c>
      <c r="I73" s="8">
        <f t="shared" si="3"/>
        <v>9327.1413726702922</v>
      </c>
      <c r="J73" s="8">
        <f t="shared" si="2"/>
        <v>559628.48236021749</v>
      </c>
      <c r="K73" s="1" t="s">
        <v>29</v>
      </c>
      <c r="L73" s="1">
        <v>676</v>
      </c>
      <c r="M73" s="1" t="s">
        <v>16</v>
      </c>
    </row>
    <row r="74" spans="1:13" x14ac:dyDescent="0.3">
      <c r="A74" s="1" t="s">
        <v>271</v>
      </c>
      <c r="B74" s="1" t="s">
        <v>272</v>
      </c>
      <c r="C74" s="1">
        <v>35</v>
      </c>
      <c r="D74" s="1" t="s">
        <v>18</v>
      </c>
      <c r="E74" s="1">
        <v>530000</v>
      </c>
      <c r="F74" s="7">
        <v>0.11</v>
      </c>
      <c r="G74" s="1">
        <v>36</v>
      </c>
      <c r="H74" s="1" t="s">
        <v>273</v>
      </c>
      <c r="I74" s="8">
        <f t="shared" si="3"/>
        <v>17351.520072011084</v>
      </c>
      <c r="J74" s="8">
        <f t="shared" si="2"/>
        <v>624654.72259239899</v>
      </c>
      <c r="K74" s="1" t="s">
        <v>187</v>
      </c>
      <c r="L74" s="1">
        <v>655</v>
      </c>
      <c r="M74" s="1" t="s">
        <v>16</v>
      </c>
    </row>
    <row r="75" spans="1:13" x14ac:dyDescent="0.3">
      <c r="A75" s="1" t="s">
        <v>274</v>
      </c>
      <c r="B75" s="1" t="s">
        <v>275</v>
      </c>
      <c r="C75" s="1">
        <v>28</v>
      </c>
      <c r="D75" s="1" t="s">
        <v>42</v>
      </c>
      <c r="E75" s="1">
        <v>880000</v>
      </c>
      <c r="F75" s="7">
        <v>0.11</v>
      </c>
      <c r="G75" s="1">
        <v>120</v>
      </c>
      <c r="H75" s="1" t="s">
        <v>276</v>
      </c>
      <c r="I75" s="8">
        <f t="shared" si="3"/>
        <v>12122.00099368918</v>
      </c>
      <c r="J75" s="8">
        <f t="shared" si="2"/>
        <v>1454640.1192427017</v>
      </c>
      <c r="K75" s="1" t="s">
        <v>90</v>
      </c>
      <c r="L75" s="1">
        <v>641</v>
      </c>
      <c r="M75" s="1" t="s">
        <v>20</v>
      </c>
    </row>
    <row r="76" spans="1:13" x14ac:dyDescent="0.3">
      <c r="A76" s="1" t="s">
        <v>277</v>
      </c>
      <c r="B76" s="1" t="s">
        <v>278</v>
      </c>
      <c r="C76" s="1">
        <v>34</v>
      </c>
      <c r="D76" s="1" t="s">
        <v>32</v>
      </c>
      <c r="E76" s="1">
        <v>150000</v>
      </c>
      <c r="F76" s="7">
        <v>0.115</v>
      </c>
      <c r="G76" s="1">
        <v>24</v>
      </c>
      <c r="H76" s="1" t="s">
        <v>279</v>
      </c>
      <c r="I76" s="8">
        <f t="shared" si="3"/>
        <v>7026.0472948018987</v>
      </c>
      <c r="J76" s="8">
        <f t="shared" si="2"/>
        <v>168625.13507524558</v>
      </c>
      <c r="K76" s="1" t="s">
        <v>205</v>
      </c>
      <c r="L76" s="1">
        <v>836</v>
      </c>
      <c r="M76" s="1" t="s">
        <v>16</v>
      </c>
    </row>
    <row r="77" spans="1:13" x14ac:dyDescent="0.3">
      <c r="A77" s="1" t="s">
        <v>280</v>
      </c>
      <c r="B77" s="1" t="s">
        <v>281</v>
      </c>
      <c r="C77" s="1">
        <v>43</v>
      </c>
      <c r="D77" s="1" t="s">
        <v>18</v>
      </c>
      <c r="E77" s="1">
        <v>1720000</v>
      </c>
      <c r="F77" s="7">
        <v>0.1</v>
      </c>
      <c r="G77" s="1">
        <v>240</v>
      </c>
      <c r="H77" s="1" t="s">
        <v>282</v>
      </c>
      <c r="I77" s="8">
        <f t="shared" si="3"/>
        <v>16598.372295272933</v>
      </c>
      <c r="J77" s="8">
        <f t="shared" si="2"/>
        <v>3983609.3508655038</v>
      </c>
      <c r="K77" s="1" t="s">
        <v>56</v>
      </c>
      <c r="L77" s="1">
        <v>600</v>
      </c>
      <c r="M77" s="1" t="s">
        <v>16</v>
      </c>
    </row>
    <row r="78" spans="1:13" x14ac:dyDescent="0.3">
      <c r="A78" s="1" t="s">
        <v>283</v>
      </c>
      <c r="B78" s="1" t="s">
        <v>284</v>
      </c>
      <c r="C78" s="1">
        <v>60</v>
      </c>
      <c r="D78" s="1" t="s">
        <v>23</v>
      </c>
      <c r="E78" s="1">
        <v>2890000</v>
      </c>
      <c r="F78" s="7">
        <v>7.4999999999999997E-2</v>
      </c>
      <c r="G78" s="1">
        <v>24</v>
      </c>
      <c r="H78" s="1" t="s">
        <v>285</v>
      </c>
      <c r="I78" s="8">
        <f t="shared" si="3"/>
        <v>130048.8227631949</v>
      </c>
      <c r="J78" s="8">
        <f t="shared" si="2"/>
        <v>3121171.7463166774</v>
      </c>
      <c r="K78" s="1" t="s">
        <v>68</v>
      </c>
      <c r="L78" s="1">
        <v>578</v>
      </c>
      <c r="M78" s="1" t="s">
        <v>20</v>
      </c>
    </row>
    <row r="79" spans="1:13" x14ac:dyDescent="0.3">
      <c r="A79" s="1" t="s">
        <v>286</v>
      </c>
      <c r="B79" s="1" t="s">
        <v>287</v>
      </c>
      <c r="C79" s="1">
        <v>41</v>
      </c>
      <c r="D79" s="1" t="s">
        <v>18</v>
      </c>
      <c r="E79" s="1">
        <v>270000</v>
      </c>
      <c r="F79" s="7">
        <v>0.11</v>
      </c>
      <c r="G79" s="1">
        <v>60</v>
      </c>
      <c r="H79" s="1" t="s">
        <v>288</v>
      </c>
      <c r="I79" s="8">
        <f t="shared" si="3"/>
        <v>5870.4542296136933</v>
      </c>
      <c r="J79" s="8">
        <f t="shared" si="2"/>
        <v>352227.2537768216</v>
      </c>
      <c r="K79" s="1" t="s">
        <v>21</v>
      </c>
      <c r="L79" s="1">
        <v>845</v>
      </c>
      <c r="M79" s="1" t="s">
        <v>16</v>
      </c>
    </row>
    <row r="80" spans="1:13" x14ac:dyDescent="0.3">
      <c r="A80" s="1" t="s">
        <v>289</v>
      </c>
      <c r="B80" s="1" t="s">
        <v>290</v>
      </c>
      <c r="C80" s="1">
        <v>36</v>
      </c>
      <c r="D80" s="1" t="s">
        <v>32</v>
      </c>
      <c r="E80" s="1">
        <v>470000</v>
      </c>
      <c r="F80" s="7">
        <v>0.12</v>
      </c>
      <c r="G80" s="1">
        <v>24</v>
      </c>
      <c r="H80" s="1" t="s">
        <v>291</v>
      </c>
      <c r="I80" s="8">
        <f t="shared" si="3"/>
        <v>22124.53194493441</v>
      </c>
      <c r="J80" s="8">
        <f t="shared" si="2"/>
        <v>530988.76667842583</v>
      </c>
      <c r="K80" s="1" t="s">
        <v>48</v>
      </c>
      <c r="L80" s="1">
        <v>846</v>
      </c>
      <c r="M80" s="1" t="s">
        <v>20</v>
      </c>
    </row>
    <row r="81" spans="1:13" x14ac:dyDescent="0.3">
      <c r="A81" s="1" t="s">
        <v>292</v>
      </c>
      <c r="B81" s="1" t="s">
        <v>96</v>
      </c>
      <c r="C81" s="1">
        <v>38</v>
      </c>
      <c r="D81" s="1" t="s">
        <v>42</v>
      </c>
      <c r="E81" s="1">
        <v>1180000</v>
      </c>
      <c r="F81" s="7">
        <v>8.5000000000000006E-2</v>
      </c>
      <c r="G81" s="1">
        <v>24</v>
      </c>
      <c r="H81" s="1" t="s">
        <v>293</v>
      </c>
      <c r="I81" s="8">
        <f t="shared" si="3"/>
        <v>53637.696360035523</v>
      </c>
      <c r="J81" s="8">
        <f t="shared" si="2"/>
        <v>1287304.7126408527</v>
      </c>
      <c r="K81" s="1" t="s">
        <v>191</v>
      </c>
      <c r="L81" s="1">
        <v>763</v>
      </c>
      <c r="M81" s="1" t="s">
        <v>20</v>
      </c>
    </row>
    <row r="82" spans="1:13" x14ac:dyDescent="0.3">
      <c r="A82" s="1" t="s">
        <v>294</v>
      </c>
      <c r="B82" s="1" t="s">
        <v>295</v>
      </c>
      <c r="C82" s="1">
        <v>44</v>
      </c>
      <c r="D82" s="1" t="s">
        <v>42</v>
      </c>
      <c r="E82" s="1">
        <v>330000</v>
      </c>
      <c r="F82" s="7">
        <v>0.1</v>
      </c>
      <c r="G82" s="1">
        <v>180</v>
      </c>
      <c r="H82" s="1" t="s">
        <v>296</v>
      </c>
      <c r="I82" s="8">
        <f t="shared" si="3"/>
        <v>3546.1968884367834</v>
      </c>
      <c r="J82" s="8">
        <f t="shared" si="2"/>
        <v>638315.43991862098</v>
      </c>
      <c r="K82" s="1" t="s">
        <v>132</v>
      </c>
      <c r="L82" s="1">
        <v>816</v>
      </c>
      <c r="M82" s="1" t="s">
        <v>20</v>
      </c>
    </row>
    <row r="83" spans="1:13" x14ac:dyDescent="0.3">
      <c r="A83" s="1" t="s">
        <v>297</v>
      </c>
      <c r="B83" s="1" t="s">
        <v>298</v>
      </c>
      <c r="C83" s="1">
        <v>46</v>
      </c>
      <c r="D83" s="1" t="s">
        <v>37</v>
      </c>
      <c r="E83" s="1">
        <v>2520000</v>
      </c>
      <c r="F83" s="7">
        <v>8.5000000000000006E-2</v>
      </c>
      <c r="G83" s="1">
        <v>48</v>
      </c>
      <c r="H83" s="1" t="s">
        <v>299</v>
      </c>
      <c r="I83" s="8">
        <f t="shared" si="3"/>
        <v>62113.724464265986</v>
      </c>
      <c r="J83" s="8">
        <f t="shared" si="2"/>
        <v>2981458.7742847675</v>
      </c>
      <c r="K83" s="1" t="s">
        <v>187</v>
      </c>
      <c r="L83" s="1">
        <v>806</v>
      </c>
      <c r="M83" s="1" t="s">
        <v>20</v>
      </c>
    </row>
    <row r="84" spans="1:13" x14ac:dyDescent="0.3">
      <c r="A84" s="1" t="s">
        <v>300</v>
      </c>
      <c r="B84" s="1" t="s">
        <v>301</v>
      </c>
      <c r="C84" s="1">
        <v>45</v>
      </c>
      <c r="D84" s="1" t="s">
        <v>15</v>
      </c>
      <c r="E84" s="1">
        <v>630000</v>
      </c>
      <c r="F84" s="7">
        <v>9.5000000000000001E-2</v>
      </c>
      <c r="G84" s="1">
        <v>48</v>
      </c>
      <c r="H84" s="1" t="s">
        <v>302</v>
      </c>
      <c r="I84" s="8">
        <f t="shared" si="3"/>
        <v>15827.576102689492</v>
      </c>
      <c r="J84" s="8">
        <f t="shared" si="2"/>
        <v>759723.65292909567</v>
      </c>
      <c r="K84" s="1" t="s">
        <v>48</v>
      </c>
      <c r="L84" s="1">
        <v>851</v>
      </c>
      <c r="M84" s="1" t="s">
        <v>16</v>
      </c>
    </row>
    <row r="85" spans="1:13" x14ac:dyDescent="0.3">
      <c r="A85" s="1" t="s">
        <v>303</v>
      </c>
      <c r="B85" s="1" t="s">
        <v>304</v>
      </c>
      <c r="C85" s="1">
        <v>61</v>
      </c>
      <c r="D85" s="1" t="s">
        <v>15</v>
      </c>
      <c r="E85" s="1">
        <v>340000</v>
      </c>
      <c r="F85" s="7">
        <v>0.08</v>
      </c>
      <c r="G85" s="1">
        <v>60</v>
      </c>
      <c r="H85" s="1" t="s">
        <v>305</v>
      </c>
      <c r="I85" s="8">
        <f t="shared" si="3"/>
        <v>6893.9740580606513</v>
      </c>
      <c r="J85" s="8">
        <f t="shared" si="2"/>
        <v>413638.4434836391</v>
      </c>
      <c r="K85" s="1" t="s">
        <v>104</v>
      </c>
      <c r="L85" s="1">
        <v>650</v>
      </c>
      <c r="M85" s="1" t="s">
        <v>20</v>
      </c>
    </row>
    <row r="86" spans="1:13" x14ac:dyDescent="0.3">
      <c r="A86" s="1" t="s">
        <v>306</v>
      </c>
      <c r="B86" s="1" t="s">
        <v>307</v>
      </c>
      <c r="C86" s="1">
        <v>49</v>
      </c>
      <c r="D86" s="1" t="s">
        <v>15</v>
      </c>
      <c r="E86" s="1">
        <v>410000</v>
      </c>
      <c r="F86" s="7">
        <v>0.12</v>
      </c>
      <c r="G86" s="1">
        <v>240</v>
      </c>
      <c r="H86" s="1" t="s">
        <v>308</v>
      </c>
      <c r="I86" s="8">
        <f t="shared" si="3"/>
        <v>4514.4531476354005</v>
      </c>
      <c r="J86" s="8">
        <f t="shared" si="2"/>
        <v>1083468.7554324961</v>
      </c>
      <c r="K86" s="1" t="s">
        <v>82</v>
      </c>
      <c r="L86" s="1">
        <v>895</v>
      </c>
      <c r="M86" s="1" t="s">
        <v>20</v>
      </c>
    </row>
    <row r="87" spans="1:13" x14ac:dyDescent="0.3">
      <c r="A87" s="1" t="s">
        <v>309</v>
      </c>
      <c r="B87" s="1" t="s">
        <v>310</v>
      </c>
      <c r="C87" s="1">
        <v>35</v>
      </c>
      <c r="D87" s="1" t="s">
        <v>27</v>
      </c>
      <c r="E87" s="1">
        <v>720000</v>
      </c>
      <c r="F87" s="7">
        <v>0.125</v>
      </c>
      <c r="G87" s="1">
        <v>48</v>
      </c>
      <c r="H87" s="1" t="s">
        <v>311</v>
      </c>
      <c r="I87" s="8">
        <f t="shared" si="3"/>
        <v>19137.599202075253</v>
      </c>
      <c r="J87" s="8">
        <f t="shared" si="2"/>
        <v>918604.76169961214</v>
      </c>
      <c r="K87" s="1" t="s">
        <v>222</v>
      </c>
      <c r="L87" s="1">
        <v>659</v>
      </c>
      <c r="M87" s="1" t="s">
        <v>312</v>
      </c>
    </row>
    <row r="88" spans="1:13" x14ac:dyDescent="0.3">
      <c r="A88" s="1" t="s">
        <v>313</v>
      </c>
      <c r="B88" s="1" t="s">
        <v>314</v>
      </c>
      <c r="C88" s="1">
        <v>21</v>
      </c>
      <c r="D88" s="1" t="s">
        <v>23</v>
      </c>
      <c r="E88" s="1">
        <v>1560000</v>
      </c>
      <c r="F88" s="7">
        <v>0.13</v>
      </c>
      <c r="G88" s="1">
        <v>84</v>
      </c>
      <c r="H88" s="1" t="s">
        <v>315</v>
      </c>
      <c r="I88" s="8">
        <f t="shared" si="3"/>
        <v>28379.462824090049</v>
      </c>
      <c r="J88" s="8">
        <f t="shared" si="2"/>
        <v>2383874.8772235643</v>
      </c>
      <c r="K88" s="1" t="s">
        <v>316</v>
      </c>
      <c r="L88" s="1">
        <v>731</v>
      </c>
      <c r="M88" s="1" t="s">
        <v>16</v>
      </c>
    </row>
    <row r="89" spans="1:13" x14ac:dyDescent="0.3">
      <c r="A89" s="1" t="s">
        <v>317</v>
      </c>
      <c r="B89" s="1" t="s">
        <v>318</v>
      </c>
      <c r="C89" s="1">
        <v>45</v>
      </c>
      <c r="D89" s="1" t="s">
        <v>18</v>
      </c>
      <c r="E89" s="1">
        <v>1140000</v>
      </c>
      <c r="F89" s="7">
        <v>0.08</v>
      </c>
      <c r="G89" s="1">
        <v>120</v>
      </c>
      <c r="H89" s="1" t="s">
        <v>319</v>
      </c>
      <c r="I89" s="8">
        <f t="shared" si="3"/>
        <v>13831.345756510689</v>
      </c>
      <c r="J89" s="8">
        <f t="shared" si="2"/>
        <v>1659761.4907812828</v>
      </c>
      <c r="K89" s="1" t="s">
        <v>222</v>
      </c>
      <c r="L89" s="1">
        <v>862</v>
      </c>
      <c r="M89" s="1" t="s">
        <v>20</v>
      </c>
    </row>
    <row r="90" spans="1:13" x14ac:dyDescent="0.3">
      <c r="A90" s="1" t="s">
        <v>320</v>
      </c>
      <c r="B90" s="1" t="s">
        <v>321</v>
      </c>
      <c r="C90" s="1">
        <v>27</v>
      </c>
      <c r="D90" s="1" t="s">
        <v>23</v>
      </c>
      <c r="E90" s="1">
        <v>1820000</v>
      </c>
      <c r="F90" s="7">
        <v>0.09</v>
      </c>
      <c r="G90" s="1">
        <v>60</v>
      </c>
      <c r="H90" s="1" t="s">
        <v>322</v>
      </c>
      <c r="I90" s="8">
        <f t="shared" si="3"/>
        <v>37780.206511964294</v>
      </c>
      <c r="J90" s="8">
        <f t="shared" si="2"/>
        <v>2266812.3907178575</v>
      </c>
      <c r="K90" s="1" t="s">
        <v>104</v>
      </c>
      <c r="L90" s="1">
        <v>550</v>
      </c>
      <c r="M90" s="1" t="s">
        <v>60</v>
      </c>
    </row>
    <row r="91" spans="1:13" x14ac:dyDescent="0.3">
      <c r="A91" s="1" t="s">
        <v>323</v>
      </c>
      <c r="B91" s="1" t="s">
        <v>324</v>
      </c>
      <c r="C91" s="1">
        <v>29</v>
      </c>
      <c r="D91" s="1" t="s">
        <v>37</v>
      </c>
      <c r="E91" s="1">
        <v>2550000</v>
      </c>
      <c r="F91" s="7">
        <v>0.13</v>
      </c>
      <c r="G91" s="1">
        <v>36</v>
      </c>
      <c r="H91" s="1" t="s">
        <v>325</v>
      </c>
      <c r="I91" s="8">
        <f t="shared" si="3"/>
        <v>85919.577608394015</v>
      </c>
      <c r="J91" s="8">
        <f t="shared" si="2"/>
        <v>3093104.7939021843</v>
      </c>
      <c r="K91" s="1" t="s">
        <v>326</v>
      </c>
      <c r="L91" s="1">
        <v>868</v>
      </c>
      <c r="M91" s="1" t="s">
        <v>312</v>
      </c>
    </row>
    <row r="92" spans="1:13" x14ac:dyDescent="0.3">
      <c r="A92" s="1" t="s">
        <v>327</v>
      </c>
      <c r="B92" s="1" t="s">
        <v>179</v>
      </c>
      <c r="C92" s="1">
        <v>44</v>
      </c>
      <c r="D92" s="1" t="s">
        <v>32</v>
      </c>
      <c r="E92" s="1">
        <v>440000</v>
      </c>
      <c r="F92" s="7">
        <v>0.115</v>
      </c>
      <c r="G92" s="1">
        <v>12</v>
      </c>
      <c r="H92" s="1" t="s">
        <v>328</v>
      </c>
      <c r="I92" s="8">
        <f t="shared" si="3"/>
        <v>38990.623700861084</v>
      </c>
      <c r="J92" s="8">
        <f t="shared" si="2"/>
        <v>467887.48441033298</v>
      </c>
      <c r="K92" s="1" t="s">
        <v>34</v>
      </c>
      <c r="L92" s="1">
        <v>604</v>
      </c>
      <c r="M92" s="1" t="s">
        <v>16</v>
      </c>
    </row>
    <row r="93" spans="1:13" x14ac:dyDescent="0.3">
      <c r="A93" s="1" t="s">
        <v>329</v>
      </c>
      <c r="B93" s="1" t="s">
        <v>330</v>
      </c>
      <c r="C93" s="1">
        <v>21</v>
      </c>
      <c r="D93" s="1" t="s">
        <v>37</v>
      </c>
      <c r="E93" s="1">
        <v>870000</v>
      </c>
      <c r="F93" s="7">
        <v>7.4999999999999997E-2</v>
      </c>
      <c r="G93" s="1">
        <v>240</v>
      </c>
      <c r="H93" s="1" t="s">
        <v>331</v>
      </c>
      <c r="I93" s="8">
        <f t="shared" si="3"/>
        <v>7008.6607839007229</v>
      </c>
      <c r="J93" s="8">
        <f t="shared" si="2"/>
        <v>1682078.5881361736</v>
      </c>
      <c r="K93" s="1" t="s">
        <v>34</v>
      </c>
      <c r="L93" s="1">
        <v>698</v>
      </c>
      <c r="M93" s="1" t="s">
        <v>20</v>
      </c>
    </row>
    <row r="94" spans="1:13" x14ac:dyDescent="0.3">
      <c r="A94" s="1" t="s">
        <v>332</v>
      </c>
      <c r="B94" s="1" t="s">
        <v>333</v>
      </c>
      <c r="C94" s="1">
        <v>64</v>
      </c>
      <c r="D94" s="1" t="s">
        <v>37</v>
      </c>
      <c r="E94" s="1">
        <v>3870000</v>
      </c>
      <c r="F94" s="7">
        <v>7.4999999999999997E-2</v>
      </c>
      <c r="G94" s="1">
        <v>180</v>
      </c>
      <c r="H94" s="1" t="s">
        <v>334</v>
      </c>
      <c r="I94" s="8">
        <f t="shared" si="3"/>
        <v>35875.378332105967</v>
      </c>
      <c r="J94" s="8">
        <f t="shared" si="2"/>
        <v>6457568.0997790741</v>
      </c>
      <c r="K94" s="1" t="s">
        <v>82</v>
      </c>
      <c r="L94" s="1">
        <v>858</v>
      </c>
      <c r="M94" s="1" t="s">
        <v>16</v>
      </c>
    </row>
    <row r="95" spans="1:13" x14ac:dyDescent="0.3">
      <c r="A95" s="1" t="s">
        <v>335</v>
      </c>
      <c r="B95" s="1" t="s">
        <v>336</v>
      </c>
      <c r="C95" s="1">
        <v>28</v>
      </c>
      <c r="D95" s="1" t="s">
        <v>42</v>
      </c>
      <c r="E95" s="1">
        <v>1220000</v>
      </c>
      <c r="F95" s="7">
        <v>7.4999999999999997E-2</v>
      </c>
      <c r="G95" s="1">
        <v>48</v>
      </c>
      <c r="H95" s="1" t="s">
        <v>337</v>
      </c>
      <c r="I95" s="8">
        <f t="shared" si="3"/>
        <v>29498.260364032103</v>
      </c>
      <c r="J95" s="8">
        <f t="shared" si="2"/>
        <v>1415916.4974735409</v>
      </c>
      <c r="K95" s="1" t="s">
        <v>104</v>
      </c>
      <c r="L95" s="1">
        <v>686</v>
      </c>
      <c r="M95" s="1" t="s">
        <v>20</v>
      </c>
    </row>
    <row r="96" spans="1:13" x14ac:dyDescent="0.3">
      <c r="A96" s="1" t="s">
        <v>338</v>
      </c>
      <c r="B96" s="1" t="s">
        <v>339</v>
      </c>
      <c r="C96" s="1">
        <v>44</v>
      </c>
      <c r="D96" s="1" t="s">
        <v>15</v>
      </c>
      <c r="E96" s="1">
        <v>690000</v>
      </c>
      <c r="F96" s="7">
        <v>0.09</v>
      </c>
      <c r="G96" s="1">
        <v>180</v>
      </c>
      <c r="H96" s="1" t="s">
        <v>340</v>
      </c>
      <c r="I96" s="8">
        <f t="shared" si="3"/>
        <v>6998.4394307163157</v>
      </c>
      <c r="J96" s="8">
        <f t="shared" si="2"/>
        <v>1259719.0975289368</v>
      </c>
      <c r="K96" s="1" t="s">
        <v>90</v>
      </c>
      <c r="L96" s="1">
        <v>751</v>
      </c>
      <c r="M96" s="1" t="s">
        <v>312</v>
      </c>
    </row>
    <row r="97" spans="1:13" x14ac:dyDescent="0.3">
      <c r="A97" s="1" t="s">
        <v>341</v>
      </c>
      <c r="B97" s="1" t="s">
        <v>342</v>
      </c>
      <c r="C97" s="1">
        <v>31</v>
      </c>
      <c r="D97" s="1" t="s">
        <v>18</v>
      </c>
      <c r="E97" s="1">
        <v>1330000</v>
      </c>
      <c r="F97" s="7">
        <v>7.4999999999999997E-2</v>
      </c>
      <c r="G97" s="1">
        <v>84</v>
      </c>
      <c r="H97" s="1" t="s">
        <v>343</v>
      </c>
      <c r="I97" s="8">
        <f t="shared" si="3"/>
        <v>20399.906884656313</v>
      </c>
      <c r="J97" s="8">
        <f t="shared" si="2"/>
        <v>1713592.1783111303</v>
      </c>
      <c r="K97" s="1" t="s">
        <v>151</v>
      </c>
      <c r="L97" s="1">
        <v>862</v>
      </c>
      <c r="M97" s="1" t="s">
        <v>16</v>
      </c>
    </row>
    <row r="98" spans="1:13" x14ac:dyDescent="0.3">
      <c r="A98" s="1" t="s">
        <v>344</v>
      </c>
      <c r="B98" s="1" t="s">
        <v>345</v>
      </c>
      <c r="C98" s="1">
        <v>37</v>
      </c>
      <c r="D98" s="1" t="s">
        <v>27</v>
      </c>
      <c r="E98" s="1">
        <v>330000</v>
      </c>
      <c r="F98" s="7">
        <v>0.11</v>
      </c>
      <c r="G98" s="1">
        <v>48</v>
      </c>
      <c r="H98" s="1" t="s">
        <v>346</v>
      </c>
      <c r="I98" s="8">
        <f t="shared" si="3"/>
        <v>8529.0224617794283</v>
      </c>
      <c r="J98" s="8">
        <f t="shared" si="2"/>
        <v>409393.07816541253</v>
      </c>
      <c r="K98" s="1" t="s">
        <v>136</v>
      </c>
      <c r="L98" s="1">
        <v>666</v>
      </c>
      <c r="M98" s="1" t="s">
        <v>16</v>
      </c>
    </row>
    <row r="99" spans="1:13" x14ac:dyDescent="0.3">
      <c r="A99" s="1" t="s">
        <v>347</v>
      </c>
      <c r="B99" s="1" t="s">
        <v>199</v>
      </c>
      <c r="C99" s="1">
        <v>28</v>
      </c>
      <c r="D99" s="1" t="s">
        <v>23</v>
      </c>
      <c r="E99" s="1">
        <v>1950000</v>
      </c>
      <c r="F99" s="7">
        <v>0.1</v>
      </c>
      <c r="G99" s="1">
        <v>12</v>
      </c>
      <c r="H99" s="1" t="s">
        <v>348</v>
      </c>
      <c r="I99" s="8">
        <f t="shared" si="3"/>
        <v>171435.98009851869</v>
      </c>
      <c r="J99" s="8">
        <f t="shared" si="2"/>
        <v>2057231.7611822244</v>
      </c>
      <c r="K99" s="1" t="s">
        <v>75</v>
      </c>
      <c r="L99" s="1">
        <v>703</v>
      </c>
      <c r="M99" s="1" t="s">
        <v>20</v>
      </c>
    </row>
    <row r="100" spans="1:13" x14ac:dyDescent="0.3">
      <c r="A100" s="1" t="s">
        <v>349</v>
      </c>
      <c r="B100" s="1" t="s">
        <v>350</v>
      </c>
      <c r="C100" s="1">
        <v>55</v>
      </c>
      <c r="D100" s="1" t="s">
        <v>27</v>
      </c>
      <c r="E100" s="1">
        <v>250000</v>
      </c>
      <c r="F100" s="7">
        <v>0.105</v>
      </c>
      <c r="G100" s="1">
        <v>12</v>
      </c>
      <c r="H100" s="1" t="s">
        <v>351</v>
      </c>
      <c r="I100" s="8">
        <f t="shared" si="3"/>
        <v>22037.150723561499</v>
      </c>
      <c r="J100" s="8">
        <f t="shared" si="2"/>
        <v>264445.80868273799</v>
      </c>
      <c r="K100" s="1" t="s">
        <v>39</v>
      </c>
      <c r="L100" s="1">
        <v>840</v>
      </c>
      <c r="M100" s="1" t="s">
        <v>20</v>
      </c>
    </row>
    <row r="101" spans="1:13" x14ac:dyDescent="0.3">
      <c r="A101" s="1" t="s">
        <v>352</v>
      </c>
      <c r="B101" s="1" t="s">
        <v>353</v>
      </c>
      <c r="C101" s="1">
        <v>55</v>
      </c>
      <c r="D101" s="1" t="s">
        <v>15</v>
      </c>
      <c r="E101" s="1">
        <v>1260000</v>
      </c>
      <c r="F101" s="7">
        <v>8.5000000000000006E-2</v>
      </c>
      <c r="G101" s="1">
        <v>24</v>
      </c>
      <c r="H101" s="1" t="s">
        <v>354</v>
      </c>
      <c r="I101" s="8">
        <f t="shared" si="3"/>
        <v>57274.150350546413</v>
      </c>
      <c r="J101" s="8">
        <f t="shared" si="2"/>
        <v>1374579.608413114</v>
      </c>
      <c r="K101" s="1" t="s">
        <v>56</v>
      </c>
      <c r="L101" s="1">
        <v>612</v>
      </c>
      <c r="M101" s="1" t="s">
        <v>20</v>
      </c>
    </row>
    <row r="102" spans="1:13" x14ac:dyDescent="0.3">
      <c r="A102" s="1" t="s">
        <v>355</v>
      </c>
      <c r="B102" s="1" t="s">
        <v>356</v>
      </c>
      <c r="C102" s="1">
        <v>53</v>
      </c>
      <c r="D102" s="1" t="s">
        <v>15</v>
      </c>
      <c r="E102" s="1">
        <v>810000</v>
      </c>
      <c r="F102" s="7">
        <v>8.5000000000000006E-2</v>
      </c>
      <c r="G102" s="1">
        <v>24</v>
      </c>
      <c r="H102" s="1" t="s">
        <v>357</v>
      </c>
      <c r="I102" s="8">
        <f t="shared" si="3"/>
        <v>36819.096653922694</v>
      </c>
      <c r="J102" s="8">
        <f t="shared" si="2"/>
        <v>883658.31969414465</v>
      </c>
      <c r="K102" s="1" t="s">
        <v>222</v>
      </c>
      <c r="L102" s="1">
        <v>793</v>
      </c>
      <c r="M102" s="1" t="s">
        <v>16</v>
      </c>
    </row>
    <row r="103" spans="1:13" x14ac:dyDescent="0.3">
      <c r="A103" s="1" t="s">
        <v>358</v>
      </c>
      <c r="B103" s="1" t="s">
        <v>359</v>
      </c>
      <c r="C103" s="1">
        <v>25</v>
      </c>
      <c r="D103" s="1" t="s">
        <v>23</v>
      </c>
      <c r="E103" s="1">
        <v>4930000</v>
      </c>
      <c r="F103" s="7">
        <v>7.4999999999999997E-2</v>
      </c>
      <c r="G103" s="1">
        <v>180</v>
      </c>
      <c r="H103" s="1" t="s">
        <v>360</v>
      </c>
      <c r="I103" s="8">
        <f t="shared" si="3"/>
        <v>45701.709348134995</v>
      </c>
      <c r="J103" s="8">
        <f t="shared" si="2"/>
        <v>8226307.6826642994</v>
      </c>
      <c r="K103" s="1" t="s">
        <v>94</v>
      </c>
      <c r="L103" s="1">
        <v>574</v>
      </c>
      <c r="M103" s="1" t="s">
        <v>16</v>
      </c>
    </row>
    <row r="104" spans="1:13" x14ac:dyDescent="0.3">
      <c r="A104" s="1" t="s">
        <v>361</v>
      </c>
      <c r="B104" s="1" t="s">
        <v>287</v>
      </c>
      <c r="C104" s="1">
        <v>62</v>
      </c>
      <c r="D104" s="1" t="s">
        <v>42</v>
      </c>
      <c r="E104" s="1">
        <v>970000</v>
      </c>
      <c r="F104" s="7">
        <v>0.115</v>
      </c>
      <c r="G104" s="1">
        <v>36</v>
      </c>
      <c r="H104" s="1" t="s">
        <v>362</v>
      </c>
      <c r="I104" s="8">
        <f t="shared" si="3"/>
        <v>31986.726239840333</v>
      </c>
      <c r="J104" s="8">
        <f t="shared" si="2"/>
        <v>1151522.1446342519</v>
      </c>
      <c r="K104" s="1" t="s">
        <v>34</v>
      </c>
      <c r="L104" s="1">
        <v>639</v>
      </c>
      <c r="M104" s="1" t="s">
        <v>20</v>
      </c>
    </row>
    <row r="105" spans="1:13" x14ac:dyDescent="0.3">
      <c r="A105" s="1" t="s">
        <v>363</v>
      </c>
      <c r="B105" s="1" t="s">
        <v>364</v>
      </c>
      <c r="C105" s="1">
        <v>59</v>
      </c>
      <c r="D105" s="1" t="s">
        <v>32</v>
      </c>
      <c r="E105" s="1">
        <v>350000</v>
      </c>
      <c r="F105" s="7">
        <v>0.13</v>
      </c>
      <c r="G105" s="1">
        <v>24</v>
      </c>
      <c r="H105" s="1" t="s">
        <v>365</v>
      </c>
      <c r="I105" s="8">
        <f t="shared" si="3"/>
        <v>16639.637905957854</v>
      </c>
      <c r="J105" s="8">
        <f t="shared" si="2"/>
        <v>399351.30974298849</v>
      </c>
      <c r="K105" s="1" t="s">
        <v>366</v>
      </c>
      <c r="L105" s="1">
        <v>624</v>
      </c>
      <c r="M105" s="1" t="s">
        <v>20</v>
      </c>
    </row>
    <row r="106" spans="1:13" x14ac:dyDescent="0.3">
      <c r="A106" s="1" t="s">
        <v>367</v>
      </c>
      <c r="B106" s="1" t="s">
        <v>368</v>
      </c>
      <c r="C106" s="1">
        <v>61</v>
      </c>
      <c r="D106" s="1" t="s">
        <v>18</v>
      </c>
      <c r="E106" s="1">
        <v>1450000</v>
      </c>
      <c r="F106" s="7">
        <v>0.13</v>
      </c>
      <c r="G106" s="1">
        <v>240</v>
      </c>
      <c r="H106" s="1" t="s">
        <v>369</v>
      </c>
      <c r="I106" s="8">
        <f t="shared" si="3"/>
        <v>16987.847813535402</v>
      </c>
      <c r="J106" s="8">
        <f t="shared" si="2"/>
        <v>4077083.4752484965</v>
      </c>
      <c r="K106" s="1" t="s">
        <v>212</v>
      </c>
      <c r="L106" s="1">
        <v>843</v>
      </c>
      <c r="M106" s="1" t="s">
        <v>312</v>
      </c>
    </row>
    <row r="107" spans="1:13" x14ac:dyDescent="0.3">
      <c r="A107" s="1" t="s">
        <v>370</v>
      </c>
      <c r="B107" s="1" t="s">
        <v>371</v>
      </c>
      <c r="C107" s="1">
        <v>48</v>
      </c>
      <c r="D107" s="1" t="s">
        <v>37</v>
      </c>
      <c r="E107" s="1">
        <v>3190000</v>
      </c>
      <c r="F107" s="7">
        <v>0.125</v>
      </c>
      <c r="G107" s="1">
        <v>24</v>
      </c>
      <c r="H107" s="1" t="s">
        <v>372</v>
      </c>
      <c r="I107" s="8">
        <f t="shared" si="3"/>
        <v>150910.31327124345</v>
      </c>
      <c r="J107" s="8">
        <f t="shared" si="2"/>
        <v>3621847.5185098425</v>
      </c>
      <c r="K107" s="1" t="s">
        <v>326</v>
      </c>
      <c r="L107" s="1">
        <v>759</v>
      </c>
      <c r="M107" s="1" t="s">
        <v>16</v>
      </c>
    </row>
    <row r="108" spans="1:13" x14ac:dyDescent="0.3">
      <c r="A108" s="1" t="s">
        <v>373</v>
      </c>
      <c r="B108" s="1" t="s">
        <v>374</v>
      </c>
      <c r="C108" s="1">
        <v>27</v>
      </c>
      <c r="D108" s="1" t="s">
        <v>42</v>
      </c>
      <c r="E108" s="1">
        <v>800000</v>
      </c>
      <c r="F108" s="7">
        <v>0.105</v>
      </c>
      <c r="G108" s="1">
        <v>24</v>
      </c>
      <c r="H108" s="1" t="s">
        <v>375</v>
      </c>
      <c r="I108" s="8">
        <f t="shared" si="3"/>
        <v>37100.833311497314</v>
      </c>
      <c r="J108" s="8">
        <f t="shared" si="2"/>
        <v>890419.99947593547</v>
      </c>
      <c r="K108" s="1" t="s">
        <v>155</v>
      </c>
      <c r="L108" s="1">
        <v>896</v>
      </c>
      <c r="M108" s="1" t="s">
        <v>16</v>
      </c>
    </row>
    <row r="109" spans="1:13" x14ac:dyDescent="0.3">
      <c r="A109" s="1" t="s">
        <v>376</v>
      </c>
      <c r="B109" s="1" t="s">
        <v>377</v>
      </c>
      <c r="C109" s="1">
        <v>29</v>
      </c>
      <c r="D109" s="1" t="s">
        <v>15</v>
      </c>
      <c r="E109" s="1">
        <v>830000</v>
      </c>
      <c r="F109" s="7">
        <v>0.09</v>
      </c>
      <c r="G109" s="1">
        <v>60</v>
      </c>
      <c r="H109" s="1" t="s">
        <v>378</v>
      </c>
      <c r="I109" s="8">
        <f t="shared" si="3"/>
        <v>17229.434837873825</v>
      </c>
      <c r="J109" s="8">
        <f t="shared" si="2"/>
        <v>1033766.0902724295</v>
      </c>
      <c r="K109" s="1" t="s">
        <v>86</v>
      </c>
      <c r="L109" s="1">
        <v>566</v>
      </c>
      <c r="M109" s="1" t="s">
        <v>20</v>
      </c>
    </row>
    <row r="110" spans="1:13" x14ac:dyDescent="0.3">
      <c r="A110" s="1" t="s">
        <v>379</v>
      </c>
      <c r="B110" s="1" t="s">
        <v>214</v>
      </c>
      <c r="C110" s="1">
        <v>28</v>
      </c>
      <c r="D110" s="1" t="s">
        <v>15</v>
      </c>
      <c r="E110" s="1">
        <v>500000</v>
      </c>
      <c r="F110" s="7">
        <v>0.1</v>
      </c>
      <c r="G110" s="1">
        <v>48</v>
      </c>
      <c r="H110" s="1" t="s">
        <v>380</v>
      </c>
      <c r="I110" s="8">
        <f t="shared" si="3"/>
        <v>12681.291717373595</v>
      </c>
      <c r="J110" s="8">
        <f t="shared" si="2"/>
        <v>608702.00243393262</v>
      </c>
      <c r="K110" s="1" t="s">
        <v>187</v>
      </c>
      <c r="L110" s="1">
        <v>677</v>
      </c>
      <c r="M110" s="1" t="s">
        <v>16</v>
      </c>
    </row>
    <row r="111" spans="1:13" x14ac:dyDescent="0.3">
      <c r="A111" s="1" t="s">
        <v>381</v>
      </c>
      <c r="B111" s="1" t="s">
        <v>287</v>
      </c>
      <c r="C111" s="1">
        <v>32</v>
      </c>
      <c r="D111" s="1" t="s">
        <v>18</v>
      </c>
      <c r="E111" s="1">
        <v>1580000</v>
      </c>
      <c r="F111" s="7">
        <v>0.09</v>
      </c>
      <c r="G111" s="1">
        <v>180</v>
      </c>
      <c r="H111" s="1" t="s">
        <v>382</v>
      </c>
      <c r="I111" s="8">
        <f t="shared" si="3"/>
        <v>16025.4120297562</v>
      </c>
      <c r="J111" s="8">
        <f t="shared" si="2"/>
        <v>2884574.1653561159</v>
      </c>
      <c r="K111" s="1" t="s">
        <v>119</v>
      </c>
      <c r="L111" s="1">
        <v>800</v>
      </c>
      <c r="M111" s="1" t="s">
        <v>20</v>
      </c>
    </row>
    <row r="112" spans="1:13" x14ac:dyDescent="0.3">
      <c r="A112" s="1" t="s">
        <v>383</v>
      </c>
      <c r="B112" s="1" t="s">
        <v>138</v>
      </c>
      <c r="C112" s="1">
        <v>54</v>
      </c>
      <c r="D112" s="1" t="s">
        <v>42</v>
      </c>
      <c r="E112" s="1">
        <v>1390000</v>
      </c>
      <c r="F112" s="7">
        <v>0.105</v>
      </c>
      <c r="G112" s="1">
        <v>60</v>
      </c>
      <c r="H112" s="1" t="s">
        <v>384</v>
      </c>
      <c r="I112" s="8">
        <f t="shared" si="3"/>
        <v>29876.52152558327</v>
      </c>
      <c r="J112" s="8">
        <f t="shared" si="2"/>
        <v>1792591.2915349961</v>
      </c>
      <c r="K112" s="1" t="s">
        <v>90</v>
      </c>
      <c r="L112" s="1">
        <v>728</v>
      </c>
      <c r="M112" s="1" t="s">
        <v>20</v>
      </c>
    </row>
    <row r="113" spans="1:13" x14ac:dyDescent="0.3">
      <c r="A113" s="1" t="s">
        <v>385</v>
      </c>
      <c r="B113" s="1" t="s">
        <v>386</v>
      </c>
      <c r="C113" s="1">
        <v>53</v>
      </c>
      <c r="D113" s="1" t="s">
        <v>37</v>
      </c>
      <c r="E113" s="1">
        <v>2350000</v>
      </c>
      <c r="F113" s="7">
        <v>0.13</v>
      </c>
      <c r="G113" s="1">
        <v>60</v>
      </c>
      <c r="H113" s="1" t="s">
        <v>387</v>
      </c>
      <c r="I113" s="8">
        <f t="shared" si="3"/>
        <v>53469.721653926455</v>
      </c>
      <c r="J113" s="8">
        <f t="shared" si="2"/>
        <v>3208183.2992355875</v>
      </c>
      <c r="K113" s="1" t="s">
        <v>25</v>
      </c>
      <c r="L113" s="1">
        <v>731</v>
      </c>
      <c r="M113" s="1" t="s">
        <v>312</v>
      </c>
    </row>
    <row r="114" spans="1:13" x14ac:dyDescent="0.3">
      <c r="A114" s="1" t="s">
        <v>388</v>
      </c>
      <c r="B114" s="1" t="s">
        <v>389</v>
      </c>
      <c r="C114" s="1">
        <v>43</v>
      </c>
      <c r="D114" s="1" t="s">
        <v>37</v>
      </c>
      <c r="E114" s="1">
        <v>3970000</v>
      </c>
      <c r="F114" s="7">
        <v>0.1</v>
      </c>
      <c r="G114" s="1">
        <v>180</v>
      </c>
      <c r="H114" s="1" t="s">
        <v>390</v>
      </c>
      <c r="I114" s="8">
        <f t="shared" si="3"/>
        <v>42661.823173012213</v>
      </c>
      <c r="J114" s="8">
        <f t="shared" si="2"/>
        <v>7679128.1711421981</v>
      </c>
      <c r="K114" s="1" t="s">
        <v>21</v>
      </c>
      <c r="L114" s="1">
        <v>701</v>
      </c>
      <c r="M114" s="1" t="s">
        <v>16</v>
      </c>
    </row>
    <row r="115" spans="1:13" x14ac:dyDescent="0.3">
      <c r="A115" s="1" t="s">
        <v>391</v>
      </c>
      <c r="B115" s="1" t="s">
        <v>392</v>
      </c>
      <c r="C115" s="1">
        <v>44</v>
      </c>
      <c r="D115" s="1" t="s">
        <v>15</v>
      </c>
      <c r="E115" s="1">
        <v>830000</v>
      </c>
      <c r="F115" s="7">
        <v>9.5000000000000001E-2</v>
      </c>
      <c r="G115" s="1">
        <v>12</v>
      </c>
      <c r="H115" s="1" t="s">
        <v>393</v>
      </c>
      <c r="I115" s="8">
        <f t="shared" si="3"/>
        <v>72777.314772418264</v>
      </c>
      <c r="J115" s="8">
        <f t="shared" si="2"/>
        <v>873327.77726901916</v>
      </c>
      <c r="K115" s="1" t="s">
        <v>119</v>
      </c>
      <c r="L115" s="1">
        <v>574</v>
      </c>
      <c r="M115" s="1" t="s">
        <v>16</v>
      </c>
    </row>
    <row r="116" spans="1:13" x14ac:dyDescent="0.3">
      <c r="A116" s="1" t="s">
        <v>394</v>
      </c>
      <c r="B116" s="1" t="s">
        <v>395</v>
      </c>
      <c r="C116" s="1">
        <v>57</v>
      </c>
      <c r="D116" s="1" t="s">
        <v>32</v>
      </c>
      <c r="E116" s="1">
        <v>190000</v>
      </c>
      <c r="F116" s="7">
        <v>0.08</v>
      </c>
      <c r="G116" s="1">
        <v>24</v>
      </c>
      <c r="H116" s="1" t="s">
        <v>396</v>
      </c>
      <c r="I116" s="8">
        <f t="shared" si="3"/>
        <v>8593.18537667499</v>
      </c>
      <c r="J116" s="8">
        <f t="shared" si="2"/>
        <v>206236.44904019975</v>
      </c>
      <c r="K116" s="1" t="s">
        <v>21</v>
      </c>
      <c r="L116" s="1">
        <v>729</v>
      </c>
      <c r="M116" s="1" t="s">
        <v>20</v>
      </c>
    </row>
    <row r="117" spans="1:13" x14ac:dyDescent="0.3">
      <c r="A117" s="1" t="s">
        <v>397</v>
      </c>
      <c r="B117" s="1" t="s">
        <v>398</v>
      </c>
      <c r="C117" s="1">
        <v>55</v>
      </c>
      <c r="D117" s="1" t="s">
        <v>37</v>
      </c>
      <c r="E117" s="1">
        <v>1010000</v>
      </c>
      <c r="F117" s="7">
        <v>0.12</v>
      </c>
      <c r="G117" s="1">
        <v>36</v>
      </c>
      <c r="H117" s="1" t="s">
        <v>399</v>
      </c>
      <c r="I117" s="8">
        <f t="shared" si="3"/>
        <v>33546.4529109797</v>
      </c>
      <c r="J117" s="8">
        <f t="shared" si="2"/>
        <v>1207672.3047952692</v>
      </c>
      <c r="K117" s="1" t="s">
        <v>25</v>
      </c>
      <c r="L117" s="1">
        <v>747</v>
      </c>
      <c r="M117" s="1" t="s">
        <v>20</v>
      </c>
    </row>
    <row r="118" spans="1:13" x14ac:dyDescent="0.3">
      <c r="A118" s="1" t="s">
        <v>400</v>
      </c>
      <c r="B118" s="1" t="s">
        <v>401</v>
      </c>
      <c r="C118" s="1">
        <v>64</v>
      </c>
      <c r="D118" s="1" t="s">
        <v>37</v>
      </c>
      <c r="E118" s="1">
        <v>1970000</v>
      </c>
      <c r="F118" s="7">
        <v>0.1</v>
      </c>
      <c r="G118" s="1">
        <v>12</v>
      </c>
      <c r="H118" s="1" t="s">
        <v>402</v>
      </c>
      <c r="I118" s="8">
        <f t="shared" si="3"/>
        <v>173194.2978431189</v>
      </c>
      <c r="J118" s="8">
        <f t="shared" si="2"/>
        <v>2078331.5741174268</v>
      </c>
      <c r="K118" s="1" t="s">
        <v>82</v>
      </c>
      <c r="L118" s="1">
        <v>893</v>
      </c>
      <c r="M118" s="1" t="s">
        <v>16</v>
      </c>
    </row>
    <row r="119" spans="1:13" x14ac:dyDescent="0.3">
      <c r="A119" s="1" t="s">
        <v>403</v>
      </c>
      <c r="B119" s="1" t="s">
        <v>404</v>
      </c>
      <c r="C119" s="1">
        <v>60</v>
      </c>
      <c r="D119" s="1" t="s">
        <v>23</v>
      </c>
      <c r="E119" s="1">
        <v>8170000</v>
      </c>
      <c r="F119" s="7">
        <v>0.08</v>
      </c>
      <c r="G119" s="1">
        <v>60</v>
      </c>
      <c r="H119" s="1" t="s">
        <v>382</v>
      </c>
      <c r="I119" s="8">
        <f t="shared" si="3"/>
        <v>165658.14133633976</v>
      </c>
      <c r="J119" s="8">
        <f t="shared" si="2"/>
        <v>9939488.4801803865</v>
      </c>
      <c r="K119" s="1" t="s">
        <v>94</v>
      </c>
      <c r="L119" s="1">
        <v>710</v>
      </c>
      <c r="M119" s="1" t="s">
        <v>16</v>
      </c>
    </row>
    <row r="120" spans="1:13" x14ac:dyDescent="0.3">
      <c r="A120" s="1" t="s">
        <v>405</v>
      </c>
      <c r="B120" s="1" t="s">
        <v>406</v>
      </c>
      <c r="C120" s="1">
        <v>42</v>
      </c>
      <c r="D120" s="1" t="s">
        <v>32</v>
      </c>
      <c r="E120" s="1">
        <v>340000</v>
      </c>
      <c r="F120" s="7">
        <v>0.115</v>
      </c>
      <c r="G120" s="1">
        <v>84</v>
      </c>
      <c r="H120" s="1" t="s">
        <v>407</v>
      </c>
      <c r="I120" s="8">
        <f t="shared" si="3"/>
        <v>5911.3966788816451</v>
      </c>
      <c r="J120" s="8">
        <f t="shared" si="2"/>
        <v>496557.32102605817</v>
      </c>
      <c r="K120" s="1" t="s">
        <v>68</v>
      </c>
      <c r="L120" s="1">
        <v>726</v>
      </c>
      <c r="M120" s="1" t="s">
        <v>16</v>
      </c>
    </row>
    <row r="121" spans="1:13" x14ac:dyDescent="0.3">
      <c r="A121" s="1" t="s">
        <v>408</v>
      </c>
      <c r="B121" s="1" t="s">
        <v>409</v>
      </c>
      <c r="C121" s="1">
        <v>47</v>
      </c>
      <c r="D121" s="1" t="s">
        <v>23</v>
      </c>
      <c r="E121" s="1">
        <v>9320000</v>
      </c>
      <c r="F121" s="7">
        <v>0.125</v>
      </c>
      <c r="G121" s="1">
        <v>84</v>
      </c>
      <c r="H121" s="1" t="s">
        <v>410</v>
      </c>
      <c r="I121" s="8">
        <f t="shared" si="3"/>
        <v>167025.9421332574</v>
      </c>
      <c r="J121" s="8">
        <f t="shared" si="2"/>
        <v>14030179.139193621</v>
      </c>
      <c r="K121" s="1" t="s">
        <v>52</v>
      </c>
      <c r="L121" s="1">
        <v>834</v>
      </c>
      <c r="M121" s="1" t="s">
        <v>20</v>
      </c>
    </row>
    <row r="122" spans="1:13" x14ac:dyDescent="0.3">
      <c r="A122" s="1" t="s">
        <v>411</v>
      </c>
      <c r="B122" s="1" t="s">
        <v>412</v>
      </c>
      <c r="C122" s="1">
        <v>55</v>
      </c>
      <c r="D122" s="1" t="s">
        <v>27</v>
      </c>
      <c r="E122" s="1">
        <v>150000</v>
      </c>
      <c r="F122" s="7">
        <v>7.4999999999999997E-2</v>
      </c>
      <c r="G122" s="1">
        <v>120</v>
      </c>
      <c r="H122" s="1" t="s">
        <v>413</v>
      </c>
      <c r="I122" s="8">
        <f t="shared" si="3"/>
        <v>1780.5265370378136</v>
      </c>
      <c r="J122" s="8">
        <f t="shared" si="2"/>
        <v>213663.18444453762</v>
      </c>
      <c r="K122" s="1" t="s">
        <v>34</v>
      </c>
      <c r="L122" s="1">
        <v>612</v>
      </c>
      <c r="M122" s="1" t="s">
        <v>16</v>
      </c>
    </row>
    <row r="123" spans="1:13" x14ac:dyDescent="0.3">
      <c r="A123" s="1" t="s">
        <v>414</v>
      </c>
      <c r="B123" s="1" t="s">
        <v>199</v>
      </c>
      <c r="C123" s="1">
        <v>21</v>
      </c>
      <c r="D123" s="1" t="s">
        <v>42</v>
      </c>
      <c r="E123" s="1">
        <v>1020000</v>
      </c>
      <c r="F123" s="7">
        <v>8.5000000000000006E-2</v>
      </c>
      <c r="G123" s="1">
        <v>24</v>
      </c>
      <c r="H123" s="1" t="s">
        <v>415</v>
      </c>
      <c r="I123" s="8">
        <f t="shared" si="3"/>
        <v>46364.788379013757</v>
      </c>
      <c r="J123" s="8">
        <f t="shared" si="2"/>
        <v>1112754.92109633</v>
      </c>
      <c r="K123" s="1" t="s">
        <v>143</v>
      </c>
      <c r="L123" s="1">
        <v>699</v>
      </c>
      <c r="M123" s="1" t="s">
        <v>20</v>
      </c>
    </row>
    <row r="124" spans="1:13" x14ac:dyDescent="0.3">
      <c r="A124" s="1" t="s">
        <v>416</v>
      </c>
      <c r="B124" s="1" t="s">
        <v>417</v>
      </c>
      <c r="C124" s="1">
        <v>55</v>
      </c>
      <c r="D124" s="1" t="s">
        <v>15</v>
      </c>
      <c r="E124" s="1">
        <v>1550000</v>
      </c>
      <c r="F124" s="7">
        <v>0.09</v>
      </c>
      <c r="G124" s="1">
        <v>24</v>
      </c>
      <c r="H124" s="1" t="s">
        <v>418</v>
      </c>
      <c r="I124" s="8">
        <f t="shared" si="3"/>
        <v>70811.350532718294</v>
      </c>
      <c r="J124" s="8">
        <f t="shared" si="2"/>
        <v>1699472.4127852391</v>
      </c>
      <c r="K124" s="1" t="s">
        <v>94</v>
      </c>
      <c r="L124" s="1">
        <v>703</v>
      </c>
      <c r="M124" s="1" t="s">
        <v>16</v>
      </c>
    </row>
    <row r="125" spans="1:13" x14ac:dyDescent="0.3">
      <c r="A125" s="1" t="s">
        <v>419</v>
      </c>
      <c r="B125" s="1" t="s">
        <v>420</v>
      </c>
      <c r="C125" s="1">
        <v>57</v>
      </c>
      <c r="D125" s="1" t="s">
        <v>37</v>
      </c>
      <c r="E125" s="1">
        <v>3700000</v>
      </c>
      <c r="F125" s="7">
        <v>0.115</v>
      </c>
      <c r="G125" s="1">
        <v>12</v>
      </c>
      <c r="H125" s="1" t="s">
        <v>421</v>
      </c>
      <c r="I125" s="8">
        <f t="shared" si="3"/>
        <v>327875.69930269552</v>
      </c>
      <c r="J125" s="8">
        <f t="shared" si="2"/>
        <v>3934508.3916323464</v>
      </c>
      <c r="K125" s="1" t="s">
        <v>21</v>
      </c>
      <c r="L125" s="1">
        <v>705</v>
      </c>
      <c r="M125" s="1" t="s">
        <v>16</v>
      </c>
    </row>
    <row r="126" spans="1:13" x14ac:dyDescent="0.3">
      <c r="A126" s="1" t="s">
        <v>422</v>
      </c>
      <c r="B126" s="1" t="s">
        <v>423</v>
      </c>
      <c r="C126" s="1">
        <v>34</v>
      </c>
      <c r="D126" s="1" t="s">
        <v>27</v>
      </c>
      <c r="E126" s="1">
        <v>920000</v>
      </c>
      <c r="F126" s="7">
        <v>7.4999999999999997E-2</v>
      </c>
      <c r="G126" s="1">
        <v>12</v>
      </c>
      <c r="H126" s="1" t="s">
        <v>424</v>
      </c>
      <c r="I126" s="8">
        <f t="shared" si="3"/>
        <v>79816.823534574636</v>
      </c>
      <c r="J126" s="8">
        <f t="shared" si="2"/>
        <v>957801.88241489558</v>
      </c>
      <c r="K126" s="1" t="s">
        <v>205</v>
      </c>
      <c r="L126" s="1">
        <v>598</v>
      </c>
      <c r="M126" s="1" t="s">
        <v>20</v>
      </c>
    </row>
    <row r="127" spans="1:13" x14ac:dyDescent="0.3">
      <c r="A127" s="1" t="s">
        <v>425</v>
      </c>
      <c r="B127" s="1" t="s">
        <v>426</v>
      </c>
      <c r="C127" s="1">
        <v>23</v>
      </c>
      <c r="D127" s="1" t="s">
        <v>23</v>
      </c>
      <c r="E127" s="1">
        <v>9800000</v>
      </c>
      <c r="F127" s="7">
        <v>0.105</v>
      </c>
      <c r="G127" s="1">
        <v>36</v>
      </c>
      <c r="H127" s="1" t="s">
        <v>427</v>
      </c>
      <c r="I127" s="8">
        <f t="shared" si="3"/>
        <v>318523.94634593191</v>
      </c>
      <c r="J127" s="8">
        <f t="shared" si="2"/>
        <v>11466862.068453548</v>
      </c>
      <c r="K127" s="1" t="s">
        <v>39</v>
      </c>
      <c r="L127" s="1">
        <v>886</v>
      </c>
      <c r="M127" s="1" t="s">
        <v>16</v>
      </c>
    </row>
    <row r="128" spans="1:13" x14ac:dyDescent="0.3">
      <c r="A128" s="1" t="s">
        <v>428</v>
      </c>
      <c r="B128" s="1" t="s">
        <v>429</v>
      </c>
      <c r="C128" s="1">
        <v>21</v>
      </c>
      <c r="D128" s="1" t="s">
        <v>37</v>
      </c>
      <c r="E128" s="1">
        <v>3170000</v>
      </c>
      <c r="F128" s="7">
        <v>0.08</v>
      </c>
      <c r="G128" s="1">
        <v>36</v>
      </c>
      <c r="H128" s="1" t="s">
        <v>430</v>
      </c>
      <c r="I128" s="8">
        <f t="shared" si="3"/>
        <v>99336.278512735793</v>
      </c>
      <c r="J128" s="8">
        <f t="shared" si="2"/>
        <v>3576106.0264584888</v>
      </c>
      <c r="K128" s="1" t="s">
        <v>249</v>
      </c>
      <c r="L128" s="1">
        <v>633</v>
      </c>
      <c r="M128" s="1" t="s">
        <v>20</v>
      </c>
    </row>
    <row r="129" spans="1:13" x14ac:dyDescent="0.3">
      <c r="A129" s="1" t="s">
        <v>431</v>
      </c>
      <c r="B129" s="1" t="s">
        <v>432</v>
      </c>
      <c r="C129" s="1">
        <v>25</v>
      </c>
      <c r="D129" s="1" t="s">
        <v>42</v>
      </c>
      <c r="E129" s="1">
        <v>1170000</v>
      </c>
      <c r="F129" s="7">
        <v>0.11</v>
      </c>
      <c r="G129" s="1">
        <v>84</v>
      </c>
      <c r="H129" s="1" t="s">
        <v>433</v>
      </c>
      <c r="I129" s="8">
        <f t="shared" si="3"/>
        <v>20033.250628831549</v>
      </c>
      <c r="J129" s="8">
        <f t="shared" si="2"/>
        <v>1682793.0528218502</v>
      </c>
      <c r="K129" s="1" t="s">
        <v>39</v>
      </c>
      <c r="L129" s="1">
        <v>726</v>
      </c>
      <c r="M129" s="1" t="s">
        <v>20</v>
      </c>
    </row>
    <row r="130" spans="1:13" x14ac:dyDescent="0.3">
      <c r="A130" s="1" t="s">
        <v>434</v>
      </c>
      <c r="B130" s="1" t="s">
        <v>435</v>
      </c>
      <c r="C130" s="1">
        <v>46</v>
      </c>
      <c r="D130" s="1" t="s">
        <v>23</v>
      </c>
      <c r="E130" s="1">
        <v>7850000</v>
      </c>
      <c r="F130" s="7">
        <v>9.5000000000000001E-2</v>
      </c>
      <c r="G130" s="1">
        <v>84</v>
      </c>
      <c r="H130" s="1" t="s">
        <v>436</v>
      </c>
      <c r="I130" s="8">
        <f t="shared" si="3"/>
        <v>128300.25619819261</v>
      </c>
      <c r="J130" s="8">
        <f t="shared" si="2"/>
        <v>10777221.52064818</v>
      </c>
      <c r="K130" s="1" t="s">
        <v>249</v>
      </c>
      <c r="L130" s="1">
        <v>697</v>
      </c>
      <c r="M130" s="1" t="s">
        <v>16</v>
      </c>
    </row>
    <row r="131" spans="1:13" x14ac:dyDescent="0.3">
      <c r="A131" s="1" t="s">
        <v>437</v>
      </c>
      <c r="B131" s="1" t="s">
        <v>438</v>
      </c>
      <c r="C131" s="1">
        <v>34</v>
      </c>
      <c r="D131" s="1" t="s">
        <v>32</v>
      </c>
      <c r="E131" s="1">
        <v>130000</v>
      </c>
      <c r="F131" s="7">
        <v>9.5000000000000001E-2</v>
      </c>
      <c r="G131" s="1">
        <v>180</v>
      </c>
      <c r="H131" s="1" t="s">
        <v>439</v>
      </c>
      <c r="I131" s="8">
        <f t="shared" si="3"/>
        <v>1357.4920877229224</v>
      </c>
      <c r="J131" s="8">
        <f t="shared" si="2"/>
        <v>244348.57579012602</v>
      </c>
      <c r="K131" s="1" t="s">
        <v>316</v>
      </c>
      <c r="L131" s="1">
        <v>667</v>
      </c>
      <c r="M131" s="1" t="s">
        <v>16</v>
      </c>
    </row>
    <row r="132" spans="1:13" x14ac:dyDescent="0.3">
      <c r="A132" s="1" t="s">
        <v>440</v>
      </c>
      <c r="B132" s="1" t="s">
        <v>441</v>
      </c>
      <c r="C132" s="1">
        <v>59</v>
      </c>
      <c r="D132" s="1" t="s">
        <v>32</v>
      </c>
      <c r="E132" s="1">
        <v>210000</v>
      </c>
      <c r="F132" s="7">
        <v>0.1</v>
      </c>
      <c r="G132" s="1">
        <v>60</v>
      </c>
      <c r="H132" s="1" t="s">
        <v>442</v>
      </c>
      <c r="I132" s="8">
        <f t="shared" si="3"/>
        <v>4461.8793893663378</v>
      </c>
      <c r="J132" s="8">
        <f t="shared" ref="J132:J195" si="4">(I132*G132)</f>
        <v>267712.76336198027</v>
      </c>
      <c r="K132" s="1" t="s">
        <v>136</v>
      </c>
      <c r="L132" s="1">
        <v>891</v>
      </c>
      <c r="M132" s="1" t="s">
        <v>16</v>
      </c>
    </row>
    <row r="133" spans="1:13" x14ac:dyDescent="0.3">
      <c r="A133" s="1" t="s">
        <v>443</v>
      </c>
      <c r="B133" s="1" t="s">
        <v>444</v>
      </c>
      <c r="C133" s="1">
        <v>47</v>
      </c>
      <c r="D133" s="1" t="s">
        <v>15</v>
      </c>
      <c r="E133" s="1">
        <v>990000</v>
      </c>
      <c r="F133" s="7">
        <v>0.08</v>
      </c>
      <c r="G133" s="1">
        <v>24</v>
      </c>
      <c r="H133" s="1" t="s">
        <v>445</v>
      </c>
      <c r="I133" s="8">
        <f t="shared" ref="I133:I196" si="5">PMT(F133/12,G133, -E133)</f>
        <v>44775.01854162231</v>
      </c>
      <c r="J133" s="8">
        <f t="shared" si="4"/>
        <v>1074600.4449989353</v>
      </c>
      <c r="K133" s="1" t="s">
        <v>90</v>
      </c>
      <c r="L133" s="1">
        <v>612</v>
      </c>
      <c r="M133" s="1" t="s">
        <v>16</v>
      </c>
    </row>
    <row r="134" spans="1:13" x14ac:dyDescent="0.3">
      <c r="A134" s="1" t="s">
        <v>446</v>
      </c>
      <c r="B134" s="1" t="s">
        <v>447</v>
      </c>
      <c r="C134" s="1">
        <v>29</v>
      </c>
      <c r="D134" s="1" t="s">
        <v>37</v>
      </c>
      <c r="E134" s="1">
        <v>2040000</v>
      </c>
      <c r="F134" s="7">
        <v>0.115</v>
      </c>
      <c r="G134" s="1">
        <v>84</v>
      </c>
      <c r="H134" s="1" t="s">
        <v>448</v>
      </c>
      <c r="I134" s="8">
        <f t="shared" si="5"/>
        <v>35468.380073289867</v>
      </c>
      <c r="J134" s="8">
        <f t="shared" si="4"/>
        <v>2979343.926156349</v>
      </c>
      <c r="K134" s="1" t="s">
        <v>44</v>
      </c>
      <c r="L134" s="1">
        <v>738</v>
      </c>
      <c r="M134" s="1" t="s">
        <v>20</v>
      </c>
    </row>
    <row r="135" spans="1:13" x14ac:dyDescent="0.3">
      <c r="A135" s="1" t="s">
        <v>449</v>
      </c>
      <c r="B135" s="1" t="s">
        <v>450</v>
      </c>
      <c r="C135" s="1">
        <v>35</v>
      </c>
      <c r="D135" s="1" t="s">
        <v>27</v>
      </c>
      <c r="E135" s="1">
        <v>890000</v>
      </c>
      <c r="F135" s="7">
        <v>0.11</v>
      </c>
      <c r="G135" s="1">
        <v>84</v>
      </c>
      <c r="H135" s="1" t="s">
        <v>451</v>
      </c>
      <c r="I135" s="8">
        <f t="shared" si="5"/>
        <v>15238.968427059895</v>
      </c>
      <c r="J135" s="8">
        <f t="shared" si="4"/>
        <v>1280073.3478730312</v>
      </c>
      <c r="K135" s="1" t="s">
        <v>25</v>
      </c>
      <c r="L135" s="1">
        <v>598</v>
      </c>
      <c r="M135" s="1" t="s">
        <v>60</v>
      </c>
    </row>
    <row r="136" spans="1:13" x14ac:dyDescent="0.3">
      <c r="A136" s="1" t="s">
        <v>452</v>
      </c>
      <c r="B136" s="1" t="s">
        <v>453</v>
      </c>
      <c r="C136" s="1">
        <v>35</v>
      </c>
      <c r="D136" s="1" t="s">
        <v>15</v>
      </c>
      <c r="E136" s="1">
        <v>1330000</v>
      </c>
      <c r="F136" s="7">
        <v>7.4999999999999997E-2</v>
      </c>
      <c r="G136" s="1">
        <v>36</v>
      </c>
      <c r="H136" s="1" t="s">
        <v>454</v>
      </c>
      <c r="I136" s="8">
        <f t="shared" si="5"/>
        <v>41371.27015367306</v>
      </c>
      <c r="J136" s="8">
        <f t="shared" si="4"/>
        <v>1489365.7255322302</v>
      </c>
      <c r="K136" s="1" t="s">
        <v>326</v>
      </c>
      <c r="L136" s="1">
        <v>876</v>
      </c>
      <c r="M136" s="1" t="s">
        <v>20</v>
      </c>
    </row>
    <row r="137" spans="1:13" x14ac:dyDescent="0.3">
      <c r="A137" s="1" t="s">
        <v>455</v>
      </c>
      <c r="B137" s="1" t="s">
        <v>456</v>
      </c>
      <c r="C137" s="1">
        <v>46</v>
      </c>
      <c r="D137" s="1" t="s">
        <v>37</v>
      </c>
      <c r="E137" s="1">
        <v>4470000</v>
      </c>
      <c r="F137" s="7">
        <v>0.1</v>
      </c>
      <c r="G137" s="1">
        <v>24</v>
      </c>
      <c r="H137" s="1" t="s">
        <v>457</v>
      </c>
      <c r="I137" s="8">
        <f t="shared" si="5"/>
        <v>206267.82072869877</v>
      </c>
      <c r="J137" s="8">
        <f t="shared" si="4"/>
        <v>4950427.6974887708</v>
      </c>
      <c r="K137" s="1" t="s">
        <v>205</v>
      </c>
      <c r="L137" s="1">
        <v>806</v>
      </c>
      <c r="M137" s="1" t="s">
        <v>20</v>
      </c>
    </row>
    <row r="138" spans="1:13" x14ac:dyDescent="0.3">
      <c r="A138" s="1" t="s">
        <v>458</v>
      </c>
      <c r="B138" s="1" t="s">
        <v>459</v>
      </c>
      <c r="C138" s="1">
        <v>62</v>
      </c>
      <c r="D138" s="1" t="s">
        <v>37</v>
      </c>
      <c r="E138" s="1">
        <v>2520000</v>
      </c>
      <c r="F138" s="7">
        <v>0.09</v>
      </c>
      <c r="G138" s="1">
        <v>120</v>
      </c>
      <c r="H138" s="1" t="s">
        <v>460</v>
      </c>
      <c r="I138" s="8">
        <f t="shared" si="5"/>
        <v>31922.294985062868</v>
      </c>
      <c r="J138" s="8">
        <f t="shared" si="4"/>
        <v>3830675.3982075443</v>
      </c>
      <c r="K138" s="1" t="s">
        <v>52</v>
      </c>
      <c r="L138" s="1">
        <v>773</v>
      </c>
      <c r="M138" s="1" t="s">
        <v>16</v>
      </c>
    </row>
    <row r="139" spans="1:13" x14ac:dyDescent="0.3">
      <c r="A139" s="1" t="s">
        <v>461</v>
      </c>
      <c r="B139" s="1" t="s">
        <v>462</v>
      </c>
      <c r="C139" s="1">
        <v>33</v>
      </c>
      <c r="D139" s="1" t="s">
        <v>37</v>
      </c>
      <c r="E139" s="1">
        <v>2390000</v>
      </c>
      <c r="F139" s="7">
        <v>9.5000000000000001E-2</v>
      </c>
      <c r="G139" s="1">
        <v>120</v>
      </c>
      <c r="H139" s="1" t="s">
        <v>463</v>
      </c>
      <c r="I139" s="8">
        <f t="shared" si="5"/>
        <v>30926.016257025709</v>
      </c>
      <c r="J139" s="8">
        <f t="shared" si="4"/>
        <v>3711121.9508430851</v>
      </c>
      <c r="K139" s="1" t="s">
        <v>205</v>
      </c>
      <c r="L139" s="1">
        <v>690</v>
      </c>
      <c r="M139" s="1" t="s">
        <v>20</v>
      </c>
    </row>
    <row r="140" spans="1:13" x14ac:dyDescent="0.3">
      <c r="A140" s="1" t="s">
        <v>464</v>
      </c>
      <c r="B140" s="1" t="s">
        <v>465</v>
      </c>
      <c r="C140" s="1">
        <v>52</v>
      </c>
      <c r="D140" s="1" t="s">
        <v>18</v>
      </c>
      <c r="E140" s="1">
        <v>830000</v>
      </c>
      <c r="F140" s="7">
        <v>0.12</v>
      </c>
      <c r="G140" s="1">
        <v>180</v>
      </c>
      <c r="H140" s="1" t="s">
        <v>466</v>
      </c>
      <c r="I140" s="8">
        <f t="shared" si="5"/>
        <v>9961.3949153595622</v>
      </c>
      <c r="J140" s="8">
        <f t="shared" si="4"/>
        <v>1793051.0847647211</v>
      </c>
      <c r="K140" s="1" t="s">
        <v>82</v>
      </c>
      <c r="L140" s="1">
        <v>764</v>
      </c>
      <c r="M140" s="1" t="s">
        <v>60</v>
      </c>
    </row>
    <row r="141" spans="1:13" x14ac:dyDescent="0.3">
      <c r="A141" s="1" t="s">
        <v>467</v>
      </c>
      <c r="B141" s="1" t="s">
        <v>468</v>
      </c>
      <c r="C141" s="1">
        <v>59</v>
      </c>
      <c r="D141" s="1" t="s">
        <v>37</v>
      </c>
      <c r="E141" s="1">
        <v>1710000</v>
      </c>
      <c r="F141" s="7">
        <v>9.5000000000000001E-2</v>
      </c>
      <c r="G141" s="1">
        <v>60</v>
      </c>
      <c r="H141" s="1" t="s">
        <v>469</v>
      </c>
      <c r="I141" s="8">
        <f t="shared" si="5"/>
        <v>35913.182839613524</v>
      </c>
      <c r="J141" s="8">
        <f t="shared" si="4"/>
        <v>2154790.9703768115</v>
      </c>
      <c r="K141" s="1" t="s">
        <v>56</v>
      </c>
      <c r="L141" s="1">
        <v>760</v>
      </c>
      <c r="M141" s="1" t="s">
        <v>20</v>
      </c>
    </row>
    <row r="142" spans="1:13" x14ac:dyDescent="0.3">
      <c r="A142" s="1" t="s">
        <v>470</v>
      </c>
      <c r="B142" s="1" t="s">
        <v>471</v>
      </c>
      <c r="C142" s="1">
        <v>52</v>
      </c>
      <c r="D142" s="1" t="s">
        <v>37</v>
      </c>
      <c r="E142" s="1">
        <v>4380000</v>
      </c>
      <c r="F142" s="7">
        <v>0.13</v>
      </c>
      <c r="G142" s="1">
        <v>120</v>
      </c>
      <c r="H142" s="1" t="s">
        <v>472</v>
      </c>
      <c r="I142" s="8">
        <f t="shared" si="5"/>
        <v>65398.104110024484</v>
      </c>
      <c r="J142" s="8">
        <f t="shared" si="4"/>
        <v>7847772.4932029378</v>
      </c>
      <c r="K142" s="1" t="s">
        <v>366</v>
      </c>
      <c r="L142" s="1">
        <v>867</v>
      </c>
      <c r="M142" s="1" t="s">
        <v>16</v>
      </c>
    </row>
    <row r="143" spans="1:13" x14ac:dyDescent="0.3">
      <c r="A143" s="1" t="s">
        <v>473</v>
      </c>
      <c r="B143" s="1" t="s">
        <v>474</v>
      </c>
      <c r="C143" s="1">
        <v>24</v>
      </c>
      <c r="D143" s="1" t="s">
        <v>15</v>
      </c>
      <c r="E143" s="1">
        <v>320000</v>
      </c>
      <c r="F143" s="7">
        <v>0.12</v>
      </c>
      <c r="G143" s="1">
        <v>180</v>
      </c>
      <c r="H143" s="1" t="s">
        <v>475</v>
      </c>
      <c r="I143" s="8">
        <f t="shared" si="5"/>
        <v>3840.5377986928438</v>
      </c>
      <c r="J143" s="8">
        <f t="shared" si="4"/>
        <v>691296.80376471183</v>
      </c>
      <c r="K143" s="1" t="s">
        <v>212</v>
      </c>
      <c r="L143" s="1">
        <v>581</v>
      </c>
      <c r="M143" s="1" t="s">
        <v>20</v>
      </c>
    </row>
    <row r="144" spans="1:13" x14ac:dyDescent="0.3">
      <c r="A144" s="1" t="s">
        <v>476</v>
      </c>
      <c r="B144" s="1" t="s">
        <v>477</v>
      </c>
      <c r="C144" s="1">
        <v>50</v>
      </c>
      <c r="D144" s="1" t="s">
        <v>42</v>
      </c>
      <c r="E144" s="1">
        <v>1480000</v>
      </c>
      <c r="F144" s="7">
        <v>0.09</v>
      </c>
      <c r="G144" s="1">
        <v>120</v>
      </c>
      <c r="H144" s="1" t="s">
        <v>478</v>
      </c>
      <c r="I144" s="8">
        <f t="shared" si="5"/>
        <v>18748.014515036924</v>
      </c>
      <c r="J144" s="8">
        <f t="shared" si="4"/>
        <v>2249761.7418044307</v>
      </c>
      <c r="K144" s="1" t="s">
        <v>326</v>
      </c>
      <c r="L144" s="1">
        <v>707</v>
      </c>
      <c r="M144" s="1" t="s">
        <v>16</v>
      </c>
    </row>
    <row r="145" spans="1:13" x14ac:dyDescent="0.3">
      <c r="A145" s="1" t="s">
        <v>479</v>
      </c>
      <c r="B145" s="1" t="s">
        <v>480</v>
      </c>
      <c r="C145" s="1">
        <v>57</v>
      </c>
      <c r="D145" s="1" t="s">
        <v>18</v>
      </c>
      <c r="E145" s="1">
        <v>1070000</v>
      </c>
      <c r="F145" s="7">
        <v>0.11</v>
      </c>
      <c r="G145" s="1">
        <v>36</v>
      </c>
      <c r="H145" s="1" t="s">
        <v>481</v>
      </c>
      <c r="I145" s="8">
        <f t="shared" si="5"/>
        <v>35030.427315192188</v>
      </c>
      <c r="J145" s="8">
        <f t="shared" si="4"/>
        <v>1261095.3833469187</v>
      </c>
      <c r="K145" s="1" t="s">
        <v>136</v>
      </c>
      <c r="L145" s="1">
        <v>834</v>
      </c>
      <c r="M145" s="1" t="s">
        <v>20</v>
      </c>
    </row>
    <row r="146" spans="1:13" x14ac:dyDescent="0.3">
      <c r="A146" s="1" t="s">
        <v>482</v>
      </c>
      <c r="B146" s="1" t="s">
        <v>483</v>
      </c>
      <c r="C146" s="1">
        <v>43</v>
      </c>
      <c r="D146" s="1" t="s">
        <v>42</v>
      </c>
      <c r="E146" s="1">
        <v>1170000</v>
      </c>
      <c r="F146" s="7">
        <v>0.1</v>
      </c>
      <c r="G146" s="1">
        <v>24</v>
      </c>
      <c r="H146" s="1" t="s">
        <v>484</v>
      </c>
      <c r="I146" s="8">
        <f t="shared" si="5"/>
        <v>53989.563814894311</v>
      </c>
      <c r="J146" s="8">
        <f t="shared" si="4"/>
        <v>1295749.5315574636</v>
      </c>
      <c r="K146" s="1" t="s">
        <v>132</v>
      </c>
      <c r="L146" s="1">
        <v>854</v>
      </c>
      <c r="M146" s="1" t="s">
        <v>20</v>
      </c>
    </row>
    <row r="147" spans="1:13" x14ac:dyDescent="0.3">
      <c r="A147" s="1" t="s">
        <v>485</v>
      </c>
      <c r="B147" s="1" t="s">
        <v>486</v>
      </c>
      <c r="C147" s="1">
        <v>59</v>
      </c>
      <c r="D147" s="1" t="s">
        <v>15</v>
      </c>
      <c r="E147" s="1">
        <v>1370000</v>
      </c>
      <c r="F147" s="7">
        <v>0.12</v>
      </c>
      <c r="G147" s="1">
        <v>36</v>
      </c>
      <c r="H147" s="1" t="s">
        <v>487</v>
      </c>
      <c r="I147" s="8">
        <f t="shared" si="5"/>
        <v>45503.604443606127</v>
      </c>
      <c r="J147" s="8">
        <f t="shared" si="4"/>
        <v>1638129.7599698205</v>
      </c>
      <c r="K147" s="1" t="s">
        <v>68</v>
      </c>
      <c r="L147" s="1">
        <v>835</v>
      </c>
      <c r="M147" s="1" t="s">
        <v>16</v>
      </c>
    </row>
    <row r="148" spans="1:13" x14ac:dyDescent="0.3">
      <c r="A148" s="1" t="s">
        <v>488</v>
      </c>
      <c r="B148" s="1" t="s">
        <v>489</v>
      </c>
      <c r="C148" s="1">
        <v>35</v>
      </c>
      <c r="D148" s="1" t="s">
        <v>32</v>
      </c>
      <c r="E148" s="1">
        <v>330000</v>
      </c>
      <c r="F148" s="7">
        <v>0.11</v>
      </c>
      <c r="G148" s="1">
        <v>12</v>
      </c>
      <c r="H148" s="1" t="s">
        <v>396</v>
      </c>
      <c r="I148" s="8">
        <f t="shared" si="5"/>
        <v>29165.947312129334</v>
      </c>
      <c r="J148" s="8">
        <f t="shared" si="4"/>
        <v>349991.36774555198</v>
      </c>
      <c r="K148" s="1" t="s">
        <v>48</v>
      </c>
      <c r="L148" s="1">
        <v>693</v>
      </c>
      <c r="M148" s="1" t="s">
        <v>20</v>
      </c>
    </row>
    <row r="149" spans="1:13" x14ac:dyDescent="0.3">
      <c r="A149" s="1" t="s">
        <v>490</v>
      </c>
      <c r="B149" s="1" t="s">
        <v>491</v>
      </c>
      <c r="C149" s="1">
        <v>63</v>
      </c>
      <c r="D149" s="1" t="s">
        <v>42</v>
      </c>
      <c r="E149" s="1">
        <v>580000</v>
      </c>
      <c r="F149" s="7">
        <v>0.09</v>
      </c>
      <c r="G149" s="1">
        <v>36</v>
      </c>
      <c r="H149" s="1" t="s">
        <v>331</v>
      </c>
      <c r="I149" s="8">
        <f t="shared" si="5"/>
        <v>18443.844942765598</v>
      </c>
      <c r="J149" s="8">
        <f t="shared" si="4"/>
        <v>663978.41793956154</v>
      </c>
      <c r="K149" s="1" t="s">
        <v>56</v>
      </c>
      <c r="L149" s="1">
        <v>568</v>
      </c>
      <c r="M149" s="1" t="s">
        <v>16</v>
      </c>
    </row>
    <row r="150" spans="1:13" x14ac:dyDescent="0.3">
      <c r="A150" s="1" t="s">
        <v>492</v>
      </c>
      <c r="B150" s="1" t="s">
        <v>493</v>
      </c>
      <c r="C150" s="1">
        <v>49</v>
      </c>
      <c r="D150" s="1" t="s">
        <v>27</v>
      </c>
      <c r="E150" s="1">
        <v>510000</v>
      </c>
      <c r="F150" s="7">
        <v>0.13</v>
      </c>
      <c r="G150" s="1">
        <v>24</v>
      </c>
      <c r="H150" s="1" t="s">
        <v>494</v>
      </c>
      <c r="I150" s="8">
        <f t="shared" si="5"/>
        <v>24246.329520110015</v>
      </c>
      <c r="J150" s="8">
        <f t="shared" si="4"/>
        <v>581911.9084826404</v>
      </c>
      <c r="K150" s="1" t="s">
        <v>159</v>
      </c>
      <c r="L150" s="1">
        <v>567</v>
      </c>
      <c r="M150" s="1" t="s">
        <v>20</v>
      </c>
    </row>
    <row r="151" spans="1:13" x14ac:dyDescent="0.3">
      <c r="A151" s="1" t="s">
        <v>495</v>
      </c>
      <c r="B151" s="1" t="s">
        <v>496</v>
      </c>
      <c r="C151" s="1">
        <v>56</v>
      </c>
      <c r="D151" s="1" t="s">
        <v>27</v>
      </c>
      <c r="E151" s="1">
        <v>350000</v>
      </c>
      <c r="F151" s="7">
        <v>0.115</v>
      </c>
      <c r="G151" s="1">
        <v>120</v>
      </c>
      <c r="H151" s="1" t="s">
        <v>497</v>
      </c>
      <c r="I151" s="8">
        <f t="shared" si="5"/>
        <v>4920.8405392643117</v>
      </c>
      <c r="J151" s="8">
        <f t="shared" si="4"/>
        <v>590500.86471171735</v>
      </c>
      <c r="K151" s="1" t="s">
        <v>326</v>
      </c>
      <c r="L151" s="1">
        <v>806</v>
      </c>
      <c r="M151" s="1" t="s">
        <v>16</v>
      </c>
    </row>
    <row r="152" spans="1:13" x14ac:dyDescent="0.3">
      <c r="A152" s="1" t="s">
        <v>498</v>
      </c>
      <c r="B152" s="1" t="s">
        <v>499</v>
      </c>
      <c r="C152" s="1">
        <v>33</v>
      </c>
      <c r="D152" s="1" t="s">
        <v>32</v>
      </c>
      <c r="E152" s="1">
        <v>180000</v>
      </c>
      <c r="F152" s="7">
        <v>0.09</v>
      </c>
      <c r="G152" s="1">
        <v>180</v>
      </c>
      <c r="H152" s="1" t="s">
        <v>500</v>
      </c>
      <c r="I152" s="8">
        <f t="shared" si="5"/>
        <v>1825.6798514912127</v>
      </c>
      <c r="J152" s="8">
        <f t="shared" si="4"/>
        <v>328622.37326841831</v>
      </c>
      <c r="K152" s="1" t="s">
        <v>82</v>
      </c>
      <c r="L152" s="1">
        <v>627</v>
      </c>
      <c r="M152" s="1" t="s">
        <v>20</v>
      </c>
    </row>
    <row r="153" spans="1:13" x14ac:dyDescent="0.3">
      <c r="A153" s="1" t="s">
        <v>501</v>
      </c>
      <c r="B153" s="1" t="s">
        <v>502</v>
      </c>
      <c r="C153" s="1">
        <v>52</v>
      </c>
      <c r="D153" s="1" t="s">
        <v>15</v>
      </c>
      <c r="E153" s="1">
        <v>630000</v>
      </c>
      <c r="F153" s="7">
        <v>8.5000000000000006E-2</v>
      </c>
      <c r="G153" s="1">
        <v>180</v>
      </c>
      <c r="H153" s="1" t="s">
        <v>503</v>
      </c>
      <c r="I153" s="8">
        <f t="shared" si="5"/>
        <v>6203.8592149312381</v>
      </c>
      <c r="J153" s="8">
        <f t="shared" si="4"/>
        <v>1116694.6586876228</v>
      </c>
      <c r="K153" s="1" t="s">
        <v>201</v>
      </c>
      <c r="L153" s="1">
        <v>724</v>
      </c>
      <c r="M153" s="1" t="s">
        <v>20</v>
      </c>
    </row>
    <row r="154" spans="1:13" x14ac:dyDescent="0.3">
      <c r="A154" s="1" t="s">
        <v>504</v>
      </c>
      <c r="B154" s="1" t="s">
        <v>182</v>
      </c>
      <c r="C154" s="1">
        <v>27</v>
      </c>
      <c r="D154" s="1" t="s">
        <v>27</v>
      </c>
      <c r="E154" s="1">
        <v>450000</v>
      </c>
      <c r="F154" s="7">
        <v>7.4999999999999997E-2</v>
      </c>
      <c r="G154" s="1">
        <v>36</v>
      </c>
      <c r="H154" s="1" t="s">
        <v>505</v>
      </c>
      <c r="I154" s="8">
        <f t="shared" si="5"/>
        <v>13997.798172295395</v>
      </c>
      <c r="J154" s="8">
        <f t="shared" si="4"/>
        <v>503920.73420263425</v>
      </c>
      <c r="K154" s="1" t="s">
        <v>326</v>
      </c>
      <c r="L154" s="1">
        <v>743</v>
      </c>
      <c r="M154" s="1" t="s">
        <v>60</v>
      </c>
    </row>
    <row r="155" spans="1:13" x14ac:dyDescent="0.3">
      <c r="A155" s="1" t="s">
        <v>506</v>
      </c>
      <c r="B155" s="1" t="s">
        <v>507</v>
      </c>
      <c r="C155" s="1">
        <v>42</v>
      </c>
      <c r="D155" s="1" t="s">
        <v>18</v>
      </c>
      <c r="E155" s="1">
        <v>1560000</v>
      </c>
      <c r="F155" s="7">
        <v>0.105</v>
      </c>
      <c r="G155" s="1">
        <v>120</v>
      </c>
      <c r="H155" s="1" t="s">
        <v>508</v>
      </c>
      <c r="I155" s="8">
        <f t="shared" si="5"/>
        <v>21049.859496985329</v>
      </c>
      <c r="J155" s="8">
        <f t="shared" si="4"/>
        <v>2525983.1396382395</v>
      </c>
      <c r="K155" s="1" t="s">
        <v>25</v>
      </c>
      <c r="L155" s="1">
        <v>662</v>
      </c>
      <c r="M155" s="1" t="s">
        <v>16</v>
      </c>
    </row>
    <row r="156" spans="1:13" x14ac:dyDescent="0.3">
      <c r="A156" s="1" t="s">
        <v>509</v>
      </c>
      <c r="B156" s="1" t="s">
        <v>510</v>
      </c>
      <c r="C156" s="1">
        <v>48</v>
      </c>
      <c r="D156" s="1" t="s">
        <v>15</v>
      </c>
      <c r="E156" s="1">
        <v>370000</v>
      </c>
      <c r="F156" s="7">
        <v>7.4999999999999997E-2</v>
      </c>
      <c r="G156" s="1">
        <v>84</v>
      </c>
      <c r="H156" s="1" t="s">
        <v>511</v>
      </c>
      <c r="I156" s="8">
        <f t="shared" si="5"/>
        <v>5675.1620656562673</v>
      </c>
      <c r="J156" s="8">
        <f t="shared" si="4"/>
        <v>476713.61351512646</v>
      </c>
      <c r="K156" s="1" t="s">
        <v>205</v>
      </c>
      <c r="L156" s="1">
        <v>663</v>
      </c>
      <c r="M156" s="1" t="s">
        <v>312</v>
      </c>
    </row>
    <row r="157" spans="1:13" x14ac:dyDescent="0.3">
      <c r="A157" s="1" t="s">
        <v>512</v>
      </c>
      <c r="B157" s="1" t="s">
        <v>513</v>
      </c>
      <c r="C157" s="1">
        <v>22</v>
      </c>
      <c r="D157" s="1" t="s">
        <v>27</v>
      </c>
      <c r="E157" s="1">
        <v>570000</v>
      </c>
      <c r="F157" s="7">
        <v>0.09</v>
      </c>
      <c r="G157" s="1">
        <v>12</v>
      </c>
      <c r="H157" s="1" t="s">
        <v>514</v>
      </c>
      <c r="I157" s="8">
        <f t="shared" si="5"/>
        <v>49847.341758855211</v>
      </c>
      <c r="J157" s="8">
        <f t="shared" si="4"/>
        <v>598168.10110626253</v>
      </c>
      <c r="K157" s="1" t="s">
        <v>29</v>
      </c>
      <c r="L157" s="1">
        <v>771</v>
      </c>
      <c r="M157" s="1" t="s">
        <v>16</v>
      </c>
    </row>
    <row r="158" spans="1:13" x14ac:dyDescent="0.3">
      <c r="A158" s="1" t="s">
        <v>515</v>
      </c>
      <c r="B158" s="1" t="s">
        <v>516</v>
      </c>
      <c r="C158" s="1">
        <v>62</v>
      </c>
      <c r="D158" s="1" t="s">
        <v>23</v>
      </c>
      <c r="E158" s="1">
        <v>7230000</v>
      </c>
      <c r="F158" s="7">
        <v>0.115</v>
      </c>
      <c r="G158" s="1">
        <v>36</v>
      </c>
      <c r="H158" s="1" t="s">
        <v>517</v>
      </c>
      <c r="I158" s="8">
        <f t="shared" si="5"/>
        <v>238416.52650932537</v>
      </c>
      <c r="J158" s="8">
        <f t="shared" si="4"/>
        <v>8582994.9543357138</v>
      </c>
      <c r="K158" s="1" t="s">
        <v>25</v>
      </c>
      <c r="L158" s="1">
        <v>715</v>
      </c>
      <c r="M158" s="1" t="s">
        <v>16</v>
      </c>
    </row>
    <row r="159" spans="1:13" x14ac:dyDescent="0.3">
      <c r="A159" s="1" t="s">
        <v>518</v>
      </c>
      <c r="B159" s="1" t="s">
        <v>519</v>
      </c>
      <c r="C159" s="1">
        <v>26</v>
      </c>
      <c r="D159" s="1" t="s">
        <v>32</v>
      </c>
      <c r="E159" s="1">
        <v>100000</v>
      </c>
      <c r="F159" s="7">
        <v>0.1</v>
      </c>
      <c r="G159" s="1">
        <v>180</v>
      </c>
      <c r="H159" s="1" t="s">
        <v>520</v>
      </c>
      <c r="I159" s="8">
        <f t="shared" si="5"/>
        <v>1074.6051177081163</v>
      </c>
      <c r="J159" s="8">
        <f t="shared" si="4"/>
        <v>193428.92118746092</v>
      </c>
      <c r="K159" s="1" t="s">
        <v>119</v>
      </c>
      <c r="L159" s="1">
        <v>868</v>
      </c>
      <c r="M159" s="1" t="s">
        <v>312</v>
      </c>
    </row>
    <row r="160" spans="1:13" x14ac:dyDescent="0.3">
      <c r="A160" s="1" t="s">
        <v>521</v>
      </c>
      <c r="B160" s="1" t="s">
        <v>522</v>
      </c>
      <c r="C160" s="1">
        <v>48</v>
      </c>
      <c r="D160" s="1" t="s">
        <v>32</v>
      </c>
      <c r="E160" s="1">
        <v>330000</v>
      </c>
      <c r="F160" s="7">
        <v>0.125</v>
      </c>
      <c r="G160" s="1">
        <v>180</v>
      </c>
      <c r="H160" s="1" t="s">
        <v>523</v>
      </c>
      <c r="I160" s="8">
        <f t="shared" si="5"/>
        <v>4067.322872228212</v>
      </c>
      <c r="J160" s="8">
        <f t="shared" si="4"/>
        <v>732118.11700107821</v>
      </c>
      <c r="K160" s="1" t="s">
        <v>29</v>
      </c>
      <c r="L160" s="1">
        <v>681</v>
      </c>
      <c r="M160" s="1" t="s">
        <v>20</v>
      </c>
    </row>
    <row r="161" spans="1:13" x14ac:dyDescent="0.3">
      <c r="A161" s="1" t="s">
        <v>524</v>
      </c>
      <c r="B161" s="1" t="s">
        <v>525</v>
      </c>
      <c r="C161" s="1">
        <v>48</v>
      </c>
      <c r="D161" s="1" t="s">
        <v>32</v>
      </c>
      <c r="E161" s="1">
        <v>430000</v>
      </c>
      <c r="F161" s="7">
        <v>0.13</v>
      </c>
      <c r="G161" s="1">
        <v>24</v>
      </c>
      <c r="H161" s="1" t="s">
        <v>526</v>
      </c>
      <c r="I161" s="8">
        <f t="shared" si="5"/>
        <v>20442.983713033937</v>
      </c>
      <c r="J161" s="8">
        <f t="shared" si="4"/>
        <v>490631.60911281448</v>
      </c>
      <c r="K161" s="1" t="s">
        <v>191</v>
      </c>
      <c r="L161" s="1">
        <v>813</v>
      </c>
      <c r="M161" s="1" t="s">
        <v>20</v>
      </c>
    </row>
    <row r="162" spans="1:13" x14ac:dyDescent="0.3">
      <c r="A162" s="1" t="s">
        <v>527</v>
      </c>
      <c r="B162" s="1" t="s">
        <v>528</v>
      </c>
      <c r="C162" s="1">
        <v>64</v>
      </c>
      <c r="D162" s="1" t="s">
        <v>15</v>
      </c>
      <c r="E162" s="1">
        <v>1940000</v>
      </c>
      <c r="F162" s="7">
        <v>7.4999999999999997E-2</v>
      </c>
      <c r="G162" s="1">
        <v>120</v>
      </c>
      <c r="H162" s="1" t="s">
        <v>529</v>
      </c>
      <c r="I162" s="8">
        <f t="shared" si="5"/>
        <v>23028.143212355717</v>
      </c>
      <c r="J162" s="8">
        <f t="shared" si="4"/>
        <v>2763377.1854826859</v>
      </c>
      <c r="K162" s="1" t="s">
        <v>155</v>
      </c>
      <c r="L162" s="1">
        <v>604</v>
      </c>
      <c r="M162" s="1" t="s">
        <v>20</v>
      </c>
    </row>
    <row r="163" spans="1:13" x14ac:dyDescent="0.3">
      <c r="A163" s="1" t="s">
        <v>530</v>
      </c>
      <c r="B163" s="1" t="s">
        <v>531</v>
      </c>
      <c r="C163" s="1">
        <v>64</v>
      </c>
      <c r="D163" s="1" t="s">
        <v>18</v>
      </c>
      <c r="E163" s="1">
        <v>600000</v>
      </c>
      <c r="F163" s="7">
        <v>0.1</v>
      </c>
      <c r="G163" s="1">
        <v>180</v>
      </c>
      <c r="H163" s="1" t="s">
        <v>532</v>
      </c>
      <c r="I163" s="8">
        <f t="shared" si="5"/>
        <v>6447.6307062486976</v>
      </c>
      <c r="J163" s="8">
        <f t="shared" si="4"/>
        <v>1160573.5271247656</v>
      </c>
      <c r="K163" s="1" t="s">
        <v>191</v>
      </c>
      <c r="L163" s="1">
        <v>680</v>
      </c>
      <c r="M163" s="1" t="s">
        <v>16</v>
      </c>
    </row>
    <row r="164" spans="1:13" x14ac:dyDescent="0.3">
      <c r="A164" s="1" t="s">
        <v>533</v>
      </c>
      <c r="B164" s="1" t="s">
        <v>534</v>
      </c>
      <c r="C164" s="1">
        <v>40</v>
      </c>
      <c r="D164" s="1" t="s">
        <v>37</v>
      </c>
      <c r="E164" s="1">
        <v>930000</v>
      </c>
      <c r="F164" s="7">
        <v>7.4999999999999997E-2</v>
      </c>
      <c r="G164" s="1">
        <v>12</v>
      </c>
      <c r="H164" s="1" t="s">
        <v>535</v>
      </c>
      <c r="I164" s="8">
        <f t="shared" si="5"/>
        <v>80684.397703428709</v>
      </c>
      <c r="J164" s="8">
        <f t="shared" si="4"/>
        <v>968212.77244114457</v>
      </c>
      <c r="K164" s="1" t="s">
        <v>326</v>
      </c>
      <c r="L164" s="1">
        <v>837</v>
      </c>
      <c r="M164" s="1" t="s">
        <v>20</v>
      </c>
    </row>
    <row r="165" spans="1:13" x14ac:dyDescent="0.3">
      <c r="A165" s="1" t="s">
        <v>536</v>
      </c>
      <c r="B165" s="1" t="s">
        <v>537</v>
      </c>
      <c r="C165" s="1">
        <v>50</v>
      </c>
      <c r="D165" s="1" t="s">
        <v>32</v>
      </c>
      <c r="E165" s="1">
        <v>190000</v>
      </c>
      <c r="F165" s="7">
        <v>0.125</v>
      </c>
      <c r="G165" s="1">
        <v>24</v>
      </c>
      <c r="H165" s="1" t="s">
        <v>538</v>
      </c>
      <c r="I165" s="8">
        <f t="shared" si="5"/>
        <v>8988.3885647449079</v>
      </c>
      <c r="J165" s="8">
        <f t="shared" si="4"/>
        <v>215721.3255538778</v>
      </c>
      <c r="K165" s="1" t="s">
        <v>29</v>
      </c>
      <c r="L165" s="1">
        <v>815</v>
      </c>
      <c r="M165" s="1" t="s">
        <v>60</v>
      </c>
    </row>
    <row r="166" spans="1:13" x14ac:dyDescent="0.3">
      <c r="A166" s="1" t="s">
        <v>539</v>
      </c>
      <c r="B166" s="1" t="s">
        <v>540</v>
      </c>
      <c r="C166" s="1">
        <v>31</v>
      </c>
      <c r="D166" s="1" t="s">
        <v>18</v>
      </c>
      <c r="E166" s="1">
        <v>990000</v>
      </c>
      <c r="F166" s="7">
        <v>0.105</v>
      </c>
      <c r="G166" s="1">
        <v>60</v>
      </c>
      <c r="H166" s="1" t="s">
        <v>541</v>
      </c>
      <c r="I166" s="8">
        <f t="shared" si="5"/>
        <v>21278.961374336286</v>
      </c>
      <c r="J166" s="8">
        <f t="shared" si="4"/>
        <v>1276737.6824601772</v>
      </c>
      <c r="K166" s="1" t="s">
        <v>201</v>
      </c>
      <c r="L166" s="1">
        <v>711</v>
      </c>
      <c r="M166" s="1" t="s">
        <v>20</v>
      </c>
    </row>
    <row r="167" spans="1:13" x14ac:dyDescent="0.3">
      <c r="A167" s="1" t="s">
        <v>542</v>
      </c>
      <c r="B167" s="1" t="s">
        <v>543</v>
      </c>
      <c r="C167" s="1">
        <v>48</v>
      </c>
      <c r="D167" s="1" t="s">
        <v>27</v>
      </c>
      <c r="E167" s="1">
        <v>810000</v>
      </c>
      <c r="F167" s="7">
        <v>0.13</v>
      </c>
      <c r="G167" s="1">
        <v>84</v>
      </c>
      <c r="H167" s="1" t="s">
        <v>544</v>
      </c>
      <c r="I167" s="8">
        <f t="shared" si="5"/>
        <v>14735.490312508296</v>
      </c>
      <c r="J167" s="8">
        <f t="shared" si="4"/>
        <v>1237781.1862506969</v>
      </c>
      <c r="K167" s="1" t="s">
        <v>56</v>
      </c>
      <c r="L167" s="1">
        <v>636</v>
      </c>
      <c r="M167" s="1" t="s">
        <v>20</v>
      </c>
    </row>
    <row r="168" spans="1:13" x14ac:dyDescent="0.3">
      <c r="A168" s="1" t="s">
        <v>545</v>
      </c>
      <c r="B168" s="1" t="s">
        <v>546</v>
      </c>
      <c r="C168" s="1">
        <v>45</v>
      </c>
      <c r="D168" s="1" t="s">
        <v>23</v>
      </c>
      <c r="E168" s="1">
        <v>1660000</v>
      </c>
      <c r="F168" s="7">
        <v>0.13</v>
      </c>
      <c r="G168" s="1">
        <v>12</v>
      </c>
      <c r="H168" s="1" t="s">
        <v>547</v>
      </c>
      <c r="I168" s="8">
        <f t="shared" si="5"/>
        <v>148266.67768150329</v>
      </c>
      <c r="J168" s="8">
        <f t="shared" si="4"/>
        <v>1779200.1321780395</v>
      </c>
      <c r="K168" s="1" t="s">
        <v>82</v>
      </c>
      <c r="L168" s="1">
        <v>604</v>
      </c>
      <c r="M168" s="1" t="s">
        <v>16</v>
      </c>
    </row>
    <row r="169" spans="1:13" x14ac:dyDescent="0.3">
      <c r="A169" s="1" t="s">
        <v>548</v>
      </c>
      <c r="B169" s="1" t="s">
        <v>549</v>
      </c>
      <c r="C169" s="1">
        <v>59</v>
      </c>
      <c r="D169" s="1" t="s">
        <v>15</v>
      </c>
      <c r="E169" s="1">
        <v>350000</v>
      </c>
      <c r="F169" s="7">
        <v>9.5000000000000001E-2</v>
      </c>
      <c r="G169" s="1">
        <v>240</v>
      </c>
      <c r="H169" s="1" t="s">
        <v>550</v>
      </c>
      <c r="I169" s="8">
        <f t="shared" si="5"/>
        <v>3262.4591574173132</v>
      </c>
      <c r="J169" s="8">
        <f t="shared" si="4"/>
        <v>782990.19778015523</v>
      </c>
      <c r="K169" s="1" t="s">
        <v>39</v>
      </c>
      <c r="L169" s="1">
        <v>837</v>
      </c>
      <c r="M169" s="1" t="s">
        <v>16</v>
      </c>
    </row>
    <row r="170" spans="1:13" x14ac:dyDescent="0.3">
      <c r="A170" s="1" t="s">
        <v>551</v>
      </c>
      <c r="B170" s="1" t="s">
        <v>552</v>
      </c>
      <c r="C170" s="1">
        <v>53</v>
      </c>
      <c r="D170" s="1" t="s">
        <v>27</v>
      </c>
      <c r="E170" s="1">
        <v>300000</v>
      </c>
      <c r="F170" s="7">
        <v>0.08</v>
      </c>
      <c r="G170" s="1">
        <v>48</v>
      </c>
      <c r="H170" s="1" t="s">
        <v>553</v>
      </c>
      <c r="I170" s="8">
        <f t="shared" si="5"/>
        <v>7323.8767024507451</v>
      </c>
      <c r="J170" s="8">
        <f t="shared" si="4"/>
        <v>351546.08171763574</v>
      </c>
      <c r="K170" s="1" t="s">
        <v>82</v>
      </c>
      <c r="L170" s="1">
        <v>727</v>
      </c>
      <c r="M170" s="1" t="s">
        <v>16</v>
      </c>
    </row>
    <row r="171" spans="1:13" x14ac:dyDescent="0.3">
      <c r="A171" s="1" t="s">
        <v>554</v>
      </c>
      <c r="B171" s="1" t="s">
        <v>555</v>
      </c>
      <c r="C171" s="1">
        <v>21</v>
      </c>
      <c r="D171" s="1" t="s">
        <v>37</v>
      </c>
      <c r="E171" s="1">
        <v>2320000</v>
      </c>
      <c r="F171" s="7">
        <v>0.09</v>
      </c>
      <c r="G171" s="1">
        <v>84</v>
      </c>
      <c r="H171" s="1" t="s">
        <v>556</v>
      </c>
      <c r="I171" s="8">
        <f t="shared" si="5"/>
        <v>37326.661563289432</v>
      </c>
      <c r="J171" s="8">
        <f t="shared" si="4"/>
        <v>3135439.5713163121</v>
      </c>
      <c r="K171" s="1" t="s">
        <v>191</v>
      </c>
      <c r="L171" s="1">
        <v>898</v>
      </c>
      <c r="M171" s="1" t="s">
        <v>16</v>
      </c>
    </row>
    <row r="172" spans="1:13" x14ac:dyDescent="0.3">
      <c r="A172" s="1" t="s">
        <v>557</v>
      </c>
      <c r="B172" s="1" t="s">
        <v>558</v>
      </c>
      <c r="C172" s="1">
        <v>47</v>
      </c>
      <c r="D172" s="1" t="s">
        <v>27</v>
      </c>
      <c r="E172" s="1">
        <v>600000</v>
      </c>
      <c r="F172" s="7">
        <v>0.115</v>
      </c>
      <c r="G172" s="1">
        <v>240</v>
      </c>
      <c r="H172" s="1" t="s">
        <v>559</v>
      </c>
      <c r="I172" s="8">
        <f t="shared" si="5"/>
        <v>6398.5777890771542</v>
      </c>
      <c r="J172" s="8">
        <f t="shared" si="4"/>
        <v>1535658.669378517</v>
      </c>
      <c r="K172" s="1" t="s">
        <v>21</v>
      </c>
      <c r="L172" s="1">
        <v>557</v>
      </c>
      <c r="M172" s="1" t="s">
        <v>16</v>
      </c>
    </row>
    <row r="173" spans="1:13" x14ac:dyDescent="0.3">
      <c r="A173" s="1" t="s">
        <v>560</v>
      </c>
      <c r="B173" s="1" t="s">
        <v>561</v>
      </c>
      <c r="C173" s="1">
        <v>33</v>
      </c>
      <c r="D173" s="1" t="s">
        <v>18</v>
      </c>
      <c r="E173" s="1">
        <v>640000</v>
      </c>
      <c r="F173" s="7">
        <v>0.09</v>
      </c>
      <c r="G173" s="1">
        <v>240</v>
      </c>
      <c r="H173" s="1" t="s">
        <v>562</v>
      </c>
      <c r="I173" s="8">
        <f t="shared" si="5"/>
        <v>5758.2461174411073</v>
      </c>
      <c r="J173" s="8">
        <f t="shared" si="4"/>
        <v>1381979.0681858659</v>
      </c>
      <c r="K173" s="1" t="s">
        <v>155</v>
      </c>
      <c r="L173" s="1">
        <v>870</v>
      </c>
      <c r="M173" s="1" t="s">
        <v>16</v>
      </c>
    </row>
    <row r="174" spans="1:13" x14ac:dyDescent="0.3">
      <c r="A174" s="1" t="s">
        <v>563</v>
      </c>
      <c r="B174" s="1" t="s">
        <v>564</v>
      </c>
      <c r="C174" s="1">
        <v>61</v>
      </c>
      <c r="D174" s="1" t="s">
        <v>32</v>
      </c>
      <c r="E174" s="1">
        <v>220000</v>
      </c>
      <c r="F174" s="7">
        <v>0.105</v>
      </c>
      <c r="G174" s="1">
        <v>24</v>
      </c>
      <c r="H174" s="1" t="s">
        <v>565</v>
      </c>
      <c r="I174" s="8">
        <f t="shared" si="5"/>
        <v>10202.729160661762</v>
      </c>
      <c r="J174" s="8">
        <f t="shared" si="4"/>
        <v>244865.49985588228</v>
      </c>
      <c r="K174" s="1" t="s">
        <v>222</v>
      </c>
      <c r="L174" s="1">
        <v>862</v>
      </c>
      <c r="M174" s="1" t="s">
        <v>312</v>
      </c>
    </row>
    <row r="175" spans="1:13" x14ac:dyDescent="0.3">
      <c r="A175" s="1" t="s">
        <v>566</v>
      </c>
      <c r="B175" s="1" t="s">
        <v>567</v>
      </c>
      <c r="C175" s="1">
        <v>23</v>
      </c>
      <c r="D175" s="1" t="s">
        <v>23</v>
      </c>
      <c r="E175" s="1">
        <v>6090000</v>
      </c>
      <c r="F175" s="7">
        <v>0.11</v>
      </c>
      <c r="G175" s="1">
        <v>120</v>
      </c>
      <c r="H175" s="1" t="s">
        <v>150</v>
      </c>
      <c r="I175" s="8">
        <f t="shared" si="5"/>
        <v>83889.756876780797</v>
      </c>
      <c r="J175" s="8">
        <f t="shared" si="4"/>
        <v>10066770.825213695</v>
      </c>
      <c r="K175" s="1" t="s">
        <v>212</v>
      </c>
      <c r="L175" s="1">
        <v>796</v>
      </c>
      <c r="M175" s="1" t="s">
        <v>16</v>
      </c>
    </row>
    <row r="176" spans="1:13" x14ac:dyDescent="0.3">
      <c r="A176" s="1" t="s">
        <v>568</v>
      </c>
      <c r="B176" s="1" t="s">
        <v>569</v>
      </c>
      <c r="C176" s="1">
        <v>59</v>
      </c>
      <c r="D176" s="1" t="s">
        <v>18</v>
      </c>
      <c r="E176" s="1">
        <v>230000</v>
      </c>
      <c r="F176" s="7">
        <v>7.4999999999999997E-2</v>
      </c>
      <c r="G176" s="1">
        <v>48</v>
      </c>
      <c r="H176" s="1" t="s">
        <v>570</v>
      </c>
      <c r="I176" s="8">
        <f t="shared" si="5"/>
        <v>5561.1474456781825</v>
      </c>
      <c r="J176" s="8">
        <f t="shared" si="4"/>
        <v>266935.07739255275</v>
      </c>
      <c r="K176" s="1" t="s">
        <v>68</v>
      </c>
      <c r="L176" s="1">
        <v>872</v>
      </c>
      <c r="M176" s="1" t="s">
        <v>16</v>
      </c>
    </row>
    <row r="177" spans="1:13" x14ac:dyDescent="0.3">
      <c r="A177" s="1" t="s">
        <v>571</v>
      </c>
      <c r="B177" s="1" t="s">
        <v>572</v>
      </c>
      <c r="C177" s="1">
        <v>26</v>
      </c>
      <c r="D177" s="1" t="s">
        <v>18</v>
      </c>
      <c r="E177" s="1">
        <v>640000</v>
      </c>
      <c r="F177" s="7">
        <v>8.5000000000000006E-2</v>
      </c>
      <c r="G177" s="1">
        <v>180</v>
      </c>
      <c r="H177" s="1" t="s">
        <v>573</v>
      </c>
      <c r="I177" s="8">
        <f t="shared" si="5"/>
        <v>6302.3331707237967</v>
      </c>
      <c r="J177" s="8">
        <f t="shared" si="4"/>
        <v>1134419.9707302833</v>
      </c>
      <c r="K177" s="1" t="s">
        <v>29</v>
      </c>
      <c r="L177" s="1">
        <v>804</v>
      </c>
      <c r="M177" s="1" t="s">
        <v>16</v>
      </c>
    </row>
    <row r="178" spans="1:13" x14ac:dyDescent="0.3">
      <c r="A178" s="1" t="s">
        <v>574</v>
      </c>
      <c r="B178" s="1" t="s">
        <v>575</v>
      </c>
      <c r="C178" s="1">
        <v>28</v>
      </c>
      <c r="D178" s="1" t="s">
        <v>32</v>
      </c>
      <c r="E178" s="1">
        <v>150000</v>
      </c>
      <c r="F178" s="7">
        <v>0.13</v>
      </c>
      <c r="G178" s="1">
        <v>84</v>
      </c>
      <c r="H178" s="1" t="s">
        <v>576</v>
      </c>
      <c r="I178" s="8">
        <f t="shared" si="5"/>
        <v>2728.7945023163511</v>
      </c>
      <c r="J178" s="8">
        <f t="shared" si="4"/>
        <v>229218.7381945735</v>
      </c>
      <c r="K178" s="1" t="s">
        <v>155</v>
      </c>
      <c r="L178" s="1">
        <v>877</v>
      </c>
      <c r="M178" s="1" t="s">
        <v>20</v>
      </c>
    </row>
    <row r="179" spans="1:13" x14ac:dyDescent="0.3">
      <c r="A179" s="1" t="s">
        <v>577</v>
      </c>
      <c r="B179" s="1" t="s">
        <v>578</v>
      </c>
      <c r="C179" s="1">
        <v>47</v>
      </c>
      <c r="D179" s="1" t="s">
        <v>42</v>
      </c>
      <c r="E179" s="1">
        <v>550000</v>
      </c>
      <c r="F179" s="7">
        <v>9.5000000000000001E-2</v>
      </c>
      <c r="G179" s="1">
        <v>120</v>
      </c>
      <c r="H179" s="1" t="s">
        <v>579</v>
      </c>
      <c r="I179" s="8">
        <f t="shared" si="5"/>
        <v>7116.8656658427362</v>
      </c>
      <c r="J179" s="8">
        <f t="shared" si="4"/>
        <v>854023.87990112836</v>
      </c>
      <c r="K179" s="1" t="s">
        <v>64</v>
      </c>
      <c r="L179" s="1">
        <v>603</v>
      </c>
      <c r="M179" s="1" t="s">
        <v>20</v>
      </c>
    </row>
    <row r="180" spans="1:13" x14ac:dyDescent="0.3">
      <c r="A180" s="1" t="s">
        <v>580</v>
      </c>
      <c r="B180" s="1" t="s">
        <v>581</v>
      </c>
      <c r="C180" s="1">
        <v>29</v>
      </c>
      <c r="D180" s="1" t="s">
        <v>32</v>
      </c>
      <c r="E180" s="1">
        <v>440000</v>
      </c>
      <c r="F180" s="7">
        <v>0.08</v>
      </c>
      <c r="G180" s="1">
        <v>36</v>
      </c>
      <c r="H180" s="1" t="s">
        <v>582</v>
      </c>
      <c r="I180" s="8">
        <f t="shared" si="5"/>
        <v>13788.000803029574</v>
      </c>
      <c r="J180" s="8">
        <f t="shared" si="4"/>
        <v>496368.02890906465</v>
      </c>
      <c r="K180" s="1" t="s">
        <v>249</v>
      </c>
      <c r="L180" s="1">
        <v>798</v>
      </c>
      <c r="M180" s="1" t="s">
        <v>60</v>
      </c>
    </row>
    <row r="181" spans="1:13" x14ac:dyDescent="0.3">
      <c r="A181" s="1" t="s">
        <v>583</v>
      </c>
      <c r="B181" s="1" t="s">
        <v>584</v>
      </c>
      <c r="C181" s="1">
        <v>57</v>
      </c>
      <c r="D181" s="1" t="s">
        <v>42</v>
      </c>
      <c r="E181" s="1">
        <v>1300000</v>
      </c>
      <c r="F181" s="7">
        <v>7.4999999999999997E-2</v>
      </c>
      <c r="G181" s="1">
        <v>240</v>
      </c>
      <c r="H181" s="1" t="s">
        <v>585</v>
      </c>
      <c r="I181" s="8">
        <f t="shared" si="5"/>
        <v>10472.711516173495</v>
      </c>
      <c r="J181" s="8">
        <f t="shared" si="4"/>
        <v>2513450.7638816386</v>
      </c>
      <c r="K181" s="1" t="s">
        <v>201</v>
      </c>
      <c r="L181" s="1">
        <v>788</v>
      </c>
      <c r="M181" s="1" t="s">
        <v>16</v>
      </c>
    </row>
    <row r="182" spans="1:13" x14ac:dyDescent="0.3">
      <c r="A182" s="1" t="s">
        <v>586</v>
      </c>
      <c r="B182" s="1" t="s">
        <v>587</v>
      </c>
      <c r="C182" s="1">
        <v>53</v>
      </c>
      <c r="D182" s="1" t="s">
        <v>32</v>
      </c>
      <c r="E182" s="1">
        <v>180000</v>
      </c>
      <c r="F182" s="7">
        <v>0.09</v>
      </c>
      <c r="G182" s="1">
        <v>12</v>
      </c>
      <c r="H182" s="1" t="s">
        <v>588</v>
      </c>
      <c r="I182" s="8">
        <f t="shared" si="5"/>
        <v>15741.265818585856</v>
      </c>
      <c r="J182" s="8">
        <f t="shared" si="4"/>
        <v>188895.18982303026</v>
      </c>
      <c r="K182" s="1" t="s">
        <v>212</v>
      </c>
      <c r="L182" s="1">
        <v>778</v>
      </c>
      <c r="M182" s="1" t="s">
        <v>16</v>
      </c>
    </row>
    <row r="183" spans="1:13" x14ac:dyDescent="0.3">
      <c r="A183" s="1" t="s">
        <v>589</v>
      </c>
      <c r="B183" s="1" t="s">
        <v>590</v>
      </c>
      <c r="C183" s="1">
        <v>62</v>
      </c>
      <c r="D183" s="1" t="s">
        <v>23</v>
      </c>
      <c r="E183" s="1">
        <v>4430000</v>
      </c>
      <c r="F183" s="7">
        <v>0.115</v>
      </c>
      <c r="G183" s="1">
        <v>12</v>
      </c>
      <c r="H183" s="1" t="s">
        <v>591</v>
      </c>
      <c r="I183" s="8">
        <f t="shared" si="5"/>
        <v>392564.68862457864</v>
      </c>
      <c r="J183" s="8">
        <f t="shared" si="4"/>
        <v>4710776.2634949442</v>
      </c>
      <c r="K183" s="1" t="s">
        <v>205</v>
      </c>
      <c r="L183" s="1">
        <v>616</v>
      </c>
      <c r="M183" s="1" t="s">
        <v>16</v>
      </c>
    </row>
    <row r="184" spans="1:13" x14ac:dyDescent="0.3">
      <c r="A184" s="1" t="s">
        <v>592</v>
      </c>
      <c r="B184" s="1" t="s">
        <v>593</v>
      </c>
      <c r="C184" s="1">
        <v>64</v>
      </c>
      <c r="D184" s="1" t="s">
        <v>18</v>
      </c>
      <c r="E184" s="1">
        <v>1030000</v>
      </c>
      <c r="F184" s="7">
        <v>0.105</v>
      </c>
      <c r="G184" s="1">
        <v>36</v>
      </c>
      <c r="H184" s="1" t="s">
        <v>594</v>
      </c>
      <c r="I184" s="8">
        <f t="shared" si="5"/>
        <v>33477.516809827539</v>
      </c>
      <c r="J184" s="8">
        <f t="shared" si="4"/>
        <v>1205190.6051537914</v>
      </c>
      <c r="K184" s="1" t="s">
        <v>90</v>
      </c>
      <c r="L184" s="1">
        <v>600</v>
      </c>
      <c r="M184" s="1" t="s">
        <v>20</v>
      </c>
    </row>
    <row r="185" spans="1:13" x14ac:dyDescent="0.3">
      <c r="A185" s="1" t="s">
        <v>595</v>
      </c>
      <c r="B185" s="1" t="s">
        <v>596</v>
      </c>
      <c r="C185" s="1">
        <v>44</v>
      </c>
      <c r="D185" s="1" t="s">
        <v>23</v>
      </c>
      <c r="E185" s="1">
        <v>5020000</v>
      </c>
      <c r="F185" s="7">
        <v>0.13</v>
      </c>
      <c r="G185" s="1">
        <v>240</v>
      </c>
      <c r="H185" s="1" t="s">
        <v>597</v>
      </c>
      <c r="I185" s="8">
        <f t="shared" si="5"/>
        <v>58813.10070617083</v>
      </c>
      <c r="J185" s="8">
        <f t="shared" si="4"/>
        <v>14115144.169481</v>
      </c>
      <c r="K185" s="1" t="s">
        <v>56</v>
      </c>
      <c r="L185" s="1">
        <v>646</v>
      </c>
      <c r="M185" s="1" t="s">
        <v>16</v>
      </c>
    </row>
    <row r="186" spans="1:13" x14ac:dyDescent="0.3">
      <c r="A186" s="1" t="s">
        <v>598</v>
      </c>
      <c r="B186" s="1" t="s">
        <v>599</v>
      </c>
      <c r="C186" s="1">
        <v>35</v>
      </c>
      <c r="D186" s="1" t="s">
        <v>15</v>
      </c>
      <c r="E186" s="1">
        <v>1360000</v>
      </c>
      <c r="F186" s="7">
        <v>0.1</v>
      </c>
      <c r="G186" s="1">
        <v>180</v>
      </c>
      <c r="H186" s="1" t="s">
        <v>600</v>
      </c>
      <c r="I186" s="8">
        <f t="shared" si="5"/>
        <v>14614.62960083038</v>
      </c>
      <c r="J186" s="8">
        <f t="shared" si="4"/>
        <v>2630633.3281494682</v>
      </c>
      <c r="K186" s="1" t="s">
        <v>82</v>
      </c>
      <c r="L186" s="1">
        <v>641</v>
      </c>
      <c r="M186" s="1" t="s">
        <v>60</v>
      </c>
    </row>
    <row r="187" spans="1:13" x14ac:dyDescent="0.3">
      <c r="A187" s="1" t="s">
        <v>601</v>
      </c>
      <c r="B187" s="1" t="s">
        <v>602</v>
      </c>
      <c r="C187" s="1">
        <v>52</v>
      </c>
      <c r="D187" s="1" t="s">
        <v>32</v>
      </c>
      <c r="E187" s="1">
        <v>220000</v>
      </c>
      <c r="F187" s="7">
        <v>0.11</v>
      </c>
      <c r="G187" s="1">
        <v>180</v>
      </c>
      <c r="H187" s="1" t="s">
        <v>603</v>
      </c>
      <c r="I187" s="8">
        <f t="shared" si="5"/>
        <v>2500.5132560233956</v>
      </c>
      <c r="J187" s="8">
        <f t="shared" si="4"/>
        <v>450092.38608421118</v>
      </c>
      <c r="K187" s="1" t="s">
        <v>108</v>
      </c>
      <c r="L187" s="1">
        <v>813</v>
      </c>
      <c r="M187" s="1" t="s">
        <v>20</v>
      </c>
    </row>
    <row r="188" spans="1:13" x14ac:dyDescent="0.3">
      <c r="A188" s="1" t="s">
        <v>604</v>
      </c>
      <c r="B188" s="1" t="s">
        <v>605</v>
      </c>
      <c r="C188" s="1">
        <v>52</v>
      </c>
      <c r="D188" s="1" t="s">
        <v>18</v>
      </c>
      <c r="E188" s="1">
        <v>1830000</v>
      </c>
      <c r="F188" s="7">
        <v>0.13</v>
      </c>
      <c r="G188" s="1">
        <v>36</v>
      </c>
      <c r="H188" s="1" t="s">
        <v>606</v>
      </c>
      <c r="I188" s="8">
        <f t="shared" si="5"/>
        <v>61659.932166023951</v>
      </c>
      <c r="J188" s="8">
        <f t="shared" si="4"/>
        <v>2219757.5579768624</v>
      </c>
      <c r="K188" s="1" t="s">
        <v>151</v>
      </c>
      <c r="L188" s="1">
        <v>840</v>
      </c>
      <c r="M188" s="1" t="s">
        <v>20</v>
      </c>
    </row>
    <row r="189" spans="1:13" x14ac:dyDescent="0.3">
      <c r="A189" s="1" t="s">
        <v>607</v>
      </c>
      <c r="B189" s="1" t="s">
        <v>608</v>
      </c>
      <c r="C189" s="1">
        <v>44</v>
      </c>
      <c r="D189" s="1" t="s">
        <v>42</v>
      </c>
      <c r="E189" s="1">
        <v>890000</v>
      </c>
      <c r="F189" s="7">
        <v>0.08</v>
      </c>
      <c r="G189" s="1">
        <v>24</v>
      </c>
      <c r="H189" s="1" t="s">
        <v>609</v>
      </c>
      <c r="I189" s="8">
        <f t="shared" si="5"/>
        <v>40252.2893960039</v>
      </c>
      <c r="J189" s="8">
        <f t="shared" si="4"/>
        <v>966054.94550409354</v>
      </c>
      <c r="K189" s="1" t="s">
        <v>64</v>
      </c>
      <c r="L189" s="1">
        <v>645</v>
      </c>
      <c r="M189" s="1" t="s">
        <v>20</v>
      </c>
    </row>
    <row r="190" spans="1:13" x14ac:dyDescent="0.3">
      <c r="A190" s="1" t="s">
        <v>610</v>
      </c>
      <c r="B190" s="1" t="s">
        <v>611</v>
      </c>
      <c r="C190" s="1">
        <v>61</v>
      </c>
      <c r="D190" s="1" t="s">
        <v>15</v>
      </c>
      <c r="E190" s="1">
        <v>1000000</v>
      </c>
      <c r="F190" s="7">
        <v>0.12</v>
      </c>
      <c r="G190" s="1">
        <v>180</v>
      </c>
      <c r="H190" s="1" t="s">
        <v>612</v>
      </c>
      <c r="I190" s="8">
        <f t="shared" si="5"/>
        <v>12001.680620915136</v>
      </c>
      <c r="J190" s="8">
        <f t="shared" si="4"/>
        <v>2160302.5117647247</v>
      </c>
      <c r="K190" s="1" t="s">
        <v>326</v>
      </c>
      <c r="L190" s="1">
        <v>637</v>
      </c>
      <c r="M190" s="1" t="s">
        <v>16</v>
      </c>
    </row>
    <row r="191" spans="1:13" x14ac:dyDescent="0.3">
      <c r="A191" s="1" t="s">
        <v>613</v>
      </c>
      <c r="B191" s="1" t="s">
        <v>614</v>
      </c>
      <c r="C191" s="1">
        <v>32</v>
      </c>
      <c r="D191" s="1" t="s">
        <v>27</v>
      </c>
      <c r="E191" s="1">
        <v>590000</v>
      </c>
      <c r="F191" s="7">
        <v>0.08</v>
      </c>
      <c r="G191" s="1">
        <v>84</v>
      </c>
      <c r="H191" s="1" t="s">
        <v>615</v>
      </c>
      <c r="I191" s="8">
        <f t="shared" si="5"/>
        <v>9195.8664975750289</v>
      </c>
      <c r="J191" s="8">
        <f t="shared" si="4"/>
        <v>772452.78579630237</v>
      </c>
      <c r="K191" s="1" t="s">
        <v>29</v>
      </c>
      <c r="L191" s="1">
        <v>627</v>
      </c>
      <c r="M191" s="1" t="s">
        <v>60</v>
      </c>
    </row>
    <row r="192" spans="1:13" x14ac:dyDescent="0.3">
      <c r="A192" s="1" t="s">
        <v>616</v>
      </c>
      <c r="B192" s="1" t="s">
        <v>617</v>
      </c>
      <c r="C192" s="1">
        <v>59</v>
      </c>
      <c r="D192" s="1" t="s">
        <v>23</v>
      </c>
      <c r="E192" s="1">
        <v>9950000</v>
      </c>
      <c r="F192" s="7">
        <v>0.115</v>
      </c>
      <c r="G192" s="1">
        <v>48</v>
      </c>
      <c r="H192" s="1" t="s">
        <v>618</v>
      </c>
      <c r="I192" s="8">
        <f t="shared" si="5"/>
        <v>259585.63861328101</v>
      </c>
      <c r="J192" s="8">
        <f t="shared" si="4"/>
        <v>12460110.653437488</v>
      </c>
      <c r="K192" s="1" t="s">
        <v>226</v>
      </c>
      <c r="L192" s="1">
        <v>837</v>
      </c>
      <c r="M192" s="1" t="s">
        <v>20</v>
      </c>
    </row>
    <row r="193" spans="1:13" x14ac:dyDescent="0.3">
      <c r="A193" s="1" t="s">
        <v>619</v>
      </c>
      <c r="B193" s="1" t="s">
        <v>620</v>
      </c>
      <c r="C193" s="1">
        <v>22</v>
      </c>
      <c r="D193" s="1" t="s">
        <v>15</v>
      </c>
      <c r="E193" s="1">
        <v>1560000</v>
      </c>
      <c r="F193" s="7">
        <v>8.5000000000000006E-2</v>
      </c>
      <c r="G193" s="1">
        <v>84</v>
      </c>
      <c r="H193" s="1" t="s">
        <v>621</v>
      </c>
      <c r="I193" s="8">
        <f t="shared" si="5"/>
        <v>24704.917281939484</v>
      </c>
      <c r="J193" s="8">
        <f t="shared" si="4"/>
        <v>2075213.0516829167</v>
      </c>
      <c r="K193" s="1" t="s">
        <v>316</v>
      </c>
      <c r="L193" s="1">
        <v>669</v>
      </c>
      <c r="M193" s="1" t="s">
        <v>60</v>
      </c>
    </row>
    <row r="194" spans="1:13" x14ac:dyDescent="0.3">
      <c r="A194" s="1" t="s">
        <v>622</v>
      </c>
      <c r="B194" s="1" t="s">
        <v>623</v>
      </c>
      <c r="C194" s="1">
        <v>23</v>
      </c>
      <c r="D194" s="1" t="s">
        <v>18</v>
      </c>
      <c r="E194" s="1">
        <v>950000</v>
      </c>
      <c r="F194" s="7">
        <v>0.125</v>
      </c>
      <c r="G194" s="1">
        <v>60</v>
      </c>
      <c r="H194" s="1" t="s">
        <v>624</v>
      </c>
      <c r="I194" s="8">
        <f t="shared" si="5"/>
        <v>21373.041314145048</v>
      </c>
      <c r="J194" s="8">
        <f t="shared" si="4"/>
        <v>1282382.478848703</v>
      </c>
      <c r="K194" s="1" t="s">
        <v>249</v>
      </c>
      <c r="L194" s="1">
        <v>851</v>
      </c>
      <c r="M194" s="1" t="s">
        <v>20</v>
      </c>
    </row>
    <row r="195" spans="1:13" x14ac:dyDescent="0.3">
      <c r="A195" s="1" t="s">
        <v>625</v>
      </c>
      <c r="B195" s="1" t="s">
        <v>626</v>
      </c>
      <c r="C195" s="1">
        <v>57</v>
      </c>
      <c r="D195" s="1" t="s">
        <v>23</v>
      </c>
      <c r="E195" s="1">
        <v>6170000</v>
      </c>
      <c r="F195" s="7">
        <v>0.105</v>
      </c>
      <c r="G195" s="1">
        <v>12</v>
      </c>
      <c r="H195" s="1" t="s">
        <v>627</v>
      </c>
      <c r="I195" s="8">
        <f t="shared" si="5"/>
        <v>543876.87985749776</v>
      </c>
      <c r="J195" s="8">
        <f t="shared" si="4"/>
        <v>6526522.5582899731</v>
      </c>
      <c r="K195" s="1" t="s">
        <v>366</v>
      </c>
      <c r="L195" s="1">
        <v>714</v>
      </c>
      <c r="M195" s="1" t="s">
        <v>16</v>
      </c>
    </row>
    <row r="196" spans="1:13" x14ac:dyDescent="0.3">
      <c r="A196" s="1" t="s">
        <v>628</v>
      </c>
      <c r="B196" s="1" t="s">
        <v>231</v>
      </c>
      <c r="C196" s="1">
        <v>37</v>
      </c>
      <c r="D196" s="1" t="s">
        <v>15</v>
      </c>
      <c r="E196" s="1">
        <v>750000</v>
      </c>
      <c r="F196" s="7">
        <v>0.08</v>
      </c>
      <c r="G196" s="1">
        <v>240</v>
      </c>
      <c r="H196" s="1" t="s">
        <v>629</v>
      </c>
      <c r="I196" s="8">
        <f t="shared" si="5"/>
        <v>6273.3005174509708</v>
      </c>
      <c r="J196" s="8">
        <f t="shared" ref="J196:J259" si="6">(I196*G196)</f>
        <v>1505592.1241882329</v>
      </c>
      <c r="K196" s="1" t="s">
        <v>86</v>
      </c>
      <c r="L196" s="1">
        <v>731</v>
      </c>
      <c r="M196" s="1" t="s">
        <v>20</v>
      </c>
    </row>
    <row r="197" spans="1:13" x14ac:dyDescent="0.3">
      <c r="A197" s="1" t="s">
        <v>630</v>
      </c>
      <c r="B197" s="1" t="s">
        <v>631</v>
      </c>
      <c r="C197" s="1">
        <v>22</v>
      </c>
      <c r="D197" s="1" t="s">
        <v>27</v>
      </c>
      <c r="E197" s="1">
        <v>480000</v>
      </c>
      <c r="F197" s="7">
        <v>0.12</v>
      </c>
      <c r="G197" s="1">
        <v>48</v>
      </c>
      <c r="H197" s="1" t="s">
        <v>632</v>
      </c>
      <c r="I197" s="8">
        <f t="shared" ref="I197:I260" si="7">PMT(F197/12,G197, -E197)</f>
        <v>12640.241007325329</v>
      </c>
      <c r="J197" s="8">
        <f t="shared" si="6"/>
        <v>606731.5683516158</v>
      </c>
      <c r="K197" s="1" t="s">
        <v>143</v>
      </c>
      <c r="L197" s="1">
        <v>772</v>
      </c>
      <c r="M197" s="1" t="s">
        <v>16</v>
      </c>
    </row>
    <row r="198" spans="1:13" x14ac:dyDescent="0.3">
      <c r="A198" s="1" t="s">
        <v>633</v>
      </c>
      <c r="B198" s="1" t="s">
        <v>417</v>
      </c>
      <c r="C198" s="1">
        <v>22</v>
      </c>
      <c r="D198" s="1" t="s">
        <v>27</v>
      </c>
      <c r="E198" s="1">
        <v>640000</v>
      </c>
      <c r="F198" s="7">
        <v>0.12</v>
      </c>
      <c r="G198" s="1">
        <v>240</v>
      </c>
      <c r="H198" s="1" t="s">
        <v>634</v>
      </c>
      <c r="I198" s="8">
        <f t="shared" si="7"/>
        <v>7046.9512548455041</v>
      </c>
      <c r="J198" s="8">
        <f t="shared" si="6"/>
        <v>1691268.3011629209</v>
      </c>
      <c r="K198" s="1" t="s">
        <v>187</v>
      </c>
      <c r="L198" s="1">
        <v>860</v>
      </c>
      <c r="M198" s="1" t="s">
        <v>20</v>
      </c>
    </row>
    <row r="199" spans="1:13" x14ac:dyDescent="0.3">
      <c r="A199" s="1" t="s">
        <v>635</v>
      </c>
      <c r="B199" s="1" t="s">
        <v>636</v>
      </c>
      <c r="C199" s="1">
        <v>48</v>
      </c>
      <c r="D199" s="1" t="s">
        <v>37</v>
      </c>
      <c r="E199" s="1">
        <v>4670000</v>
      </c>
      <c r="F199" s="7">
        <v>7.4999999999999997E-2</v>
      </c>
      <c r="G199" s="1">
        <v>120</v>
      </c>
      <c r="H199" s="1" t="s">
        <v>637</v>
      </c>
      <c r="I199" s="8">
        <f t="shared" si="7"/>
        <v>55433.726186443921</v>
      </c>
      <c r="J199" s="8">
        <f t="shared" si="6"/>
        <v>6652047.1423732704</v>
      </c>
      <c r="K199" s="1" t="s">
        <v>82</v>
      </c>
      <c r="L199" s="1">
        <v>556</v>
      </c>
      <c r="M199" s="1" t="s">
        <v>20</v>
      </c>
    </row>
    <row r="200" spans="1:13" x14ac:dyDescent="0.3">
      <c r="A200" s="1" t="s">
        <v>638</v>
      </c>
      <c r="B200" s="1" t="s">
        <v>639</v>
      </c>
      <c r="C200" s="1">
        <v>43</v>
      </c>
      <c r="D200" s="1" t="s">
        <v>42</v>
      </c>
      <c r="E200" s="1">
        <v>1280000</v>
      </c>
      <c r="F200" s="7">
        <v>0.105</v>
      </c>
      <c r="G200" s="1">
        <v>120</v>
      </c>
      <c r="H200" s="1" t="s">
        <v>177</v>
      </c>
      <c r="I200" s="8">
        <f t="shared" si="7"/>
        <v>17271.679587270013</v>
      </c>
      <c r="J200" s="8">
        <f t="shared" si="6"/>
        <v>2072601.5504724015</v>
      </c>
      <c r="K200" s="1" t="s">
        <v>249</v>
      </c>
      <c r="L200" s="1">
        <v>879</v>
      </c>
      <c r="M200" s="1" t="s">
        <v>16</v>
      </c>
    </row>
    <row r="201" spans="1:13" x14ac:dyDescent="0.3">
      <c r="A201" s="1" t="s">
        <v>640</v>
      </c>
      <c r="B201" s="1" t="s">
        <v>641</v>
      </c>
      <c r="C201" s="1">
        <v>57</v>
      </c>
      <c r="D201" s="1" t="s">
        <v>18</v>
      </c>
      <c r="E201" s="1">
        <v>410000</v>
      </c>
      <c r="F201" s="7">
        <v>0.125</v>
      </c>
      <c r="G201" s="1">
        <v>48</v>
      </c>
      <c r="H201" s="1" t="s">
        <v>642</v>
      </c>
      <c r="I201" s="8">
        <f t="shared" si="7"/>
        <v>10897.799545626187</v>
      </c>
      <c r="J201" s="8">
        <f t="shared" si="6"/>
        <v>523094.378190057</v>
      </c>
      <c r="K201" s="1" t="s">
        <v>94</v>
      </c>
      <c r="L201" s="1">
        <v>812</v>
      </c>
      <c r="M201" s="1" t="s">
        <v>60</v>
      </c>
    </row>
    <row r="202" spans="1:13" x14ac:dyDescent="0.3">
      <c r="A202" s="1" t="s">
        <v>643</v>
      </c>
      <c r="B202" s="1" t="s">
        <v>644</v>
      </c>
      <c r="C202" s="1">
        <v>52</v>
      </c>
      <c r="D202" s="1" t="s">
        <v>37</v>
      </c>
      <c r="E202" s="1">
        <v>4440000</v>
      </c>
      <c r="F202" s="7">
        <v>8.5000000000000006E-2</v>
      </c>
      <c r="G202" s="1">
        <v>24</v>
      </c>
      <c r="H202" s="1" t="s">
        <v>645</v>
      </c>
      <c r="I202" s="8">
        <f t="shared" si="7"/>
        <v>201823.19647335401</v>
      </c>
      <c r="J202" s="8">
        <f t="shared" si="6"/>
        <v>4843756.7153604962</v>
      </c>
      <c r="K202" s="1" t="s">
        <v>151</v>
      </c>
      <c r="L202" s="1">
        <v>710</v>
      </c>
      <c r="M202" s="1" t="s">
        <v>20</v>
      </c>
    </row>
    <row r="203" spans="1:13" x14ac:dyDescent="0.3">
      <c r="A203" s="1" t="s">
        <v>646</v>
      </c>
      <c r="B203" s="1" t="s">
        <v>647</v>
      </c>
      <c r="C203" s="1">
        <v>53</v>
      </c>
      <c r="D203" s="1" t="s">
        <v>42</v>
      </c>
      <c r="E203" s="1">
        <v>970000</v>
      </c>
      <c r="F203" s="7">
        <v>0.09</v>
      </c>
      <c r="G203" s="1">
        <v>180</v>
      </c>
      <c r="H203" s="1" t="s">
        <v>648</v>
      </c>
      <c r="I203" s="8">
        <f t="shared" si="7"/>
        <v>9838.3858663693136</v>
      </c>
      <c r="J203" s="8">
        <f t="shared" si="6"/>
        <v>1770909.4559464764</v>
      </c>
      <c r="K203" s="1" t="s">
        <v>86</v>
      </c>
      <c r="L203" s="1">
        <v>700</v>
      </c>
      <c r="M203" s="1" t="s">
        <v>20</v>
      </c>
    </row>
    <row r="204" spans="1:13" x14ac:dyDescent="0.3">
      <c r="A204" s="1" t="s">
        <v>649</v>
      </c>
      <c r="B204" s="1" t="s">
        <v>650</v>
      </c>
      <c r="C204" s="1">
        <v>21</v>
      </c>
      <c r="D204" s="1" t="s">
        <v>27</v>
      </c>
      <c r="E204" s="1">
        <v>310000</v>
      </c>
      <c r="F204" s="7">
        <v>9.5000000000000001E-2</v>
      </c>
      <c r="G204" s="1">
        <v>180</v>
      </c>
      <c r="H204" s="1" t="s">
        <v>651</v>
      </c>
      <c r="I204" s="8">
        <f t="shared" si="7"/>
        <v>3237.0965168777379</v>
      </c>
      <c r="J204" s="8">
        <f t="shared" si="6"/>
        <v>582677.37303799286</v>
      </c>
      <c r="K204" s="1" t="s">
        <v>115</v>
      </c>
      <c r="L204" s="1">
        <v>634</v>
      </c>
      <c r="M204" s="1" t="s">
        <v>16</v>
      </c>
    </row>
    <row r="205" spans="1:13" x14ac:dyDescent="0.3">
      <c r="A205" s="1" t="s">
        <v>652</v>
      </c>
      <c r="B205" s="1" t="s">
        <v>127</v>
      </c>
      <c r="C205" s="1">
        <v>39</v>
      </c>
      <c r="D205" s="1" t="s">
        <v>15</v>
      </c>
      <c r="E205" s="1">
        <v>980000</v>
      </c>
      <c r="F205" s="7">
        <v>9.5000000000000001E-2</v>
      </c>
      <c r="G205" s="1">
        <v>180</v>
      </c>
      <c r="H205" s="1" t="s">
        <v>653</v>
      </c>
      <c r="I205" s="8">
        <f t="shared" si="7"/>
        <v>10233.401892065107</v>
      </c>
      <c r="J205" s="8">
        <f t="shared" si="6"/>
        <v>1842012.3405717192</v>
      </c>
      <c r="K205" s="1" t="s">
        <v>326</v>
      </c>
      <c r="L205" s="1">
        <v>696</v>
      </c>
      <c r="M205" s="1" t="s">
        <v>16</v>
      </c>
    </row>
    <row r="206" spans="1:13" x14ac:dyDescent="0.3">
      <c r="A206" s="1" t="s">
        <v>654</v>
      </c>
      <c r="B206" s="1" t="s">
        <v>655</v>
      </c>
      <c r="C206" s="1">
        <v>22</v>
      </c>
      <c r="D206" s="1" t="s">
        <v>18</v>
      </c>
      <c r="E206" s="1">
        <v>860000</v>
      </c>
      <c r="F206" s="7">
        <v>0.1</v>
      </c>
      <c r="G206" s="1">
        <v>24</v>
      </c>
      <c r="H206" s="1" t="s">
        <v>656</v>
      </c>
      <c r="I206" s="8">
        <f t="shared" si="7"/>
        <v>39684.63665026419</v>
      </c>
      <c r="J206" s="8">
        <f t="shared" si="6"/>
        <v>952431.27960634057</v>
      </c>
      <c r="K206" s="1" t="s">
        <v>29</v>
      </c>
      <c r="L206" s="1">
        <v>661</v>
      </c>
      <c r="M206" s="1" t="s">
        <v>16</v>
      </c>
    </row>
    <row r="207" spans="1:13" x14ac:dyDescent="0.3">
      <c r="A207" s="1" t="s">
        <v>657</v>
      </c>
      <c r="B207" s="1" t="s">
        <v>658</v>
      </c>
      <c r="C207" s="1">
        <v>64</v>
      </c>
      <c r="D207" s="1" t="s">
        <v>32</v>
      </c>
      <c r="E207" s="1">
        <v>270000</v>
      </c>
      <c r="F207" s="7">
        <v>0.105</v>
      </c>
      <c r="G207" s="1">
        <v>180</v>
      </c>
      <c r="H207" s="1" t="s">
        <v>659</v>
      </c>
      <c r="I207" s="8">
        <f t="shared" si="7"/>
        <v>2984.5770939823597</v>
      </c>
      <c r="J207" s="8">
        <f t="shared" si="6"/>
        <v>537223.87691682472</v>
      </c>
      <c r="K207" s="1" t="s">
        <v>316</v>
      </c>
      <c r="L207" s="1">
        <v>585</v>
      </c>
      <c r="M207" s="1" t="s">
        <v>20</v>
      </c>
    </row>
    <row r="208" spans="1:13" x14ac:dyDescent="0.3">
      <c r="A208" s="1" t="s">
        <v>660</v>
      </c>
      <c r="B208" s="1" t="s">
        <v>575</v>
      </c>
      <c r="C208" s="1">
        <v>46</v>
      </c>
      <c r="D208" s="1" t="s">
        <v>23</v>
      </c>
      <c r="E208" s="1">
        <v>1770000</v>
      </c>
      <c r="F208" s="7">
        <v>0.13</v>
      </c>
      <c r="G208" s="1">
        <v>180</v>
      </c>
      <c r="H208" s="1" t="s">
        <v>430</v>
      </c>
      <c r="I208" s="8">
        <f t="shared" si="7"/>
        <v>22394.78636083761</v>
      </c>
      <c r="J208" s="8">
        <f t="shared" si="6"/>
        <v>4031061.5449507697</v>
      </c>
      <c r="K208" s="1" t="s">
        <v>21</v>
      </c>
      <c r="L208" s="1">
        <v>834</v>
      </c>
      <c r="M208" s="1" t="s">
        <v>20</v>
      </c>
    </row>
    <row r="209" spans="1:13" x14ac:dyDescent="0.3">
      <c r="A209" s="1" t="s">
        <v>661</v>
      </c>
      <c r="B209" s="1" t="s">
        <v>662</v>
      </c>
      <c r="C209" s="1">
        <v>52</v>
      </c>
      <c r="D209" s="1" t="s">
        <v>27</v>
      </c>
      <c r="E209" s="1">
        <v>690000</v>
      </c>
      <c r="F209" s="7">
        <v>0.13</v>
      </c>
      <c r="G209" s="1">
        <v>84</v>
      </c>
      <c r="H209" s="1" t="s">
        <v>663</v>
      </c>
      <c r="I209" s="8">
        <f t="shared" si="7"/>
        <v>12552.454710655215</v>
      </c>
      <c r="J209" s="8">
        <f t="shared" si="6"/>
        <v>1054406.195695038</v>
      </c>
      <c r="K209" s="1" t="s">
        <v>21</v>
      </c>
      <c r="L209" s="1">
        <v>737</v>
      </c>
      <c r="M209" s="1" t="s">
        <v>16</v>
      </c>
    </row>
    <row r="210" spans="1:13" x14ac:dyDescent="0.3">
      <c r="A210" s="1" t="s">
        <v>664</v>
      </c>
      <c r="B210" s="1" t="s">
        <v>665</v>
      </c>
      <c r="C210" s="1">
        <v>26</v>
      </c>
      <c r="D210" s="1" t="s">
        <v>27</v>
      </c>
      <c r="E210" s="1">
        <v>330000</v>
      </c>
      <c r="F210" s="7">
        <v>0.1</v>
      </c>
      <c r="G210" s="1">
        <v>24</v>
      </c>
      <c r="H210" s="1" t="s">
        <v>666</v>
      </c>
      <c r="I210" s="8">
        <f t="shared" si="7"/>
        <v>15227.825691380447</v>
      </c>
      <c r="J210" s="8">
        <f t="shared" si="6"/>
        <v>365467.8165931307</v>
      </c>
      <c r="K210" s="1" t="s">
        <v>34</v>
      </c>
      <c r="L210" s="1">
        <v>631</v>
      </c>
      <c r="M210" s="1" t="s">
        <v>20</v>
      </c>
    </row>
    <row r="211" spans="1:13" x14ac:dyDescent="0.3">
      <c r="A211" s="1" t="s">
        <v>667</v>
      </c>
      <c r="B211" s="1" t="s">
        <v>668</v>
      </c>
      <c r="C211" s="1">
        <v>52</v>
      </c>
      <c r="D211" s="1" t="s">
        <v>18</v>
      </c>
      <c r="E211" s="1">
        <v>1750000</v>
      </c>
      <c r="F211" s="7">
        <v>0.1</v>
      </c>
      <c r="G211" s="1">
        <v>180</v>
      </c>
      <c r="H211" s="1" t="s">
        <v>669</v>
      </c>
      <c r="I211" s="8">
        <f t="shared" si="7"/>
        <v>18805.589559892032</v>
      </c>
      <c r="J211" s="8">
        <f t="shared" si="6"/>
        <v>3385006.1207805658</v>
      </c>
      <c r="K211" s="1" t="s">
        <v>56</v>
      </c>
      <c r="L211" s="1">
        <v>551</v>
      </c>
      <c r="M211" s="1" t="s">
        <v>16</v>
      </c>
    </row>
    <row r="212" spans="1:13" x14ac:dyDescent="0.3">
      <c r="A212" s="1" t="s">
        <v>670</v>
      </c>
      <c r="B212" s="1" t="s">
        <v>671</v>
      </c>
      <c r="C212" s="1">
        <v>24</v>
      </c>
      <c r="D212" s="1" t="s">
        <v>18</v>
      </c>
      <c r="E212" s="1">
        <v>510000</v>
      </c>
      <c r="F212" s="7">
        <v>0.11</v>
      </c>
      <c r="G212" s="1">
        <v>12</v>
      </c>
      <c r="H212" s="1" t="s">
        <v>288</v>
      </c>
      <c r="I212" s="8">
        <f t="shared" si="7"/>
        <v>45074.645846018058</v>
      </c>
      <c r="J212" s="8">
        <f t="shared" si="6"/>
        <v>540895.75015221676</v>
      </c>
      <c r="K212" s="1" t="s">
        <v>108</v>
      </c>
      <c r="L212" s="1">
        <v>852</v>
      </c>
      <c r="M212" s="1" t="s">
        <v>60</v>
      </c>
    </row>
    <row r="213" spans="1:13" x14ac:dyDescent="0.3">
      <c r="A213" s="1" t="s">
        <v>672</v>
      </c>
      <c r="B213" s="1" t="s">
        <v>673</v>
      </c>
      <c r="C213" s="1">
        <v>31</v>
      </c>
      <c r="D213" s="1" t="s">
        <v>15</v>
      </c>
      <c r="E213" s="1">
        <v>230000</v>
      </c>
      <c r="F213" s="7">
        <v>9.5000000000000001E-2</v>
      </c>
      <c r="G213" s="1">
        <v>24</v>
      </c>
      <c r="H213" s="1" t="s">
        <v>674</v>
      </c>
      <c r="I213" s="8">
        <f t="shared" si="7"/>
        <v>10560.333387452822</v>
      </c>
      <c r="J213" s="8">
        <f t="shared" si="6"/>
        <v>253448.00129886772</v>
      </c>
      <c r="K213" s="1" t="s">
        <v>119</v>
      </c>
      <c r="L213" s="1">
        <v>746</v>
      </c>
      <c r="M213" s="1" t="s">
        <v>16</v>
      </c>
    </row>
    <row r="214" spans="1:13" x14ac:dyDescent="0.3">
      <c r="A214" s="1" t="s">
        <v>675</v>
      </c>
      <c r="B214" s="1" t="s">
        <v>304</v>
      </c>
      <c r="C214" s="1">
        <v>37</v>
      </c>
      <c r="D214" s="1" t="s">
        <v>18</v>
      </c>
      <c r="E214" s="1">
        <v>750000</v>
      </c>
      <c r="F214" s="7">
        <v>0.09</v>
      </c>
      <c r="G214" s="1">
        <v>120</v>
      </c>
      <c r="H214" s="1" t="s">
        <v>676</v>
      </c>
      <c r="I214" s="8">
        <f t="shared" si="7"/>
        <v>9500.6830312687107</v>
      </c>
      <c r="J214" s="8">
        <f t="shared" si="6"/>
        <v>1140081.9637522453</v>
      </c>
      <c r="K214" s="1" t="s">
        <v>48</v>
      </c>
      <c r="L214" s="1">
        <v>560</v>
      </c>
      <c r="M214" s="1" t="s">
        <v>16</v>
      </c>
    </row>
    <row r="215" spans="1:13" x14ac:dyDescent="0.3">
      <c r="A215" s="1" t="s">
        <v>677</v>
      </c>
      <c r="B215" s="1" t="s">
        <v>678</v>
      </c>
      <c r="C215" s="1">
        <v>58</v>
      </c>
      <c r="D215" s="1" t="s">
        <v>32</v>
      </c>
      <c r="E215" s="1">
        <v>340000</v>
      </c>
      <c r="F215" s="7">
        <v>0.08</v>
      </c>
      <c r="G215" s="1">
        <v>120</v>
      </c>
      <c r="H215" s="1" t="s">
        <v>679</v>
      </c>
      <c r="I215" s="8">
        <f t="shared" si="7"/>
        <v>4125.1382080821359</v>
      </c>
      <c r="J215" s="8">
        <f t="shared" si="6"/>
        <v>495016.58496985631</v>
      </c>
      <c r="K215" s="1" t="s">
        <v>48</v>
      </c>
      <c r="L215" s="1">
        <v>783</v>
      </c>
      <c r="M215" s="1" t="s">
        <v>16</v>
      </c>
    </row>
    <row r="216" spans="1:13" x14ac:dyDescent="0.3">
      <c r="A216" s="1" t="s">
        <v>680</v>
      </c>
      <c r="B216" s="1" t="s">
        <v>681</v>
      </c>
      <c r="C216" s="1">
        <v>44</v>
      </c>
      <c r="D216" s="1" t="s">
        <v>27</v>
      </c>
      <c r="E216" s="1">
        <v>710000</v>
      </c>
      <c r="F216" s="7">
        <v>0.09</v>
      </c>
      <c r="G216" s="1">
        <v>12</v>
      </c>
      <c r="H216" s="1" t="s">
        <v>682</v>
      </c>
      <c r="I216" s="8">
        <f t="shared" si="7"/>
        <v>62090.548506644212</v>
      </c>
      <c r="J216" s="8">
        <f t="shared" si="6"/>
        <v>745086.58207973058</v>
      </c>
      <c r="K216" s="1" t="s">
        <v>205</v>
      </c>
      <c r="L216" s="1">
        <v>744</v>
      </c>
      <c r="M216" s="1" t="s">
        <v>16</v>
      </c>
    </row>
    <row r="217" spans="1:13" x14ac:dyDescent="0.3">
      <c r="A217" s="1" t="s">
        <v>683</v>
      </c>
      <c r="B217" s="1" t="s">
        <v>684</v>
      </c>
      <c r="C217" s="1">
        <v>25</v>
      </c>
      <c r="D217" s="1" t="s">
        <v>27</v>
      </c>
      <c r="E217" s="1">
        <v>710000</v>
      </c>
      <c r="F217" s="7">
        <v>8.5000000000000006E-2</v>
      </c>
      <c r="G217" s="1">
        <v>240</v>
      </c>
      <c r="H217" s="1" t="s">
        <v>685</v>
      </c>
      <c r="I217" s="8">
        <f t="shared" si="7"/>
        <v>6161.5449568952909</v>
      </c>
      <c r="J217" s="8">
        <f t="shared" si="6"/>
        <v>1478770.7896548698</v>
      </c>
      <c r="K217" s="1" t="s">
        <v>25</v>
      </c>
      <c r="L217" s="1">
        <v>668</v>
      </c>
      <c r="M217" s="1" t="s">
        <v>16</v>
      </c>
    </row>
    <row r="218" spans="1:13" x14ac:dyDescent="0.3">
      <c r="A218" s="1" t="s">
        <v>686</v>
      </c>
      <c r="B218" s="1" t="s">
        <v>687</v>
      </c>
      <c r="C218" s="1">
        <v>54</v>
      </c>
      <c r="D218" s="1" t="s">
        <v>15</v>
      </c>
      <c r="E218" s="1">
        <v>1710000</v>
      </c>
      <c r="F218" s="7">
        <v>0.12</v>
      </c>
      <c r="G218" s="1">
        <v>240</v>
      </c>
      <c r="H218" s="1" t="s">
        <v>688</v>
      </c>
      <c r="I218" s="8">
        <f t="shared" si="7"/>
        <v>18828.572884040328</v>
      </c>
      <c r="J218" s="8">
        <f t="shared" si="6"/>
        <v>4518857.4921696791</v>
      </c>
      <c r="K218" s="1" t="s">
        <v>82</v>
      </c>
      <c r="L218" s="1">
        <v>569</v>
      </c>
      <c r="M218" s="1" t="s">
        <v>16</v>
      </c>
    </row>
    <row r="219" spans="1:13" x14ac:dyDescent="0.3">
      <c r="A219" s="1" t="s">
        <v>689</v>
      </c>
      <c r="B219" s="1" t="s">
        <v>690</v>
      </c>
      <c r="C219" s="1">
        <v>26</v>
      </c>
      <c r="D219" s="1" t="s">
        <v>18</v>
      </c>
      <c r="E219" s="1">
        <v>1080000</v>
      </c>
      <c r="F219" s="7">
        <v>0.08</v>
      </c>
      <c r="G219" s="1">
        <v>12</v>
      </c>
      <c r="H219" s="1" t="s">
        <v>691</v>
      </c>
      <c r="I219" s="8">
        <f t="shared" si="7"/>
        <v>93947.503412254751</v>
      </c>
      <c r="J219" s="8">
        <f t="shared" si="6"/>
        <v>1127370.0409470571</v>
      </c>
      <c r="K219" s="1" t="s">
        <v>151</v>
      </c>
      <c r="L219" s="1">
        <v>810</v>
      </c>
      <c r="M219" s="1" t="s">
        <v>16</v>
      </c>
    </row>
    <row r="220" spans="1:13" x14ac:dyDescent="0.3">
      <c r="A220" s="1" t="s">
        <v>692</v>
      </c>
      <c r="B220" s="1" t="s">
        <v>693</v>
      </c>
      <c r="C220" s="1">
        <v>42</v>
      </c>
      <c r="D220" s="1" t="s">
        <v>27</v>
      </c>
      <c r="E220" s="1">
        <v>410000</v>
      </c>
      <c r="F220" s="7">
        <v>8.5000000000000006E-2</v>
      </c>
      <c r="G220" s="1">
        <v>24</v>
      </c>
      <c r="H220" s="1" t="s">
        <v>694</v>
      </c>
      <c r="I220" s="8">
        <f t="shared" si="7"/>
        <v>18636.826701368278</v>
      </c>
      <c r="J220" s="8">
        <f t="shared" si="6"/>
        <v>447283.84083283867</v>
      </c>
      <c r="K220" s="1" t="s">
        <v>34</v>
      </c>
      <c r="L220" s="1">
        <v>842</v>
      </c>
      <c r="M220" s="1" t="s">
        <v>16</v>
      </c>
    </row>
    <row r="221" spans="1:13" x14ac:dyDescent="0.3">
      <c r="A221" s="1" t="s">
        <v>695</v>
      </c>
      <c r="B221" s="1" t="s">
        <v>696</v>
      </c>
      <c r="C221" s="1">
        <v>31</v>
      </c>
      <c r="D221" s="1" t="s">
        <v>42</v>
      </c>
      <c r="E221" s="1">
        <v>620000</v>
      </c>
      <c r="F221" s="7">
        <v>0.08</v>
      </c>
      <c r="G221" s="1">
        <v>60</v>
      </c>
      <c r="H221" s="1" t="s">
        <v>697</v>
      </c>
      <c r="I221" s="8">
        <f t="shared" si="7"/>
        <v>12571.364458816483</v>
      </c>
      <c r="J221" s="8">
        <f t="shared" si="6"/>
        <v>754281.86752898898</v>
      </c>
      <c r="K221" s="1" t="s">
        <v>94</v>
      </c>
      <c r="L221" s="1">
        <v>805</v>
      </c>
      <c r="M221" s="1" t="s">
        <v>16</v>
      </c>
    </row>
    <row r="222" spans="1:13" x14ac:dyDescent="0.3">
      <c r="A222" s="1" t="s">
        <v>698</v>
      </c>
      <c r="B222" s="1" t="s">
        <v>699</v>
      </c>
      <c r="C222" s="1">
        <v>36</v>
      </c>
      <c r="D222" s="1" t="s">
        <v>42</v>
      </c>
      <c r="E222" s="1">
        <v>710000</v>
      </c>
      <c r="F222" s="7">
        <v>8.5000000000000006E-2</v>
      </c>
      <c r="G222" s="1">
        <v>240</v>
      </c>
      <c r="H222" s="1" t="s">
        <v>700</v>
      </c>
      <c r="I222" s="8">
        <f t="shared" si="7"/>
        <v>6161.5449568952909</v>
      </c>
      <c r="J222" s="8">
        <f t="shared" si="6"/>
        <v>1478770.7896548698</v>
      </c>
      <c r="K222" s="1" t="s">
        <v>56</v>
      </c>
      <c r="L222" s="1">
        <v>771</v>
      </c>
      <c r="M222" s="1" t="s">
        <v>20</v>
      </c>
    </row>
    <row r="223" spans="1:13" x14ac:dyDescent="0.3">
      <c r="A223" s="1" t="s">
        <v>701</v>
      </c>
      <c r="B223" s="1" t="s">
        <v>702</v>
      </c>
      <c r="C223" s="1">
        <v>53</v>
      </c>
      <c r="D223" s="1" t="s">
        <v>32</v>
      </c>
      <c r="E223" s="1">
        <v>220000</v>
      </c>
      <c r="F223" s="7">
        <v>0.11</v>
      </c>
      <c r="G223" s="1">
        <v>240</v>
      </c>
      <c r="H223" s="1" t="s">
        <v>703</v>
      </c>
      <c r="I223" s="8">
        <f t="shared" si="7"/>
        <v>2270.8144632273247</v>
      </c>
      <c r="J223" s="8">
        <f t="shared" si="6"/>
        <v>544995.47117455793</v>
      </c>
      <c r="K223" s="1" t="s">
        <v>90</v>
      </c>
      <c r="L223" s="1">
        <v>775</v>
      </c>
      <c r="M223" s="1" t="s">
        <v>20</v>
      </c>
    </row>
    <row r="224" spans="1:13" x14ac:dyDescent="0.3">
      <c r="A224" s="1" t="s">
        <v>704</v>
      </c>
      <c r="B224" s="1" t="s">
        <v>705</v>
      </c>
      <c r="C224" s="1">
        <v>29</v>
      </c>
      <c r="D224" s="1" t="s">
        <v>42</v>
      </c>
      <c r="E224" s="1">
        <v>780000</v>
      </c>
      <c r="F224" s="7">
        <v>0.11</v>
      </c>
      <c r="G224" s="1">
        <v>48</v>
      </c>
      <c r="H224" s="1" t="s">
        <v>706</v>
      </c>
      <c r="I224" s="8">
        <f t="shared" si="7"/>
        <v>20159.507636933195</v>
      </c>
      <c r="J224" s="8">
        <f t="shared" si="6"/>
        <v>967656.36657279334</v>
      </c>
      <c r="K224" s="1" t="s">
        <v>147</v>
      </c>
      <c r="L224" s="1">
        <v>602</v>
      </c>
      <c r="M224" s="1" t="s">
        <v>16</v>
      </c>
    </row>
    <row r="225" spans="1:13" x14ac:dyDescent="0.3">
      <c r="A225" s="1" t="s">
        <v>707</v>
      </c>
      <c r="B225" s="1" t="s">
        <v>417</v>
      </c>
      <c r="C225" s="1">
        <v>26</v>
      </c>
      <c r="D225" s="1" t="s">
        <v>42</v>
      </c>
      <c r="E225" s="1">
        <v>1100000</v>
      </c>
      <c r="F225" s="7">
        <v>0.1</v>
      </c>
      <c r="G225" s="1">
        <v>180</v>
      </c>
      <c r="H225" s="1" t="s">
        <v>708</v>
      </c>
      <c r="I225" s="8">
        <f t="shared" si="7"/>
        <v>11820.656294789278</v>
      </c>
      <c r="J225" s="8">
        <f t="shared" si="6"/>
        <v>2127718.1330620702</v>
      </c>
      <c r="K225" s="1" t="s">
        <v>108</v>
      </c>
      <c r="L225" s="1">
        <v>891</v>
      </c>
      <c r="M225" s="1" t="s">
        <v>16</v>
      </c>
    </row>
    <row r="226" spans="1:13" x14ac:dyDescent="0.3">
      <c r="A226" s="1" t="s">
        <v>709</v>
      </c>
      <c r="B226" s="1" t="s">
        <v>710</v>
      </c>
      <c r="C226" s="1">
        <v>36</v>
      </c>
      <c r="D226" s="1" t="s">
        <v>27</v>
      </c>
      <c r="E226" s="1">
        <v>700000</v>
      </c>
      <c r="F226" s="7">
        <v>0.105</v>
      </c>
      <c r="G226" s="1">
        <v>84</v>
      </c>
      <c r="H226" s="1" t="s">
        <v>711</v>
      </c>
      <c r="I226" s="8">
        <f t="shared" si="7"/>
        <v>11802.471204103047</v>
      </c>
      <c r="J226" s="8">
        <f t="shared" si="6"/>
        <v>991407.58114465594</v>
      </c>
      <c r="K226" s="1" t="s">
        <v>115</v>
      </c>
      <c r="L226" s="1">
        <v>829</v>
      </c>
      <c r="M226" s="1" t="s">
        <v>16</v>
      </c>
    </row>
    <row r="227" spans="1:13" x14ac:dyDescent="0.3">
      <c r="A227" s="1" t="s">
        <v>712</v>
      </c>
      <c r="B227" s="1" t="s">
        <v>713</v>
      </c>
      <c r="C227" s="1">
        <v>49</v>
      </c>
      <c r="D227" s="1" t="s">
        <v>23</v>
      </c>
      <c r="E227" s="1">
        <v>5120000</v>
      </c>
      <c r="F227" s="7">
        <v>0.08</v>
      </c>
      <c r="G227" s="1">
        <v>84</v>
      </c>
      <c r="H227" s="1" t="s">
        <v>714</v>
      </c>
      <c r="I227" s="8">
        <f t="shared" si="7"/>
        <v>79801.417741668061</v>
      </c>
      <c r="J227" s="8">
        <f t="shared" si="6"/>
        <v>6703319.0903001167</v>
      </c>
      <c r="K227" s="1" t="s">
        <v>25</v>
      </c>
      <c r="L227" s="1">
        <v>630</v>
      </c>
      <c r="M227" s="1" t="s">
        <v>16</v>
      </c>
    </row>
    <row r="228" spans="1:13" x14ac:dyDescent="0.3">
      <c r="A228" s="1" t="s">
        <v>715</v>
      </c>
      <c r="B228" s="1" t="s">
        <v>134</v>
      </c>
      <c r="C228" s="1">
        <v>23</v>
      </c>
      <c r="D228" s="1" t="s">
        <v>42</v>
      </c>
      <c r="E228" s="1">
        <v>1350000</v>
      </c>
      <c r="F228" s="7">
        <v>0.115</v>
      </c>
      <c r="G228" s="1">
        <v>12</v>
      </c>
      <c r="H228" s="1" t="s">
        <v>716</v>
      </c>
      <c r="I228" s="8">
        <f t="shared" si="7"/>
        <v>119630.32271855105</v>
      </c>
      <c r="J228" s="8">
        <f t="shared" si="6"/>
        <v>1435563.8726226126</v>
      </c>
      <c r="K228" s="1" t="s">
        <v>34</v>
      </c>
      <c r="L228" s="1">
        <v>751</v>
      </c>
      <c r="M228" s="1" t="s">
        <v>20</v>
      </c>
    </row>
    <row r="229" spans="1:13" x14ac:dyDescent="0.3">
      <c r="A229" s="1" t="s">
        <v>717</v>
      </c>
      <c r="B229" s="1" t="s">
        <v>665</v>
      </c>
      <c r="C229" s="1">
        <v>40</v>
      </c>
      <c r="D229" s="1" t="s">
        <v>32</v>
      </c>
      <c r="E229" s="1">
        <v>340000</v>
      </c>
      <c r="F229" s="7">
        <v>0.1</v>
      </c>
      <c r="G229" s="1">
        <v>48</v>
      </c>
      <c r="H229" s="1" t="s">
        <v>718</v>
      </c>
      <c r="I229" s="8">
        <f t="shared" si="7"/>
        <v>8623.278367814044</v>
      </c>
      <c r="J229" s="8">
        <f t="shared" si="6"/>
        <v>413917.36165507411</v>
      </c>
      <c r="K229" s="1" t="s">
        <v>132</v>
      </c>
      <c r="L229" s="1">
        <v>707</v>
      </c>
      <c r="M229" s="1" t="s">
        <v>16</v>
      </c>
    </row>
    <row r="230" spans="1:13" x14ac:dyDescent="0.3">
      <c r="A230" s="1" t="s">
        <v>719</v>
      </c>
      <c r="B230" s="1" t="s">
        <v>720</v>
      </c>
      <c r="C230" s="1">
        <v>56</v>
      </c>
      <c r="D230" s="1" t="s">
        <v>42</v>
      </c>
      <c r="E230" s="1">
        <v>1010000</v>
      </c>
      <c r="F230" s="7">
        <v>0.09</v>
      </c>
      <c r="G230" s="1">
        <v>180</v>
      </c>
      <c r="H230" s="1" t="s">
        <v>721</v>
      </c>
      <c r="I230" s="8">
        <f t="shared" si="7"/>
        <v>10244.092500034027</v>
      </c>
      <c r="J230" s="8">
        <f t="shared" si="6"/>
        <v>1843936.6500061247</v>
      </c>
      <c r="K230" s="1" t="s">
        <v>115</v>
      </c>
      <c r="L230" s="1">
        <v>669</v>
      </c>
      <c r="M230" s="1" t="s">
        <v>16</v>
      </c>
    </row>
    <row r="231" spans="1:13" x14ac:dyDescent="0.3">
      <c r="A231" s="1" t="s">
        <v>722</v>
      </c>
      <c r="B231" s="1" t="s">
        <v>723</v>
      </c>
      <c r="C231" s="1">
        <v>39</v>
      </c>
      <c r="D231" s="1" t="s">
        <v>27</v>
      </c>
      <c r="E231" s="1">
        <v>370000</v>
      </c>
      <c r="F231" s="7">
        <v>0.11</v>
      </c>
      <c r="G231" s="1">
        <v>84</v>
      </c>
      <c r="H231" s="1" t="s">
        <v>724</v>
      </c>
      <c r="I231" s="8">
        <f t="shared" si="7"/>
        <v>6335.3014809125407</v>
      </c>
      <c r="J231" s="8">
        <f t="shared" si="6"/>
        <v>532165.32439665345</v>
      </c>
      <c r="K231" s="1" t="s">
        <v>132</v>
      </c>
      <c r="L231" s="1">
        <v>608</v>
      </c>
      <c r="M231" s="1" t="s">
        <v>16</v>
      </c>
    </row>
    <row r="232" spans="1:13" x14ac:dyDescent="0.3">
      <c r="A232" s="1" t="s">
        <v>725</v>
      </c>
      <c r="B232" s="1" t="s">
        <v>342</v>
      </c>
      <c r="C232" s="1">
        <v>46</v>
      </c>
      <c r="D232" s="1" t="s">
        <v>18</v>
      </c>
      <c r="E232" s="1">
        <v>1800000</v>
      </c>
      <c r="F232" s="7">
        <v>9.5000000000000001E-2</v>
      </c>
      <c r="G232" s="1">
        <v>240</v>
      </c>
      <c r="H232" s="1" t="s">
        <v>726</v>
      </c>
      <c r="I232" s="8">
        <f t="shared" si="7"/>
        <v>16778.361381003328</v>
      </c>
      <c r="J232" s="8">
        <f t="shared" si="6"/>
        <v>4026806.7314407984</v>
      </c>
      <c r="K232" s="1" t="s">
        <v>201</v>
      </c>
      <c r="L232" s="1">
        <v>764</v>
      </c>
      <c r="M232" s="1" t="s">
        <v>20</v>
      </c>
    </row>
    <row r="233" spans="1:13" x14ac:dyDescent="0.3">
      <c r="A233" s="1" t="s">
        <v>727</v>
      </c>
      <c r="B233" s="1" t="s">
        <v>728</v>
      </c>
      <c r="C233" s="1">
        <v>23</v>
      </c>
      <c r="D233" s="1" t="s">
        <v>37</v>
      </c>
      <c r="E233" s="1">
        <v>4600000</v>
      </c>
      <c r="F233" s="7">
        <v>0.11</v>
      </c>
      <c r="G233" s="1">
        <v>180</v>
      </c>
      <c r="H233" s="1" t="s">
        <v>729</v>
      </c>
      <c r="I233" s="8">
        <f t="shared" si="7"/>
        <v>52283.458989580089</v>
      </c>
      <c r="J233" s="8">
        <f t="shared" si="6"/>
        <v>9411022.6181244161</v>
      </c>
      <c r="K233" s="1" t="s">
        <v>366</v>
      </c>
      <c r="L233" s="1">
        <v>677</v>
      </c>
      <c r="M233" s="1" t="s">
        <v>16</v>
      </c>
    </row>
    <row r="234" spans="1:13" x14ac:dyDescent="0.3">
      <c r="A234" s="1" t="s">
        <v>730</v>
      </c>
      <c r="B234" s="1" t="s">
        <v>731</v>
      </c>
      <c r="C234" s="1">
        <v>39</v>
      </c>
      <c r="D234" s="1" t="s">
        <v>27</v>
      </c>
      <c r="E234" s="1">
        <v>860000</v>
      </c>
      <c r="F234" s="7">
        <v>9.5000000000000001E-2</v>
      </c>
      <c r="G234" s="1">
        <v>84</v>
      </c>
      <c r="H234" s="1" t="s">
        <v>732</v>
      </c>
      <c r="I234" s="8">
        <f t="shared" si="7"/>
        <v>14055.824245916641</v>
      </c>
      <c r="J234" s="8">
        <f t="shared" si="6"/>
        <v>1180689.2366569978</v>
      </c>
      <c r="K234" s="1" t="s">
        <v>68</v>
      </c>
      <c r="L234" s="1">
        <v>773</v>
      </c>
      <c r="M234" s="1" t="s">
        <v>16</v>
      </c>
    </row>
    <row r="235" spans="1:13" x14ac:dyDescent="0.3">
      <c r="A235" s="1" t="s">
        <v>733</v>
      </c>
      <c r="B235" s="1" t="s">
        <v>734</v>
      </c>
      <c r="C235" s="1">
        <v>40</v>
      </c>
      <c r="D235" s="1" t="s">
        <v>18</v>
      </c>
      <c r="E235" s="1">
        <v>1550000</v>
      </c>
      <c r="F235" s="7">
        <v>0.08</v>
      </c>
      <c r="G235" s="1">
        <v>180</v>
      </c>
      <c r="H235" s="1" t="s">
        <v>735</v>
      </c>
      <c r="I235" s="8">
        <f t="shared" si="7"/>
        <v>14812.607307120448</v>
      </c>
      <c r="J235" s="8">
        <f t="shared" si="6"/>
        <v>2666269.3152816808</v>
      </c>
      <c r="K235" s="1" t="s">
        <v>44</v>
      </c>
      <c r="L235" s="1">
        <v>758</v>
      </c>
      <c r="M235" s="1" t="s">
        <v>16</v>
      </c>
    </row>
    <row r="236" spans="1:13" x14ac:dyDescent="0.3">
      <c r="A236" s="1" t="s">
        <v>736</v>
      </c>
      <c r="B236" s="1" t="s">
        <v>102</v>
      </c>
      <c r="C236" s="1">
        <v>52</v>
      </c>
      <c r="D236" s="1" t="s">
        <v>15</v>
      </c>
      <c r="E236" s="1">
        <v>1750000</v>
      </c>
      <c r="F236" s="7">
        <v>0.08</v>
      </c>
      <c r="G236" s="1">
        <v>24</v>
      </c>
      <c r="H236" s="1" t="s">
        <v>737</v>
      </c>
      <c r="I236" s="8">
        <f t="shared" si="7"/>
        <v>79147.760048322278</v>
      </c>
      <c r="J236" s="8">
        <f t="shared" si="6"/>
        <v>1899546.2411597348</v>
      </c>
      <c r="K236" s="1" t="s">
        <v>108</v>
      </c>
      <c r="L236" s="1">
        <v>664</v>
      </c>
      <c r="M236" s="1" t="s">
        <v>16</v>
      </c>
    </row>
    <row r="237" spans="1:13" x14ac:dyDescent="0.3">
      <c r="A237" s="1" t="s">
        <v>738</v>
      </c>
      <c r="B237" s="1" t="s">
        <v>739</v>
      </c>
      <c r="C237" s="1">
        <v>27</v>
      </c>
      <c r="D237" s="1" t="s">
        <v>32</v>
      </c>
      <c r="E237" s="1">
        <v>310000</v>
      </c>
      <c r="F237" s="7">
        <v>8.5000000000000006E-2</v>
      </c>
      <c r="G237" s="1">
        <v>24</v>
      </c>
      <c r="H237" s="1" t="s">
        <v>740</v>
      </c>
      <c r="I237" s="8">
        <f t="shared" si="7"/>
        <v>14091.259213229672</v>
      </c>
      <c r="J237" s="8">
        <f t="shared" si="6"/>
        <v>338190.22111751215</v>
      </c>
      <c r="K237" s="1" t="s">
        <v>64</v>
      </c>
      <c r="L237" s="1">
        <v>758</v>
      </c>
      <c r="M237" s="1" t="s">
        <v>20</v>
      </c>
    </row>
    <row r="238" spans="1:13" x14ac:dyDescent="0.3">
      <c r="A238" s="1" t="s">
        <v>741</v>
      </c>
      <c r="B238" s="1" t="s">
        <v>742</v>
      </c>
      <c r="C238" s="1">
        <v>61</v>
      </c>
      <c r="D238" s="1" t="s">
        <v>42</v>
      </c>
      <c r="E238" s="1">
        <v>1270000</v>
      </c>
      <c r="F238" s="7">
        <v>0.125</v>
      </c>
      <c r="G238" s="1">
        <v>48</v>
      </c>
      <c r="H238" s="1" t="s">
        <v>743</v>
      </c>
      <c r="I238" s="8">
        <f t="shared" si="7"/>
        <v>33756.598592549402</v>
      </c>
      <c r="J238" s="8">
        <f t="shared" si="6"/>
        <v>1620316.7324423713</v>
      </c>
      <c r="K238" s="1" t="s">
        <v>155</v>
      </c>
      <c r="L238" s="1">
        <v>563</v>
      </c>
      <c r="M238" s="1" t="s">
        <v>16</v>
      </c>
    </row>
    <row r="239" spans="1:13" x14ac:dyDescent="0.3">
      <c r="A239" s="1" t="s">
        <v>744</v>
      </c>
      <c r="B239" s="1" t="s">
        <v>745</v>
      </c>
      <c r="C239" s="1">
        <v>53</v>
      </c>
      <c r="D239" s="1" t="s">
        <v>15</v>
      </c>
      <c r="E239" s="1">
        <v>550000</v>
      </c>
      <c r="F239" s="7">
        <v>9.5000000000000001E-2</v>
      </c>
      <c r="G239" s="1">
        <v>12</v>
      </c>
      <c r="H239" s="1" t="s">
        <v>746</v>
      </c>
      <c r="I239" s="8">
        <f t="shared" si="7"/>
        <v>48225.931475698846</v>
      </c>
      <c r="J239" s="8">
        <f t="shared" si="6"/>
        <v>578711.17770838621</v>
      </c>
      <c r="K239" s="1" t="s">
        <v>222</v>
      </c>
      <c r="L239" s="1">
        <v>558</v>
      </c>
      <c r="M239" s="1" t="s">
        <v>16</v>
      </c>
    </row>
    <row r="240" spans="1:13" x14ac:dyDescent="0.3">
      <c r="A240" s="1" t="s">
        <v>747</v>
      </c>
      <c r="B240" s="1" t="s">
        <v>748</v>
      </c>
      <c r="C240" s="1">
        <v>60</v>
      </c>
      <c r="D240" s="1" t="s">
        <v>42</v>
      </c>
      <c r="E240" s="1">
        <v>1040000</v>
      </c>
      <c r="F240" s="7">
        <v>0.13</v>
      </c>
      <c r="G240" s="1">
        <v>84</v>
      </c>
      <c r="H240" s="1" t="s">
        <v>749</v>
      </c>
      <c r="I240" s="8">
        <f t="shared" si="7"/>
        <v>18919.641882726701</v>
      </c>
      <c r="J240" s="8">
        <f t="shared" si="6"/>
        <v>1589249.9181490429</v>
      </c>
      <c r="K240" s="1" t="s">
        <v>119</v>
      </c>
      <c r="L240" s="1">
        <v>589</v>
      </c>
      <c r="M240" s="1" t="s">
        <v>16</v>
      </c>
    </row>
    <row r="241" spans="1:13" x14ac:dyDescent="0.3">
      <c r="A241" s="1" t="s">
        <v>750</v>
      </c>
      <c r="B241" s="1" t="s">
        <v>263</v>
      </c>
      <c r="C241" s="1">
        <v>59</v>
      </c>
      <c r="D241" s="1" t="s">
        <v>37</v>
      </c>
      <c r="E241" s="1">
        <v>1920000</v>
      </c>
      <c r="F241" s="7">
        <v>0.13</v>
      </c>
      <c r="G241" s="1">
        <v>84</v>
      </c>
      <c r="H241" s="1" t="s">
        <v>751</v>
      </c>
      <c r="I241" s="8">
        <f t="shared" si="7"/>
        <v>34928.569629649297</v>
      </c>
      <c r="J241" s="8">
        <f t="shared" si="6"/>
        <v>2933999.8488905411</v>
      </c>
      <c r="K241" s="1" t="s">
        <v>75</v>
      </c>
      <c r="L241" s="1">
        <v>786</v>
      </c>
      <c r="M241" s="1" t="s">
        <v>16</v>
      </c>
    </row>
    <row r="242" spans="1:13" x14ac:dyDescent="0.3">
      <c r="A242" s="1" t="s">
        <v>752</v>
      </c>
      <c r="B242" s="1" t="s">
        <v>753</v>
      </c>
      <c r="C242" s="1">
        <v>38</v>
      </c>
      <c r="D242" s="1" t="s">
        <v>18</v>
      </c>
      <c r="E242" s="1">
        <v>490000</v>
      </c>
      <c r="F242" s="7">
        <v>0.12</v>
      </c>
      <c r="G242" s="1">
        <v>60</v>
      </c>
      <c r="H242" s="1" t="s">
        <v>754</v>
      </c>
      <c r="I242" s="8">
        <f t="shared" si="7"/>
        <v>10899.779365601868</v>
      </c>
      <c r="J242" s="8">
        <f t="shared" si="6"/>
        <v>653986.76193611207</v>
      </c>
      <c r="K242" s="1" t="s">
        <v>366</v>
      </c>
      <c r="L242" s="1">
        <v>830</v>
      </c>
      <c r="M242" s="1" t="s">
        <v>20</v>
      </c>
    </row>
    <row r="243" spans="1:13" x14ac:dyDescent="0.3">
      <c r="A243" s="1" t="s">
        <v>755</v>
      </c>
      <c r="B243" s="1" t="s">
        <v>756</v>
      </c>
      <c r="C243" s="1">
        <v>60</v>
      </c>
      <c r="D243" s="1" t="s">
        <v>23</v>
      </c>
      <c r="E243" s="1">
        <v>9190000</v>
      </c>
      <c r="F243" s="7">
        <v>7.4999999999999997E-2</v>
      </c>
      <c r="G243" s="1">
        <v>240</v>
      </c>
      <c r="H243" s="1" t="s">
        <v>757</v>
      </c>
      <c r="I243" s="8">
        <f t="shared" si="7"/>
        <v>74034.014487411085</v>
      </c>
      <c r="J243" s="8">
        <f t="shared" si="6"/>
        <v>17768163.47697866</v>
      </c>
      <c r="K243" s="1" t="s">
        <v>119</v>
      </c>
      <c r="L243" s="1">
        <v>750</v>
      </c>
      <c r="M243" s="1" t="s">
        <v>20</v>
      </c>
    </row>
    <row r="244" spans="1:13" x14ac:dyDescent="0.3">
      <c r="A244" s="1" t="s">
        <v>758</v>
      </c>
      <c r="B244" s="1" t="s">
        <v>759</v>
      </c>
      <c r="C244" s="1">
        <v>21</v>
      </c>
      <c r="D244" s="1" t="s">
        <v>37</v>
      </c>
      <c r="E244" s="1">
        <v>2040000</v>
      </c>
      <c r="F244" s="7">
        <v>0.09</v>
      </c>
      <c r="G244" s="1">
        <v>240</v>
      </c>
      <c r="H244" s="1" t="s">
        <v>760</v>
      </c>
      <c r="I244" s="8">
        <f t="shared" si="7"/>
        <v>18354.409499343528</v>
      </c>
      <c r="J244" s="8">
        <f t="shared" si="6"/>
        <v>4405058.2798424466</v>
      </c>
      <c r="K244" s="1" t="s">
        <v>155</v>
      </c>
      <c r="L244" s="1">
        <v>795</v>
      </c>
      <c r="M244" s="1" t="s">
        <v>20</v>
      </c>
    </row>
    <row r="245" spans="1:13" x14ac:dyDescent="0.3">
      <c r="A245" s="1" t="s">
        <v>761</v>
      </c>
      <c r="B245" s="1" t="s">
        <v>471</v>
      </c>
      <c r="C245" s="1">
        <v>31</v>
      </c>
      <c r="D245" s="1" t="s">
        <v>27</v>
      </c>
      <c r="E245" s="1">
        <v>670000</v>
      </c>
      <c r="F245" s="7">
        <v>0.1</v>
      </c>
      <c r="G245" s="1">
        <v>84</v>
      </c>
      <c r="H245" s="1" t="s">
        <v>597</v>
      </c>
      <c r="I245" s="8">
        <f t="shared" si="7"/>
        <v>11122.793298013559</v>
      </c>
      <c r="J245" s="8">
        <f t="shared" si="6"/>
        <v>934314.63703313901</v>
      </c>
      <c r="K245" s="1" t="s">
        <v>115</v>
      </c>
      <c r="L245" s="1">
        <v>827</v>
      </c>
      <c r="M245" s="1" t="s">
        <v>20</v>
      </c>
    </row>
    <row r="246" spans="1:13" x14ac:dyDescent="0.3">
      <c r="A246" s="1" t="s">
        <v>762</v>
      </c>
      <c r="B246" s="1" t="s">
        <v>763</v>
      </c>
      <c r="C246" s="1">
        <v>48</v>
      </c>
      <c r="D246" s="1" t="s">
        <v>27</v>
      </c>
      <c r="E246" s="1">
        <v>770000</v>
      </c>
      <c r="F246" s="7">
        <v>8.5000000000000006E-2</v>
      </c>
      <c r="G246" s="1">
        <v>24</v>
      </c>
      <c r="H246" s="1" t="s">
        <v>764</v>
      </c>
      <c r="I246" s="8">
        <f t="shared" si="7"/>
        <v>35000.869658667252</v>
      </c>
      <c r="J246" s="8">
        <f t="shared" si="6"/>
        <v>840020.87180801411</v>
      </c>
      <c r="K246" s="1" t="s">
        <v>68</v>
      </c>
      <c r="L246" s="1">
        <v>784</v>
      </c>
      <c r="M246" s="1" t="s">
        <v>20</v>
      </c>
    </row>
    <row r="247" spans="1:13" x14ac:dyDescent="0.3">
      <c r="A247" s="1" t="s">
        <v>765</v>
      </c>
      <c r="B247" s="1" t="s">
        <v>766</v>
      </c>
      <c r="C247" s="1">
        <v>45</v>
      </c>
      <c r="D247" s="1" t="s">
        <v>15</v>
      </c>
      <c r="E247" s="1">
        <v>320000</v>
      </c>
      <c r="F247" s="7">
        <v>0.08</v>
      </c>
      <c r="G247" s="1">
        <v>12</v>
      </c>
      <c r="H247" s="1" t="s">
        <v>767</v>
      </c>
      <c r="I247" s="8">
        <f t="shared" si="7"/>
        <v>27836.297307334738</v>
      </c>
      <c r="J247" s="8">
        <f t="shared" si="6"/>
        <v>334035.56768801686</v>
      </c>
      <c r="K247" s="1" t="s">
        <v>147</v>
      </c>
      <c r="L247" s="1">
        <v>553</v>
      </c>
      <c r="M247" s="1" t="s">
        <v>16</v>
      </c>
    </row>
    <row r="248" spans="1:13" x14ac:dyDescent="0.3">
      <c r="A248" s="1" t="s">
        <v>768</v>
      </c>
      <c r="B248" s="1" t="s">
        <v>263</v>
      </c>
      <c r="C248" s="1">
        <v>43</v>
      </c>
      <c r="D248" s="1" t="s">
        <v>15</v>
      </c>
      <c r="E248" s="1">
        <v>1300000</v>
      </c>
      <c r="F248" s="7">
        <v>0.13</v>
      </c>
      <c r="G248" s="1">
        <v>36</v>
      </c>
      <c r="H248" s="1" t="s">
        <v>769</v>
      </c>
      <c r="I248" s="8">
        <f t="shared" si="7"/>
        <v>43802.137604279305</v>
      </c>
      <c r="J248" s="8">
        <f t="shared" si="6"/>
        <v>1576876.9537540551</v>
      </c>
      <c r="K248" s="1" t="s">
        <v>155</v>
      </c>
      <c r="L248" s="1">
        <v>703</v>
      </c>
      <c r="M248" s="1" t="s">
        <v>20</v>
      </c>
    </row>
    <row r="249" spans="1:13" x14ac:dyDescent="0.3">
      <c r="A249" s="1" t="s">
        <v>770</v>
      </c>
      <c r="B249" s="1" t="s">
        <v>157</v>
      </c>
      <c r="C249" s="1">
        <v>51</v>
      </c>
      <c r="D249" s="1" t="s">
        <v>27</v>
      </c>
      <c r="E249" s="1">
        <v>140000</v>
      </c>
      <c r="F249" s="7">
        <v>0.09</v>
      </c>
      <c r="G249" s="1">
        <v>180</v>
      </c>
      <c r="H249" s="1" t="s">
        <v>771</v>
      </c>
      <c r="I249" s="8">
        <f t="shared" si="7"/>
        <v>1419.9732178264987</v>
      </c>
      <c r="J249" s="8">
        <f t="shared" si="6"/>
        <v>255595.17920876978</v>
      </c>
      <c r="K249" s="1" t="s">
        <v>86</v>
      </c>
      <c r="L249" s="1">
        <v>578</v>
      </c>
      <c r="M249" s="1" t="s">
        <v>20</v>
      </c>
    </row>
    <row r="250" spans="1:13" x14ac:dyDescent="0.3">
      <c r="A250" s="1" t="s">
        <v>772</v>
      </c>
      <c r="B250" s="1" t="s">
        <v>420</v>
      </c>
      <c r="C250" s="1">
        <v>50</v>
      </c>
      <c r="D250" s="1" t="s">
        <v>32</v>
      </c>
      <c r="E250" s="1">
        <v>490000</v>
      </c>
      <c r="F250" s="7">
        <v>0.1</v>
      </c>
      <c r="G250" s="1">
        <v>36</v>
      </c>
      <c r="H250" s="1" t="s">
        <v>773</v>
      </c>
      <c r="I250" s="8">
        <f t="shared" si="7"/>
        <v>15810.921724980368</v>
      </c>
      <c r="J250" s="8">
        <f t="shared" si="6"/>
        <v>569193.18209929322</v>
      </c>
      <c r="K250" s="1" t="s">
        <v>136</v>
      </c>
      <c r="L250" s="1">
        <v>658</v>
      </c>
      <c r="M250" s="1" t="s">
        <v>20</v>
      </c>
    </row>
    <row r="251" spans="1:13" x14ac:dyDescent="0.3">
      <c r="A251" s="1" t="s">
        <v>774</v>
      </c>
      <c r="B251" s="1" t="s">
        <v>441</v>
      </c>
      <c r="C251" s="1">
        <v>62</v>
      </c>
      <c r="D251" s="1" t="s">
        <v>27</v>
      </c>
      <c r="E251" s="1">
        <v>990000</v>
      </c>
      <c r="F251" s="7">
        <v>0.105</v>
      </c>
      <c r="G251" s="1">
        <v>120</v>
      </c>
      <c r="H251" s="1" t="s">
        <v>357</v>
      </c>
      <c r="I251" s="8">
        <f t="shared" si="7"/>
        <v>13358.564680779151</v>
      </c>
      <c r="J251" s="8">
        <f t="shared" si="6"/>
        <v>1603027.7616934981</v>
      </c>
      <c r="K251" s="1" t="s">
        <v>82</v>
      </c>
      <c r="L251" s="1">
        <v>647</v>
      </c>
      <c r="M251" s="1" t="s">
        <v>20</v>
      </c>
    </row>
    <row r="252" spans="1:13" x14ac:dyDescent="0.3">
      <c r="A252" s="1" t="s">
        <v>775</v>
      </c>
      <c r="B252" s="1" t="s">
        <v>776</v>
      </c>
      <c r="C252" s="1">
        <v>55</v>
      </c>
      <c r="D252" s="1" t="s">
        <v>27</v>
      </c>
      <c r="E252" s="1">
        <v>180000</v>
      </c>
      <c r="F252" s="7">
        <v>0.115</v>
      </c>
      <c r="G252" s="1">
        <v>24</v>
      </c>
      <c r="H252" s="1" t="s">
        <v>777</v>
      </c>
      <c r="I252" s="8">
        <f t="shared" si="7"/>
        <v>8431.2567537622799</v>
      </c>
      <c r="J252" s="8">
        <f t="shared" si="6"/>
        <v>202350.1620902947</v>
      </c>
      <c r="K252" s="1" t="s">
        <v>56</v>
      </c>
      <c r="L252" s="1">
        <v>764</v>
      </c>
      <c r="M252" s="1" t="s">
        <v>312</v>
      </c>
    </row>
    <row r="253" spans="1:13" x14ac:dyDescent="0.3">
      <c r="A253" s="1" t="s">
        <v>778</v>
      </c>
      <c r="B253" s="1" t="s">
        <v>779</v>
      </c>
      <c r="C253" s="1">
        <v>27</v>
      </c>
      <c r="D253" s="1" t="s">
        <v>42</v>
      </c>
      <c r="E253" s="1">
        <v>400000</v>
      </c>
      <c r="F253" s="7">
        <v>7.4999999999999997E-2</v>
      </c>
      <c r="G253" s="1">
        <v>60</v>
      </c>
      <c r="H253" s="1" t="s">
        <v>780</v>
      </c>
      <c r="I253" s="8">
        <f t="shared" si="7"/>
        <v>8015.1794382495054</v>
      </c>
      <c r="J253" s="8">
        <f t="shared" si="6"/>
        <v>480910.76629497035</v>
      </c>
      <c r="K253" s="1" t="s">
        <v>201</v>
      </c>
      <c r="L253" s="1">
        <v>842</v>
      </c>
      <c r="M253" s="1" t="s">
        <v>20</v>
      </c>
    </row>
    <row r="254" spans="1:13" x14ac:dyDescent="0.3">
      <c r="A254" s="1" t="s">
        <v>781</v>
      </c>
      <c r="B254" s="1" t="s">
        <v>314</v>
      </c>
      <c r="C254" s="1">
        <v>36</v>
      </c>
      <c r="D254" s="1" t="s">
        <v>37</v>
      </c>
      <c r="E254" s="1">
        <v>550000</v>
      </c>
      <c r="F254" s="7">
        <v>0.125</v>
      </c>
      <c r="G254" s="1">
        <v>48</v>
      </c>
      <c r="H254" s="1" t="s">
        <v>782</v>
      </c>
      <c r="I254" s="8">
        <f t="shared" si="7"/>
        <v>14618.999390474153</v>
      </c>
      <c r="J254" s="8">
        <f t="shared" si="6"/>
        <v>701711.97074275929</v>
      </c>
      <c r="K254" s="1" t="s">
        <v>48</v>
      </c>
      <c r="L254" s="1">
        <v>624</v>
      </c>
      <c r="M254" s="1" t="s">
        <v>16</v>
      </c>
    </row>
    <row r="255" spans="1:13" x14ac:dyDescent="0.3">
      <c r="A255" s="1" t="s">
        <v>783</v>
      </c>
      <c r="B255" s="1" t="s">
        <v>784</v>
      </c>
      <c r="C255" s="1">
        <v>46</v>
      </c>
      <c r="D255" s="1" t="s">
        <v>32</v>
      </c>
      <c r="E255" s="1">
        <v>270000</v>
      </c>
      <c r="F255" s="7">
        <v>9.5000000000000001E-2</v>
      </c>
      <c r="G255" s="1">
        <v>48</v>
      </c>
      <c r="H255" s="1" t="s">
        <v>785</v>
      </c>
      <c r="I255" s="8">
        <f t="shared" si="7"/>
        <v>6783.24690115264</v>
      </c>
      <c r="J255" s="8">
        <f t="shared" si="6"/>
        <v>325595.85125532671</v>
      </c>
      <c r="K255" s="1" t="s">
        <v>86</v>
      </c>
      <c r="L255" s="1">
        <v>875</v>
      </c>
      <c r="M255" s="1" t="s">
        <v>16</v>
      </c>
    </row>
    <row r="256" spans="1:13" x14ac:dyDescent="0.3">
      <c r="A256" s="1" t="s">
        <v>786</v>
      </c>
      <c r="B256" s="1" t="s">
        <v>787</v>
      </c>
      <c r="C256" s="1">
        <v>22</v>
      </c>
      <c r="D256" s="1" t="s">
        <v>42</v>
      </c>
      <c r="E256" s="1">
        <v>590000</v>
      </c>
      <c r="F256" s="7">
        <v>9.5000000000000001E-2</v>
      </c>
      <c r="G256" s="1">
        <v>24</v>
      </c>
      <c r="H256" s="1" t="s">
        <v>788</v>
      </c>
      <c r="I256" s="8">
        <f t="shared" si="7"/>
        <v>27089.550863465935</v>
      </c>
      <c r="J256" s="8">
        <f t="shared" si="6"/>
        <v>650149.22072318243</v>
      </c>
      <c r="K256" s="1" t="s">
        <v>187</v>
      </c>
      <c r="L256" s="1">
        <v>695</v>
      </c>
      <c r="M256" s="1" t="s">
        <v>20</v>
      </c>
    </row>
    <row r="257" spans="1:13" x14ac:dyDescent="0.3">
      <c r="A257" s="1" t="s">
        <v>789</v>
      </c>
      <c r="B257" s="1" t="s">
        <v>790</v>
      </c>
      <c r="C257" s="1">
        <v>21</v>
      </c>
      <c r="D257" s="1" t="s">
        <v>23</v>
      </c>
      <c r="E257" s="1">
        <v>4880000</v>
      </c>
      <c r="F257" s="7">
        <v>8.5000000000000006E-2</v>
      </c>
      <c r="G257" s="1">
        <v>120</v>
      </c>
      <c r="H257" s="1" t="s">
        <v>791</v>
      </c>
      <c r="I257" s="8">
        <f t="shared" si="7"/>
        <v>60505.016170761432</v>
      </c>
      <c r="J257" s="8">
        <f t="shared" si="6"/>
        <v>7260601.9404913718</v>
      </c>
      <c r="K257" s="1" t="s">
        <v>21</v>
      </c>
      <c r="L257" s="1">
        <v>677</v>
      </c>
      <c r="M257" s="1" t="s">
        <v>60</v>
      </c>
    </row>
    <row r="258" spans="1:13" x14ac:dyDescent="0.3">
      <c r="A258" s="1" t="s">
        <v>792</v>
      </c>
      <c r="B258" s="1" t="s">
        <v>793</v>
      </c>
      <c r="C258" s="1">
        <v>32</v>
      </c>
      <c r="D258" s="1" t="s">
        <v>32</v>
      </c>
      <c r="E258" s="1">
        <v>90000</v>
      </c>
      <c r="F258" s="7">
        <v>7.4999999999999997E-2</v>
      </c>
      <c r="G258" s="1">
        <v>48</v>
      </c>
      <c r="H258" s="1" t="s">
        <v>794</v>
      </c>
      <c r="I258" s="8">
        <f t="shared" si="7"/>
        <v>2176.1011743958106</v>
      </c>
      <c r="J258" s="8">
        <f t="shared" si="6"/>
        <v>104452.85637099891</v>
      </c>
      <c r="K258" s="1" t="s">
        <v>143</v>
      </c>
      <c r="L258" s="1">
        <v>890</v>
      </c>
      <c r="M258" s="1" t="s">
        <v>16</v>
      </c>
    </row>
    <row r="259" spans="1:13" x14ac:dyDescent="0.3">
      <c r="A259" s="1" t="s">
        <v>795</v>
      </c>
      <c r="B259" s="1" t="s">
        <v>359</v>
      </c>
      <c r="C259" s="1">
        <v>25</v>
      </c>
      <c r="D259" s="1" t="s">
        <v>42</v>
      </c>
      <c r="E259" s="1">
        <v>620000</v>
      </c>
      <c r="F259" s="7">
        <v>0.105</v>
      </c>
      <c r="G259" s="1">
        <v>180</v>
      </c>
      <c r="H259" s="1" t="s">
        <v>796</v>
      </c>
      <c r="I259" s="8">
        <f t="shared" si="7"/>
        <v>6853.4733269224544</v>
      </c>
      <c r="J259" s="8">
        <f t="shared" si="6"/>
        <v>1233625.1988460417</v>
      </c>
      <c r="K259" s="1" t="s">
        <v>187</v>
      </c>
      <c r="L259" s="1">
        <v>591</v>
      </c>
      <c r="M259" s="1" t="s">
        <v>16</v>
      </c>
    </row>
    <row r="260" spans="1:13" x14ac:dyDescent="0.3">
      <c r="A260" s="1" t="s">
        <v>797</v>
      </c>
      <c r="B260" s="1" t="s">
        <v>798</v>
      </c>
      <c r="C260" s="1">
        <v>57</v>
      </c>
      <c r="D260" s="1" t="s">
        <v>27</v>
      </c>
      <c r="E260" s="1">
        <v>110000</v>
      </c>
      <c r="F260" s="7">
        <v>0.11</v>
      </c>
      <c r="G260" s="1">
        <v>48</v>
      </c>
      <c r="H260" s="1" t="s">
        <v>799</v>
      </c>
      <c r="I260" s="8">
        <f t="shared" si="7"/>
        <v>2843.0074872598097</v>
      </c>
      <c r="J260" s="8">
        <f t="shared" ref="J260:J323" si="8">(I260*G260)</f>
        <v>136464.35938847088</v>
      </c>
      <c r="K260" s="1" t="s">
        <v>119</v>
      </c>
      <c r="L260" s="1">
        <v>590</v>
      </c>
      <c r="M260" s="1" t="s">
        <v>20</v>
      </c>
    </row>
    <row r="261" spans="1:13" x14ac:dyDescent="0.3">
      <c r="A261" s="1" t="s">
        <v>800</v>
      </c>
      <c r="B261" s="1" t="s">
        <v>801</v>
      </c>
      <c r="C261" s="1">
        <v>52</v>
      </c>
      <c r="D261" s="1" t="s">
        <v>42</v>
      </c>
      <c r="E261" s="1">
        <v>760000</v>
      </c>
      <c r="F261" s="7">
        <v>0.115</v>
      </c>
      <c r="G261" s="1">
        <v>84</v>
      </c>
      <c r="H261" s="1" t="s">
        <v>802</v>
      </c>
      <c r="I261" s="8">
        <f t="shared" ref="I261:I324" si="9">PMT(F261/12,G261, -E261)</f>
        <v>13213.710223382503</v>
      </c>
      <c r="J261" s="8">
        <f t="shared" si="8"/>
        <v>1109951.6587641302</v>
      </c>
      <c r="K261" s="1" t="s">
        <v>212</v>
      </c>
      <c r="L261" s="1">
        <v>583</v>
      </c>
      <c r="M261" s="1" t="s">
        <v>20</v>
      </c>
    </row>
    <row r="262" spans="1:13" x14ac:dyDescent="0.3">
      <c r="A262" s="1" t="s">
        <v>803</v>
      </c>
      <c r="B262" s="1" t="s">
        <v>804</v>
      </c>
      <c r="C262" s="1">
        <v>29</v>
      </c>
      <c r="D262" s="1" t="s">
        <v>15</v>
      </c>
      <c r="E262" s="1">
        <v>1260000</v>
      </c>
      <c r="F262" s="7">
        <v>0.13</v>
      </c>
      <c r="G262" s="1">
        <v>24</v>
      </c>
      <c r="H262" s="1" t="s">
        <v>805</v>
      </c>
      <c r="I262" s="8">
        <f t="shared" si="9"/>
        <v>59902.696461448271</v>
      </c>
      <c r="J262" s="8">
        <f t="shared" si="8"/>
        <v>1437664.7150747585</v>
      </c>
      <c r="K262" s="1" t="s">
        <v>39</v>
      </c>
      <c r="L262" s="1">
        <v>566</v>
      </c>
      <c r="M262" s="1" t="s">
        <v>16</v>
      </c>
    </row>
    <row r="263" spans="1:13" x14ac:dyDescent="0.3">
      <c r="A263" s="1" t="s">
        <v>806</v>
      </c>
      <c r="B263" s="1" t="s">
        <v>339</v>
      </c>
      <c r="C263" s="1">
        <v>61</v>
      </c>
      <c r="D263" s="1" t="s">
        <v>32</v>
      </c>
      <c r="E263" s="1">
        <v>290000</v>
      </c>
      <c r="F263" s="7">
        <v>0.115</v>
      </c>
      <c r="G263" s="1">
        <v>120</v>
      </c>
      <c r="H263" s="1" t="s">
        <v>807</v>
      </c>
      <c r="I263" s="8">
        <f t="shared" si="9"/>
        <v>4077.2678753904288</v>
      </c>
      <c r="J263" s="8">
        <f t="shared" si="8"/>
        <v>489272.14504685148</v>
      </c>
      <c r="K263" s="1" t="s">
        <v>151</v>
      </c>
      <c r="L263" s="1">
        <v>714</v>
      </c>
      <c r="M263" s="1" t="s">
        <v>16</v>
      </c>
    </row>
    <row r="264" spans="1:13" x14ac:dyDescent="0.3">
      <c r="A264" s="1" t="s">
        <v>808</v>
      </c>
      <c r="B264" s="1" t="s">
        <v>696</v>
      </c>
      <c r="C264" s="1">
        <v>55</v>
      </c>
      <c r="D264" s="1" t="s">
        <v>18</v>
      </c>
      <c r="E264" s="1">
        <v>980000</v>
      </c>
      <c r="F264" s="7">
        <v>0.09</v>
      </c>
      <c r="G264" s="1">
        <v>12</v>
      </c>
      <c r="H264" s="1" t="s">
        <v>809</v>
      </c>
      <c r="I264" s="8">
        <f t="shared" si="9"/>
        <v>85702.447234523002</v>
      </c>
      <c r="J264" s="8">
        <f t="shared" si="8"/>
        <v>1028429.366814276</v>
      </c>
      <c r="K264" s="1" t="s">
        <v>326</v>
      </c>
      <c r="L264" s="1">
        <v>702</v>
      </c>
      <c r="M264" s="1" t="s">
        <v>16</v>
      </c>
    </row>
    <row r="265" spans="1:13" x14ac:dyDescent="0.3">
      <c r="A265" s="1" t="s">
        <v>810</v>
      </c>
      <c r="B265" s="1" t="s">
        <v>73</v>
      </c>
      <c r="C265" s="1">
        <v>39</v>
      </c>
      <c r="D265" s="1" t="s">
        <v>27</v>
      </c>
      <c r="E265" s="1">
        <v>160000</v>
      </c>
      <c r="F265" s="7">
        <v>0.08</v>
      </c>
      <c r="G265" s="1">
        <v>24</v>
      </c>
      <c r="H265" s="1" t="s">
        <v>811</v>
      </c>
      <c r="I265" s="8">
        <f t="shared" si="9"/>
        <v>7236.3666329894641</v>
      </c>
      <c r="J265" s="8">
        <f t="shared" si="8"/>
        <v>173672.79919174715</v>
      </c>
      <c r="K265" s="1" t="s">
        <v>201</v>
      </c>
      <c r="L265" s="1">
        <v>625</v>
      </c>
      <c r="M265" s="1" t="s">
        <v>60</v>
      </c>
    </row>
    <row r="266" spans="1:13" x14ac:dyDescent="0.3">
      <c r="A266" s="1" t="s">
        <v>812</v>
      </c>
      <c r="B266" s="1" t="s">
        <v>813</v>
      </c>
      <c r="C266" s="1">
        <v>36</v>
      </c>
      <c r="D266" s="1" t="s">
        <v>37</v>
      </c>
      <c r="E266" s="1">
        <v>4550000</v>
      </c>
      <c r="F266" s="7">
        <v>0.11</v>
      </c>
      <c r="G266" s="1">
        <v>180</v>
      </c>
      <c r="H266" s="1" t="s">
        <v>814</v>
      </c>
      <c r="I266" s="8">
        <f t="shared" si="9"/>
        <v>51715.160522302045</v>
      </c>
      <c r="J266" s="8">
        <f t="shared" si="8"/>
        <v>9308728.8940143678</v>
      </c>
      <c r="K266" s="1" t="s">
        <v>205</v>
      </c>
      <c r="L266" s="1">
        <v>636</v>
      </c>
      <c r="M266" s="1" t="s">
        <v>20</v>
      </c>
    </row>
    <row r="267" spans="1:13" x14ac:dyDescent="0.3">
      <c r="A267" s="1" t="s">
        <v>815</v>
      </c>
      <c r="B267" s="1" t="s">
        <v>377</v>
      </c>
      <c r="C267" s="1">
        <v>23</v>
      </c>
      <c r="D267" s="1" t="s">
        <v>42</v>
      </c>
      <c r="E267" s="1">
        <v>1320000</v>
      </c>
      <c r="F267" s="7">
        <v>0.08</v>
      </c>
      <c r="G267" s="1">
        <v>180</v>
      </c>
      <c r="H267" s="1" t="s">
        <v>252</v>
      </c>
      <c r="I267" s="8">
        <f t="shared" si="9"/>
        <v>12614.607513160639</v>
      </c>
      <c r="J267" s="8">
        <f t="shared" si="8"/>
        <v>2270629.352368915</v>
      </c>
      <c r="K267" s="1" t="s">
        <v>187</v>
      </c>
      <c r="L267" s="1">
        <v>666</v>
      </c>
      <c r="M267" s="1" t="s">
        <v>60</v>
      </c>
    </row>
    <row r="268" spans="1:13" x14ac:dyDescent="0.3">
      <c r="A268" s="1" t="s">
        <v>816</v>
      </c>
      <c r="B268" s="1" t="s">
        <v>817</v>
      </c>
      <c r="C268" s="1">
        <v>40</v>
      </c>
      <c r="D268" s="1" t="s">
        <v>27</v>
      </c>
      <c r="E268" s="1">
        <v>120000</v>
      </c>
      <c r="F268" s="7">
        <v>8.5000000000000006E-2</v>
      </c>
      <c r="G268" s="1">
        <v>240</v>
      </c>
      <c r="H268" s="1" t="s">
        <v>818</v>
      </c>
      <c r="I268" s="8">
        <f t="shared" si="9"/>
        <v>1041.3878800386408</v>
      </c>
      <c r="J268" s="8">
        <f t="shared" si="8"/>
        <v>249933.09120927379</v>
      </c>
      <c r="K268" s="1" t="s">
        <v>82</v>
      </c>
      <c r="L268" s="1">
        <v>891</v>
      </c>
      <c r="M268" s="1" t="s">
        <v>16</v>
      </c>
    </row>
    <row r="269" spans="1:13" x14ac:dyDescent="0.3">
      <c r="A269" s="1" t="s">
        <v>819</v>
      </c>
      <c r="B269" s="1" t="s">
        <v>820</v>
      </c>
      <c r="C269" s="1">
        <v>44</v>
      </c>
      <c r="D269" s="1" t="s">
        <v>32</v>
      </c>
      <c r="E269" s="1">
        <v>50000</v>
      </c>
      <c r="F269" s="7">
        <v>0.08</v>
      </c>
      <c r="G269" s="1">
        <v>36</v>
      </c>
      <c r="H269" s="1" t="s">
        <v>821</v>
      </c>
      <c r="I269" s="8">
        <f t="shared" si="9"/>
        <v>1566.8182730715423</v>
      </c>
      <c r="J269" s="8">
        <f t="shared" si="8"/>
        <v>56405.45783057552</v>
      </c>
      <c r="K269" s="1" t="s">
        <v>39</v>
      </c>
      <c r="L269" s="1">
        <v>576</v>
      </c>
      <c r="M269" s="1" t="s">
        <v>20</v>
      </c>
    </row>
    <row r="270" spans="1:13" x14ac:dyDescent="0.3">
      <c r="A270" s="1" t="s">
        <v>822</v>
      </c>
      <c r="B270" s="1" t="s">
        <v>823</v>
      </c>
      <c r="C270" s="1">
        <v>53</v>
      </c>
      <c r="D270" s="1" t="s">
        <v>18</v>
      </c>
      <c r="E270" s="1">
        <v>1320000</v>
      </c>
      <c r="F270" s="7">
        <v>7.4999999999999997E-2</v>
      </c>
      <c r="G270" s="1">
        <v>180</v>
      </c>
      <c r="H270" s="1" t="s">
        <v>824</v>
      </c>
      <c r="I270" s="8">
        <f t="shared" si="9"/>
        <v>12236.563152036144</v>
      </c>
      <c r="J270" s="8">
        <f t="shared" si="8"/>
        <v>2202581.3673665058</v>
      </c>
      <c r="K270" s="1" t="s">
        <v>29</v>
      </c>
      <c r="L270" s="1">
        <v>862</v>
      </c>
      <c r="M270" s="1" t="s">
        <v>20</v>
      </c>
    </row>
    <row r="271" spans="1:13" x14ac:dyDescent="0.3">
      <c r="A271" s="1" t="s">
        <v>825</v>
      </c>
      <c r="B271" s="1" t="s">
        <v>826</v>
      </c>
      <c r="C271" s="1">
        <v>44</v>
      </c>
      <c r="D271" s="1" t="s">
        <v>15</v>
      </c>
      <c r="E271" s="1">
        <v>1360000</v>
      </c>
      <c r="F271" s="7">
        <v>7.4999999999999997E-2</v>
      </c>
      <c r="G271" s="1">
        <v>12</v>
      </c>
      <c r="H271" s="1" t="s">
        <v>827</v>
      </c>
      <c r="I271" s="8">
        <f t="shared" si="9"/>
        <v>117990.08696415382</v>
      </c>
      <c r="J271" s="8">
        <f t="shared" si="8"/>
        <v>1415881.0435698458</v>
      </c>
      <c r="K271" s="1" t="s">
        <v>222</v>
      </c>
      <c r="L271" s="1">
        <v>836</v>
      </c>
      <c r="M271" s="1" t="s">
        <v>20</v>
      </c>
    </row>
    <row r="272" spans="1:13" x14ac:dyDescent="0.3">
      <c r="A272" s="1" t="s">
        <v>828</v>
      </c>
      <c r="B272" s="1" t="s">
        <v>829</v>
      </c>
      <c r="C272" s="1">
        <v>31</v>
      </c>
      <c r="D272" s="1" t="s">
        <v>15</v>
      </c>
      <c r="E272" s="1">
        <v>1060000</v>
      </c>
      <c r="F272" s="7">
        <v>0.09</v>
      </c>
      <c r="G272" s="1">
        <v>240</v>
      </c>
      <c r="H272" s="1" t="s">
        <v>830</v>
      </c>
      <c r="I272" s="8">
        <f t="shared" si="9"/>
        <v>9537.0951320118329</v>
      </c>
      <c r="J272" s="8">
        <f t="shared" si="8"/>
        <v>2288902.8316828399</v>
      </c>
      <c r="K272" s="1" t="s">
        <v>75</v>
      </c>
      <c r="L272" s="1">
        <v>683</v>
      </c>
      <c r="M272" s="1" t="s">
        <v>60</v>
      </c>
    </row>
    <row r="273" spans="1:13" x14ac:dyDescent="0.3">
      <c r="A273" s="1" t="s">
        <v>831</v>
      </c>
      <c r="B273" s="1" t="s">
        <v>832</v>
      </c>
      <c r="C273" s="1">
        <v>28</v>
      </c>
      <c r="D273" s="1" t="s">
        <v>32</v>
      </c>
      <c r="E273" s="1">
        <v>60000</v>
      </c>
      <c r="F273" s="7">
        <v>8.5000000000000006E-2</v>
      </c>
      <c r="G273" s="1">
        <v>12</v>
      </c>
      <c r="H273" s="1" t="s">
        <v>833</v>
      </c>
      <c r="I273" s="8">
        <f t="shared" si="9"/>
        <v>5233.1869476055635</v>
      </c>
      <c r="J273" s="8">
        <f t="shared" si="8"/>
        <v>62798.243371266763</v>
      </c>
      <c r="K273" s="1" t="s">
        <v>201</v>
      </c>
      <c r="L273" s="1">
        <v>768</v>
      </c>
      <c r="M273" s="1" t="s">
        <v>16</v>
      </c>
    </row>
    <row r="274" spans="1:13" x14ac:dyDescent="0.3">
      <c r="A274" s="1" t="s">
        <v>834</v>
      </c>
      <c r="B274" s="1" t="s">
        <v>835</v>
      </c>
      <c r="C274" s="1">
        <v>56</v>
      </c>
      <c r="D274" s="1" t="s">
        <v>32</v>
      </c>
      <c r="E274" s="1">
        <v>60000</v>
      </c>
      <c r="F274" s="7">
        <v>0.09</v>
      </c>
      <c r="G274" s="1">
        <v>240</v>
      </c>
      <c r="H274" s="1" t="s">
        <v>836</v>
      </c>
      <c r="I274" s="8">
        <f t="shared" si="9"/>
        <v>539.83557351010381</v>
      </c>
      <c r="J274" s="8">
        <f t="shared" si="8"/>
        <v>129560.53764242491</v>
      </c>
      <c r="K274" s="1" t="s">
        <v>147</v>
      </c>
      <c r="L274" s="1">
        <v>717</v>
      </c>
      <c r="M274" s="1" t="s">
        <v>16</v>
      </c>
    </row>
    <row r="275" spans="1:13" x14ac:dyDescent="0.3">
      <c r="A275" s="1" t="s">
        <v>837</v>
      </c>
      <c r="B275" s="1" t="s">
        <v>330</v>
      </c>
      <c r="C275" s="1">
        <v>58</v>
      </c>
      <c r="D275" s="1" t="s">
        <v>42</v>
      </c>
      <c r="E275" s="1">
        <v>1410000</v>
      </c>
      <c r="F275" s="7">
        <v>0.105</v>
      </c>
      <c r="G275" s="1">
        <v>120</v>
      </c>
      <c r="H275" s="1" t="s">
        <v>838</v>
      </c>
      <c r="I275" s="8">
        <f t="shared" si="9"/>
        <v>19025.834545352125</v>
      </c>
      <c r="J275" s="8">
        <f t="shared" si="8"/>
        <v>2283100.1454422548</v>
      </c>
      <c r="K275" s="1" t="s">
        <v>147</v>
      </c>
      <c r="L275" s="1">
        <v>647</v>
      </c>
      <c r="M275" s="1" t="s">
        <v>16</v>
      </c>
    </row>
    <row r="276" spans="1:13" x14ac:dyDescent="0.3">
      <c r="A276" s="1" t="s">
        <v>839</v>
      </c>
      <c r="B276" s="1" t="s">
        <v>840</v>
      </c>
      <c r="C276" s="1">
        <v>60</v>
      </c>
      <c r="D276" s="1" t="s">
        <v>27</v>
      </c>
      <c r="E276" s="1">
        <v>860000</v>
      </c>
      <c r="F276" s="7">
        <v>0.1</v>
      </c>
      <c r="G276" s="1">
        <v>180</v>
      </c>
      <c r="H276" s="1" t="s">
        <v>285</v>
      </c>
      <c r="I276" s="8">
        <f t="shared" si="9"/>
        <v>9241.6040122897975</v>
      </c>
      <c r="J276" s="8">
        <f t="shared" si="8"/>
        <v>1663488.7222121635</v>
      </c>
      <c r="K276" s="1" t="s">
        <v>94</v>
      </c>
      <c r="L276" s="1">
        <v>817</v>
      </c>
      <c r="M276" s="1" t="s">
        <v>16</v>
      </c>
    </row>
    <row r="277" spans="1:13" x14ac:dyDescent="0.3">
      <c r="A277" s="1" t="s">
        <v>841</v>
      </c>
      <c r="B277" s="1" t="s">
        <v>842</v>
      </c>
      <c r="C277" s="1">
        <v>40</v>
      </c>
      <c r="D277" s="1" t="s">
        <v>37</v>
      </c>
      <c r="E277" s="1">
        <v>2800000</v>
      </c>
      <c r="F277" s="7">
        <v>0.125</v>
      </c>
      <c r="G277" s="1">
        <v>240</v>
      </c>
      <c r="H277" s="1" t="s">
        <v>843</v>
      </c>
      <c r="I277" s="8">
        <f t="shared" si="9"/>
        <v>31811.935392002342</v>
      </c>
      <c r="J277" s="8">
        <f t="shared" si="8"/>
        <v>7634864.4940805621</v>
      </c>
      <c r="K277" s="1" t="s">
        <v>366</v>
      </c>
      <c r="L277" s="1">
        <v>786</v>
      </c>
      <c r="M277" s="1" t="s">
        <v>16</v>
      </c>
    </row>
    <row r="278" spans="1:13" x14ac:dyDescent="0.3">
      <c r="A278" s="1" t="s">
        <v>844</v>
      </c>
      <c r="B278" s="1" t="s">
        <v>845</v>
      </c>
      <c r="C278" s="1">
        <v>55</v>
      </c>
      <c r="D278" s="1" t="s">
        <v>18</v>
      </c>
      <c r="E278" s="1">
        <v>1320000</v>
      </c>
      <c r="F278" s="7">
        <v>0.125</v>
      </c>
      <c r="G278" s="1">
        <v>36</v>
      </c>
      <c r="H278" s="1" t="s">
        <v>846</v>
      </c>
      <c r="I278" s="8">
        <f t="shared" si="9"/>
        <v>44158.785761265812</v>
      </c>
      <c r="J278" s="8">
        <f t="shared" si="8"/>
        <v>1589716.2874055691</v>
      </c>
      <c r="K278" s="1" t="s">
        <v>151</v>
      </c>
      <c r="L278" s="1">
        <v>858</v>
      </c>
      <c r="M278" s="1" t="s">
        <v>16</v>
      </c>
    </row>
    <row r="279" spans="1:13" x14ac:dyDescent="0.3">
      <c r="A279" s="1" t="s">
        <v>847</v>
      </c>
      <c r="B279" s="1" t="s">
        <v>848</v>
      </c>
      <c r="C279" s="1">
        <v>45</v>
      </c>
      <c r="D279" s="1" t="s">
        <v>32</v>
      </c>
      <c r="E279" s="1">
        <v>200000</v>
      </c>
      <c r="F279" s="7">
        <v>0.125</v>
      </c>
      <c r="G279" s="1">
        <v>36</v>
      </c>
      <c r="H279" s="1" t="s">
        <v>849</v>
      </c>
      <c r="I279" s="8">
        <f t="shared" si="9"/>
        <v>6690.7251153433044</v>
      </c>
      <c r="J279" s="8">
        <f t="shared" si="8"/>
        <v>240866.10415235895</v>
      </c>
      <c r="K279" s="1" t="s">
        <v>29</v>
      </c>
      <c r="L279" s="1">
        <v>722</v>
      </c>
      <c r="M279" s="1" t="s">
        <v>20</v>
      </c>
    </row>
    <row r="280" spans="1:13" x14ac:dyDescent="0.3">
      <c r="A280" s="1" t="s">
        <v>850</v>
      </c>
      <c r="B280" s="1" t="s">
        <v>851</v>
      </c>
      <c r="C280" s="1">
        <v>55</v>
      </c>
      <c r="D280" s="1" t="s">
        <v>32</v>
      </c>
      <c r="E280" s="1">
        <v>60000</v>
      </c>
      <c r="F280" s="7">
        <v>0.08</v>
      </c>
      <c r="G280" s="1">
        <v>36</v>
      </c>
      <c r="H280" s="1" t="s">
        <v>852</v>
      </c>
      <c r="I280" s="8">
        <f t="shared" si="9"/>
        <v>1880.181927685851</v>
      </c>
      <c r="J280" s="8">
        <f t="shared" si="8"/>
        <v>67686.549396690636</v>
      </c>
      <c r="K280" s="1" t="s">
        <v>151</v>
      </c>
      <c r="L280" s="1">
        <v>739</v>
      </c>
      <c r="M280" s="1" t="s">
        <v>20</v>
      </c>
    </row>
    <row r="281" spans="1:13" x14ac:dyDescent="0.3">
      <c r="A281" s="1" t="s">
        <v>853</v>
      </c>
      <c r="B281" s="1" t="s">
        <v>854</v>
      </c>
      <c r="C281" s="1">
        <v>45</v>
      </c>
      <c r="D281" s="1" t="s">
        <v>23</v>
      </c>
      <c r="E281" s="1">
        <v>9430000</v>
      </c>
      <c r="F281" s="7">
        <v>0.12</v>
      </c>
      <c r="G281" s="1">
        <v>24</v>
      </c>
      <c r="H281" s="1" t="s">
        <v>855</v>
      </c>
      <c r="I281" s="8">
        <f t="shared" si="9"/>
        <v>443902.84306538611</v>
      </c>
      <c r="J281" s="8">
        <f t="shared" si="8"/>
        <v>10653668.233569266</v>
      </c>
      <c r="K281" s="1" t="s">
        <v>34</v>
      </c>
      <c r="L281" s="1">
        <v>671</v>
      </c>
      <c r="M281" s="1" t="s">
        <v>16</v>
      </c>
    </row>
    <row r="282" spans="1:13" x14ac:dyDescent="0.3">
      <c r="A282" s="1" t="s">
        <v>856</v>
      </c>
      <c r="B282" s="1" t="s">
        <v>857</v>
      </c>
      <c r="C282" s="1">
        <v>49</v>
      </c>
      <c r="D282" s="1" t="s">
        <v>15</v>
      </c>
      <c r="E282" s="1">
        <v>1910000</v>
      </c>
      <c r="F282" s="7">
        <v>0.12</v>
      </c>
      <c r="G282" s="1">
        <v>120</v>
      </c>
      <c r="H282" s="1" t="s">
        <v>858</v>
      </c>
      <c r="I282" s="8">
        <f t="shared" si="9"/>
        <v>27402.951144894185</v>
      </c>
      <c r="J282" s="8">
        <f t="shared" si="8"/>
        <v>3288354.1373873022</v>
      </c>
      <c r="K282" s="1" t="s">
        <v>191</v>
      </c>
      <c r="L282" s="1">
        <v>595</v>
      </c>
      <c r="M282" s="1" t="s">
        <v>16</v>
      </c>
    </row>
    <row r="283" spans="1:13" x14ac:dyDescent="0.3">
      <c r="A283" s="1" t="s">
        <v>859</v>
      </c>
      <c r="B283" s="1" t="s">
        <v>860</v>
      </c>
      <c r="C283" s="1">
        <v>38</v>
      </c>
      <c r="D283" s="1" t="s">
        <v>23</v>
      </c>
      <c r="E283" s="1">
        <v>8220000</v>
      </c>
      <c r="F283" s="7">
        <v>9.5000000000000001E-2</v>
      </c>
      <c r="G283" s="1">
        <v>84</v>
      </c>
      <c r="H283" s="1" t="s">
        <v>861</v>
      </c>
      <c r="I283" s="8">
        <f t="shared" si="9"/>
        <v>134347.529420273</v>
      </c>
      <c r="J283" s="8">
        <f t="shared" si="8"/>
        <v>11285192.471302932</v>
      </c>
      <c r="K283" s="1" t="s">
        <v>68</v>
      </c>
      <c r="L283" s="1">
        <v>613</v>
      </c>
      <c r="M283" s="1" t="s">
        <v>20</v>
      </c>
    </row>
    <row r="284" spans="1:13" x14ac:dyDescent="0.3">
      <c r="A284" s="1" t="s">
        <v>862</v>
      </c>
      <c r="B284" s="1" t="s">
        <v>863</v>
      </c>
      <c r="C284" s="1">
        <v>38</v>
      </c>
      <c r="D284" s="1" t="s">
        <v>18</v>
      </c>
      <c r="E284" s="1">
        <v>1890000</v>
      </c>
      <c r="F284" s="7">
        <v>0.08</v>
      </c>
      <c r="G284" s="1">
        <v>240</v>
      </c>
      <c r="H284" s="1" t="s">
        <v>864</v>
      </c>
      <c r="I284" s="8">
        <f t="shared" si="9"/>
        <v>15808.717303976449</v>
      </c>
      <c r="J284" s="8">
        <f t="shared" si="8"/>
        <v>3794092.1529543479</v>
      </c>
      <c r="K284" s="1" t="s">
        <v>52</v>
      </c>
      <c r="L284" s="1">
        <v>679</v>
      </c>
      <c r="M284" s="1" t="s">
        <v>20</v>
      </c>
    </row>
    <row r="285" spans="1:13" x14ac:dyDescent="0.3">
      <c r="A285" s="1" t="s">
        <v>865</v>
      </c>
      <c r="B285" s="1" t="s">
        <v>866</v>
      </c>
      <c r="C285" s="1">
        <v>22</v>
      </c>
      <c r="D285" s="1" t="s">
        <v>37</v>
      </c>
      <c r="E285" s="1">
        <v>2000000</v>
      </c>
      <c r="F285" s="7">
        <v>7.4999999999999997E-2</v>
      </c>
      <c r="G285" s="1">
        <v>120</v>
      </c>
      <c r="H285" s="1" t="s">
        <v>867</v>
      </c>
      <c r="I285" s="8">
        <f t="shared" si="9"/>
        <v>23740.353827170846</v>
      </c>
      <c r="J285" s="8">
        <f t="shared" si="8"/>
        <v>2848842.4592605014</v>
      </c>
      <c r="K285" s="1" t="s">
        <v>222</v>
      </c>
      <c r="L285" s="1">
        <v>859</v>
      </c>
      <c r="M285" s="1" t="s">
        <v>16</v>
      </c>
    </row>
    <row r="286" spans="1:13" x14ac:dyDescent="0.3">
      <c r="A286" s="1" t="s">
        <v>868</v>
      </c>
      <c r="B286" s="1" t="s">
        <v>869</v>
      </c>
      <c r="C286" s="1">
        <v>55</v>
      </c>
      <c r="D286" s="1" t="s">
        <v>32</v>
      </c>
      <c r="E286" s="1">
        <v>110000</v>
      </c>
      <c r="F286" s="7">
        <v>0.08</v>
      </c>
      <c r="G286" s="1">
        <v>120</v>
      </c>
      <c r="H286" s="1" t="s">
        <v>870</v>
      </c>
      <c r="I286" s="8">
        <f t="shared" si="9"/>
        <v>1334.6035379089262</v>
      </c>
      <c r="J286" s="8">
        <f t="shared" si="8"/>
        <v>160152.42454907115</v>
      </c>
      <c r="K286" s="1" t="s">
        <v>48</v>
      </c>
      <c r="L286" s="1">
        <v>742</v>
      </c>
      <c r="M286" s="1" t="s">
        <v>20</v>
      </c>
    </row>
    <row r="287" spans="1:13" x14ac:dyDescent="0.3">
      <c r="A287" s="1" t="s">
        <v>871</v>
      </c>
      <c r="B287" s="1" t="s">
        <v>872</v>
      </c>
      <c r="C287" s="1">
        <v>36</v>
      </c>
      <c r="D287" s="1" t="s">
        <v>18</v>
      </c>
      <c r="E287" s="1">
        <v>400000</v>
      </c>
      <c r="F287" s="7">
        <v>0.09</v>
      </c>
      <c r="G287" s="1">
        <v>48</v>
      </c>
      <c r="H287" s="1" t="s">
        <v>873</v>
      </c>
      <c r="I287" s="8">
        <f t="shared" si="9"/>
        <v>9954.0169495736845</v>
      </c>
      <c r="J287" s="8">
        <f t="shared" si="8"/>
        <v>477792.81357953686</v>
      </c>
      <c r="K287" s="1" t="s">
        <v>48</v>
      </c>
      <c r="L287" s="1">
        <v>856</v>
      </c>
      <c r="M287" s="1" t="s">
        <v>20</v>
      </c>
    </row>
    <row r="288" spans="1:13" x14ac:dyDescent="0.3">
      <c r="A288" s="1" t="s">
        <v>874</v>
      </c>
      <c r="B288" s="1" t="s">
        <v>875</v>
      </c>
      <c r="C288" s="1">
        <v>61</v>
      </c>
      <c r="D288" s="1" t="s">
        <v>42</v>
      </c>
      <c r="E288" s="1">
        <v>1400000</v>
      </c>
      <c r="F288" s="7">
        <v>0.125</v>
      </c>
      <c r="G288" s="1">
        <v>60</v>
      </c>
      <c r="H288" s="1" t="s">
        <v>876</v>
      </c>
      <c r="I288" s="8">
        <f t="shared" si="9"/>
        <v>31497.113515582176</v>
      </c>
      <c r="J288" s="8">
        <f t="shared" si="8"/>
        <v>1889826.8109349306</v>
      </c>
      <c r="K288" s="1" t="s">
        <v>104</v>
      </c>
      <c r="L288" s="1">
        <v>730</v>
      </c>
      <c r="M288" s="1" t="s">
        <v>20</v>
      </c>
    </row>
    <row r="289" spans="1:13" x14ac:dyDescent="0.3">
      <c r="A289" s="1" t="s">
        <v>877</v>
      </c>
      <c r="B289" s="1" t="s">
        <v>878</v>
      </c>
      <c r="C289" s="1">
        <v>56</v>
      </c>
      <c r="D289" s="1" t="s">
        <v>15</v>
      </c>
      <c r="E289" s="1">
        <v>510000</v>
      </c>
      <c r="F289" s="7">
        <v>0.11</v>
      </c>
      <c r="G289" s="1">
        <v>120</v>
      </c>
      <c r="H289" s="1" t="s">
        <v>879</v>
      </c>
      <c r="I289" s="8">
        <f t="shared" si="9"/>
        <v>7025.2505758880479</v>
      </c>
      <c r="J289" s="8">
        <f t="shared" si="8"/>
        <v>843030.06910656579</v>
      </c>
      <c r="K289" s="1" t="s">
        <v>68</v>
      </c>
      <c r="L289" s="1">
        <v>841</v>
      </c>
      <c r="M289" s="1" t="s">
        <v>16</v>
      </c>
    </row>
    <row r="290" spans="1:13" x14ac:dyDescent="0.3">
      <c r="A290" s="1" t="s">
        <v>880</v>
      </c>
      <c r="B290" s="1" t="s">
        <v>881</v>
      </c>
      <c r="C290" s="1">
        <v>53</v>
      </c>
      <c r="D290" s="1" t="s">
        <v>23</v>
      </c>
      <c r="E290" s="1">
        <v>5040000</v>
      </c>
      <c r="F290" s="7">
        <v>8.5000000000000006E-2</v>
      </c>
      <c r="G290" s="1">
        <v>84</v>
      </c>
      <c r="H290" s="1" t="s">
        <v>882</v>
      </c>
      <c r="I290" s="8">
        <f t="shared" si="9"/>
        <v>79815.886603189108</v>
      </c>
      <c r="J290" s="8">
        <f t="shared" si="8"/>
        <v>6704534.4746678853</v>
      </c>
      <c r="K290" s="1" t="s">
        <v>52</v>
      </c>
      <c r="L290" s="1">
        <v>831</v>
      </c>
      <c r="M290" s="1" t="s">
        <v>16</v>
      </c>
    </row>
    <row r="291" spans="1:13" x14ac:dyDescent="0.3">
      <c r="A291" s="1" t="s">
        <v>883</v>
      </c>
      <c r="B291" s="1" t="s">
        <v>884</v>
      </c>
      <c r="C291" s="1">
        <v>24</v>
      </c>
      <c r="D291" s="1" t="s">
        <v>15</v>
      </c>
      <c r="E291" s="1">
        <v>600000</v>
      </c>
      <c r="F291" s="7">
        <v>0.08</v>
      </c>
      <c r="G291" s="1">
        <v>60</v>
      </c>
      <c r="H291" s="1" t="s">
        <v>885</v>
      </c>
      <c r="I291" s="8">
        <f t="shared" si="9"/>
        <v>12165.836573048209</v>
      </c>
      <c r="J291" s="8">
        <f t="shared" si="8"/>
        <v>729950.19438289257</v>
      </c>
      <c r="K291" s="1" t="s">
        <v>143</v>
      </c>
      <c r="L291" s="1">
        <v>578</v>
      </c>
      <c r="M291" s="1" t="s">
        <v>20</v>
      </c>
    </row>
    <row r="292" spans="1:13" x14ac:dyDescent="0.3">
      <c r="A292" s="1" t="s">
        <v>886</v>
      </c>
      <c r="B292" s="1" t="s">
        <v>887</v>
      </c>
      <c r="C292" s="1">
        <v>53</v>
      </c>
      <c r="D292" s="1" t="s">
        <v>23</v>
      </c>
      <c r="E292" s="1">
        <v>9830000</v>
      </c>
      <c r="F292" s="7">
        <v>0.1</v>
      </c>
      <c r="G292" s="1">
        <v>180</v>
      </c>
      <c r="H292" s="1" t="s">
        <v>888</v>
      </c>
      <c r="I292" s="8">
        <f t="shared" si="9"/>
        <v>105633.68307070782</v>
      </c>
      <c r="J292" s="8">
        <f t="shared" si="8"/>
        <v>19014062.952727407</v>
      </c>
      <c r="K292" s="1" t="s">
        <v>212</v>
      </c>
      <c r="L292" s="1">
        <v>698</v>
      </c>
      <c r="M292" s="1" t="s">
        <v>20</v>
      </c>
    </row>
    <row r="293" spans="1:13" x14ac:dyDescent="0.3">
      <c r="A293" s="1" t="s">
        <v>889</v>
      </c>
      <c r="B293" s="1" t="s">
        <v>890</v>
      </c>
      <c r="C293" s="1">
        <v>34</v>
      </c>
      <c r="D293" s="1" t="s">
        <v>18</v>
      </c>
      <c r="E293" s="1">
        <v>730000</v>
      </c>
      <c r="F293" s="7">
        <v>0.08</v>
      </c>
      <c r="G293" s="1">
        <v>36</v>
      </c>
      <c r="H293" s="1" t="s">
        <v>891</v>
      </c>
      <c r="I293" s="8">
        <f t="shared" si="9"/>
        <v>22875.546786844519</v>
      </c>
      <c r="J293" s="8">
        <f t="shared" si="8"/>
        <v>823519.68432640273</v>
      </c>
      <c r="K293" s="1" t="s">
        <v>25</v>
      </c>
      <c r="L293" s="1">
        <v>816</v>
      </c>
      <c r="M293" s="1" t="s">
        <v>312</v>
      </c>
    </row>
    <row r="294" spans="1:13" x14ac:dyDescent="0.3">
      <c r="A294" s="1" t="s">
        <v>892</v>
      </c>
      <c r="B294" s="1" t="s">
        <v>893</v>
      </c>
      <c r="C294" s="1">
        <v>41</v>
      </c>
      <c r="D294" s="1" t="s">
        <v>32</v>
      </c>
      <c r="E294" s="1">
        <v>480000</v>
      </c>
      <c r="F294" s="7">
        <v>7.4999999999999997E-2</v>
      </c>
      <c r="G294" s="1">
        <v>36</v>
      </c>
      <c r="H294" s="1" t="s">
        <v>894</v>
      </c>
      <c r="I294" s="8">
        <f t="shared" si="9"/>
        <v>14930.984717115089</v>
      </c>
      <c r="J294" s="8">
        <f t="shared" si="8"/>
        <v>537515.44981614314</v>
      </c>
      <c r="K294" s="1" t="s">
        <v>201</v>
      </c>
      <c r="L294" s="1">
        <v>845</v>
      </c>
      <c r="M294" s="1" t="s">
        <v>16</v>
      </c>
    </row>
    <row r="295" spans="1:13" x14ac:dyDescent="0.3">
      <c r="A295" s="1" t="s">
        <v>895</v>
      </c>
      <c r="B295" s="1" t="s">
        <v>896</v>
      </c>
      <c r="C295" s="1">
        <v>40</v>
      </c>
      <c r="D295" s="1" t="s">
        <v>27</v>
      </c>
      <c r="E295" s="1">
        <v>470000</v>
      </c>
      <c r="F295" s="7">
        <v>0.11</v>
      </c>
      <c r="G295" s="1">
        <v>120</v>
      </c>
      <c r="H295" s="1" t="s">
        <v>897</v>
      </c>
      <c r="I295" s="8">
        <f t="shared" si="9"/>
        <v>6474.2505307203573</v>
      </c>
      <c r="J295" s="8">
        <f t="shared" si="8"/>
        <v>776910.06368644291</v>
      </c>
      <c r="K295" s="1" t="s">
        <v>191</v>
      </c>
      <c r="L295" s="1">
        <v>560</v>
      </c>
      <c r="M295" s="1" t="s">
        <v>16</v>
      </c>
    </row>
    <row r="296" spans="1:13" x14ac:dyDescent="0.3">
      <c r="A296" s="1" t="s">
        <v>898</v>
      </c>
      <c r="B296" s="1" t="s">
        <v>581</v>
      </c>
      <c r="C296" s="1">
        <v>28</v>
      </c>
      <c r="D296" s="1" t="s">
        <v>27</v>
      </c>
      <c r="E296" s="1">
        <v>380000</v>
      </c>
      <c r="F296" s="7">
        <v>7.4999999999999997E-2</v>
      </c>
      <c r="G296" s="1">
        <v>240</v>
      </c>
      <c r="H296" s="1" t="s">
        <v>899</v>
      </c>
      <c r="I296" s="8">
        <f t="shared" si="9"/>
        <v>3061.2541354968675</v>
      </c>
      <c r="J296" s="8">
        <f t="shared" si="8"/>
        <v>734700.99251924816</v>
      </c>
      <c r="K296" s="1" t="s">
        <v>39</v>
      </c>
      <c r="L296" s="1">
        <v>713</v>
      </c>
      <c r="M296" s="1" t="s">
        <v>20</v>
      </c>
    </row>
    <row r="297" spans="1:13" x14ac:dyDescent="0.3">
      <c r="A297" s="1" t="s">
        <v>900</v>
      </c>
      <c r="B297" s="1" t="s">
        <v>901</v>
      </c>
      <c r="C297" s="1">
        <v>27</v>
      </c>
      <c r="D297" s="1" t="s">
        <v>42</v>
      </c>
      <c r="E297" s="1">
        <v>1130000</v>
      </c>
      <c r="F297" s="7">
        <v>8.5000000000000006E-2</v>
      </c>
      <c r="G297" s="1">
        <v>60</v>
      </c>
      <c r="H297" s="1" t="s">
        <v>902</v>
      </c>
      <c r="I297" s="8">
        <f t="shared" si="9"/>
        <v>23183.680399567915</v>
      </c>
      <c r="J297" s="8">
        <f t="shared" si="8"/>
        <v>1391020.8239740748</v>
      </c>
      <c r="K297" s="1" t="s">
        <v>201</v>
      </c>
      <c r="L297" s="1">
        <v>662</v>
      </c>
      <c r="M297" s="1" t="s">
        <v>20</v>
      </c>
    </row>
    <row r="298" spans="1:13" x14ac:dyDescent="0.3">
      <c r="A298" s="1" t="s">
        <v>903</v>
      </c>
      <c r="B298" s="1" t="s">
        <v>904</v>
      </c>
      <c r="C298" s="1">
        <v>23</v>
      </c>
      <c r="D298" s="1" t="s">
        <v>37</v>
      </c>
      <c r="E298" s="1">
        <v>1160000</v>
      </c>
      <c r="F298" s="7">
        <v>0.12</v>
      </c>
      <c r="G298" s="1">
        <v>240</v>
      </c>
      <c r="H298" s="1" t="s">
        <v>905</v>
      </c>
      <c r="I298" s="8">
        <f t="shared" si="9"/>
        <v>12772.599149407475</v>
      </c>
      <c r="J298" s="8">
        <f t="shared" si="8"/>
        <v>3065423.7958577941</v>
      </c>
      <c r="K298" s="1" t="s">
        <v>119</v>
      </c>
      <c r="L298" s="1">
        <v>736</v>
      </c>
      <c r="M298" s="1" t="s">
        <v>20</v>
      </c>
    </row>
    <row r="299" spans="1:13" x14ac:dyDescent="0.3">
      <c r="A299" s="1" t="s">
        <v>906</v>
      </c>
      <c r="B299" s="1" t="s">
        <v>626</v>
      </c>
      <c r="C299" s="1">
        <v>37</v>
      </c>
      <c r="D299" s="1" t="s">
        <v>15</v>
      </c>
      <c r="E299" s="1">
        <v>980000</v>
      </c>
      <c r="F299" s="7">
        <v>0.105</v>
      </c>
      <c r="G299" s="1">
        <v>84</v>
      </c>
      <c r="H299" s="1" t="s">
        <v>907</v>
      </c>
      <c r="I299" s="8">
        <f t="shared" si="9"/>
        <v>16523.459685744267</v>
      </c>
      <c r="J299" s="8">
        <f t="shared" si="8"/>
        <v>1387970.6136025183</v>
      </c>
      <c r="K299" s="1" t="s">
        <v>187</v>
      </c>
      <c r="L299" s="1">
        <v>844</v>
      </c>
      <c r="M299" s="1" t="s">
        <v>16</v>
      </c>
    </row>
    <row r="300" spans="1:13" x14ac:dyDescent="0.3">
      <c r="A300" s="1" t="s">
        <v>908</v>
      </c>
      <c r="B300" s="1" t="s">
        <v>444</v>
      </c>
      <c r="C300" s="1">
        <v>53</v>
      </c>
      <c r="D300" s="1" t="s">
        <v>37</v>
      </c>
      <c r="E300" s="1">
        <v>3910000</v>
      </c>
      <c r="F300" s="7">
        <v>0.13</v>
      </c>
      <c r="G300" s="1">
        <v>240</v>
      </c>
      <c r="H300" s="1" t="s">
        <v>909</v>
      </c>
      <c r="I300" s="8">
        <f t="shared" si="9"/>
        <v>45808.610310981669</v>
      </c>
      <c r="J300" s="8">
        <f t="shared" si="8"/>
        <v>10994066.474635601</v>
      </c>
      <c r="K300" s="1" t="s">
        <v>119</v>
      </c>
      <c r="L300" s="1">
        <v>781</v>
      </c>
      <c r="M300" s="1" t="s">
        <v>20</v>
      </c>
    </row>
    <row r="301" spans="1:13" x14ac:dyDescent="0.3">
      <c r="A301" s="1" t="s">
        <v>910</v>
      </c>
      <c r="B301" s="1" t="s">
        <v>911</v>
      </c>
      <c r="C301" s="1">
        <v>32</v>
      </c>
      <c r="D301" s="1" t="s">
        <v>23</v>
      </c>
      <c r="E301" s="1">
        <v>8700000</v>
      </c>
      <c r="F301" s="7">
        <v>0.105</v>
      </c>
      <c r="G301" s="1">
        <v>48</v>
      </c>
      <c r="H301" s="1" t="s">
        <v>912</v>
      </c>
      <c r="I301" s="8">
        <f t="shared" si="9"/>
        <v>222749.4038415651</v>
      </c>
      <c r="J301" s="8">
        <f t="shared" si="8"/>
        <v>10691971.384395124</v>
      </c>
      <c r="K301" s="1" t="s">
        <v>159</v>
      </c>
      <c r="L301" s="1">
        <v>776</v>
      </c>
      <c r="M301" s="1" t="s">
        <v>20</v>
      </c>
    </row>
    <row r="302" spans="1:13" x14ac:dyDescent="0.3">
      <c r="A302" s="1" t="s">
        <v>913</v>
      </c>
      <c r="B302" s="1" t="s">
        <v>914</v>
      </c>
      <c r="C302" s="1">
        <v>42</v>
      </c>
      <c r="D302" s="1" t="s">
        <v>32</v>
      </c>
      <c r="E302" s="1">
        <v>350000</v>
      </c>
      <c r="F302" s="7">
        <v>0.11</v>
      </c>
      <c r="G302" s="1">
        <v>48</v>
      </c>
      <c r="H302" s="1" t="s">
        <v>915</v>
      </c>
      <c r="I302" s="8">
        <f t="shared" si="9"/>
        <v>9045.9329140084847</v>
      </c>
      <c r="J302" s="8">
        <f t="shared" si="8"/>
        <v>434204.77987240726</v>
      </c>
      <c r="K302" s="1" t="s">
        <v>29</v>
      </c>
      <c r="L302" s="1">
        <v>859</v>
      </c>
      <c r="M302" s="1" t="s">
        <v>16</v>
      </c>
    </row>
    <row r="303" spans="1:13" x14ac:dyDescent="0.3">
      <c r="A303" s="1" t="s">
        <v>916</v>
      </c>
      <c r="B303" s="1" t="s">
        <v>917</v>
      </c>
      <c r="C303" s="1">
        <v>42</v>
      </c>
      <c r="D303" s="1" t="s">
        <v>42</v>
      </c>
      <c r="E303" s="1">
        <v>810000</v>
      </c>
      <c r="F303" s="7">
        <v>7.4999999999999997E-2</v>
      </c>
      <c r="G303" s="1">
        <v>48</v>
      </c>
      <c r="H303" s="1" t="s">
        <v>918</v>
      </c>
      <c r="I303" s="8">
        <f t="shared" si="9"/>
        <v>19584.910569562297</v>
      </c>
      <c r="J303" s="8">
        <f t="shared" si="8"/>
        <v>940075.70733899018</v>
      </c>
      <c r="K303" s="1" t="s">
        <v>249</v>
      </c>
      <c r="L303" s="1">
        <v>647</v>
      </c>
      <c r="M303" s="1" t="s">
        <v>20</v>
      </c>
    </row>
    <row r="304" spans="1:13" x14ac:dyDescent="0.3">
      <c r="A304" s="1" t="s">
        <v>919</v>
      </c>
      <c r="B304" s="1" t="s">
        <v>920</v>
      </c>
      <c r="C304" s="1">
        <v>50</v>
      </c>
      <c r="D304" s="1" t="s">
        <v>27</v>
      </c>
      <c r="E304" s="1">
        <v>830000</v>
      </c>
      <c r="F304" s="7">
        <v>0.105</v>
      </c>
      <c r="G304" s="1">
        <v>60</v>
      </c>
      <c r="H304" s="1" t="s">
        <v>921</v>
      </c>
      <c r="I304" s="8">
        <f t="shared" si="9"/>
        <v>17839.93731383749</v>
      </c>
      <c r="J304" s="8">
        <f t="shared" si="8"/>
        <v>1070396.2388302495</v>
      </c>
      <c r="K304" s="1" t="s">
        <v>34</v>
      </c>
      <c r="L304" s="1">
        <v>604</v>
      </c>
      <c r="M304" s="1" t="s">
        <v>16</v>
      </c>
    </row>
    <row r="305" spans="1:13" x14ac:dyDescent="0.3">
      <c r="A305" s="1" t="s">
        <v>922</v>
      </c>
      <c r="B305" s="1" t="s">
        <v>923</v>
      </c>
      <c r="C305" s="1">
        <v>58</v>
      </c>
      <c r="D305" s="1" t="s">
        <v>27</v>
      </c>
      <c r="E305" s="1">
        <v>340000</v>
      </c>
      <c r="F305" s="7">
        <v>0.125</v>
      </c>
      <c r="G305" s="1">
        <v>84</v>
      </c>
      <c r="H305" s="1" t="s">
        <v>924</v>
      </c>
      <c r="I305" s="8">
        <f t="shared" si="9"/>
        <v>6093.2210649471572</v>
      </c>
      <c r="J305" s="8">
        <f t="shared" si="8"/>
        <v>511830.56945556123</v>
      </c>
      <c r="K305" s="1" t="s">
        <v>222</v>
      </c>
      <c r="L305" s="1">
        <v>660</v>
      </c>
      <c r="M305" s="1" t="s">
        <v>60</v>
      </c>
    </row>
    <row r="306" spans="1:13" x14ac:dyDescent="0.3">
      <c r="A306" s="1" t="s">
        <v>925</v>
      </c>
      <c r="B306" s="1" t="s">
        <v>734</v>
      </c>
      <c r="C306" s="1">
        <v>58</v>
      </c>
      <c r="D306" s="1" t="s">
        <v>42</v>
      </c>
      <c r="E306" s="1">
        <v>930000</v>
      </c>
      <c r="F306" s="7">
        <v>0.105</v>
      </c>
      <c r="G306" s="1">
        <v>36</v>
      </c>
      <c r="H306" s="1" t="s">
        <v>926</v>
      </c>
      <c r="I306" s="8">
        <f t="shared" si="9"/>
        <v>30227.272459358846</v>
      </c>
      <c r="J306" s="8">
        <f t="shared" si="8"/>
        <v>1088181.8085369184</v>
      </c>
      <c r="K306" s="1" t="s">
        <v>104</v>
      </c>
      <c r="L306" s="1">
        <v>701</v>
      </c>
      <c r="M306" s="1" t="s">
        <v>20</v>
      </c>
    </row>
    <row r="307" spans="1:13" x14ac:dyDescent="0.3">
      <c r="A307" s="1" t="s">
        <v>927</v>
      </c>
      <c r="B307" s="1" t="s">
        <v>345</v>
      </c>
      <c r="C307" s="1">
        <v>28</v>
      </c>
      <c r="D307" s="1" t="s">
        <v>18</v>
      </c>
      <c r="E307" s="1">
        <v>1630000</v>
      </c>
      <c r="F307" s="7">
        <v>8.5000000000000006E-2</v>
      </c>
      <c r="G307" s="1">
        <v>36</v>
      </c>
      <c r="H307" s="1" t="s">
        <v>340</v>
      </c>
      <c r="I307" s="8">
        <f t="shared" si="9"/>
        <v>51455.086000398558</v>
      </c>
      <c r="J307" s="8">
        <f t="shared" si="8"/>
        <v>1852383.0960143481</v>
      </c>
      <c r="K307" s="1" t="s">
        <v>75</v>
      </c>
      <c r="L307" s="1">
        <v>795</v>
      </c>
      <c r="M307" s="1" t="s">
        <v>16</v>
      </c>
    </row>
    <row r="308" spans="1:13" x14ac:dyDescent="0.3">
      <c r="A308" s="1" t="s">
        <v>928</v>
      </c>
      <c r="B308" s="1" t="s">
        <v>321</v>
      </c>
      <c r="C308" s="1">
        <v>47</v>
      </c>
      <c r="D308" s="1" t="s">
        <v>15</v>
      </c>
      <c r="E308" s="1">
        <v>1940000</v>
      </c>
      <c r="F308" s="7">
        <v>0.1</v>
      </c>
      <c r="G308" s="1">
        <v>240</v>
      </c>
      <c r="H308" s="1" t="s">
        <v>929</v>
      </c>
      <c r="I308" s="8">
        <f t="shared" si="9"/>
        <v>18721.419914435752</v>
      </c>
      <c r="J308" s="8">
        <f t="shared" si="8"/>
        <v>4493140.7794645801</v>
      </c>
      <c r="K308" s="1" t="s">
        <v>64</v>
      </c>
      <c r="L308" s="1">
        <v>618</v>
      </c>
      <c r="M308" s="1" t="s">
        <v>20</v>
      </c>
    </row>
    <row r="309" spans="1:13" x14ac:dyDescent="0.3">
      <c r="A309" s="1" t="s">
        <v>930</v>
      </c>
      <c r="B309" s="1" t="s">
        <v>931</v>
      </c>
      <c r="C309" s="1">
        <v>47</v>
      </c>
      <c r="D309" s="1" t="s">
        <v>37</v>
      </c>
      <c r="E309" s="1">
        <v>1180000</v>
      </c>
      <c r="F309" s="7">
        <v>0.09</v>
      </c>
      <c r="G309" s="1">
        <v>240</v>
      </c>
      <c r="H309" s="1" t="s">
        <v>932</v>
      </c>
      <c r="I309" s="8">
        <f t="shared" si="9"/>
        <v>10616.766279032043</v>
      </c>
      <c r="J309" s="8">
        <f t="shared" si="8"/>
        <v>2548023.9069676902</v>
      </c>
      <c r="K309" s="1" t="s">
        <v>155</v>
      </c>
      <c r="L309" s="1">
        <v>861</v>
      </c>
      <c r="M309" s="1" t="s">
        <v>16</v>
      </c>
    </row>
    <row r="310" spans="1:13" x14ac:dyDescent="0.3">
      <c r="A310" s="1" t="s">
        <v>933</v>
      </c>
      <c r="B310" s="1" t="s">
        <v>934</v>
      </c>
      <c r="C310" s="1">
        <v>54</v>
      </c>
      <c r="D310" s="1" t="s">
        <v>23</v>
      </c>
      <c r="E310" s="1">
        <v>1530000</v>
      </c>
      <c r="F310" s="7">
        <v>8.5000000000000006E-2</v>
      </c>
      <c r="G310" s="1">
        <v>84</v>
      </c>
      <c r="H310" s="1" t="s">
        <v>935</v>
      </c>
      <c r="I310" s="8">
        <f t="shared" si="9"/>
        <v>24229.822718825264</v>
      </c>
      <c r="J310" s="8">
        <f t="shared" si="8"/>
        <v>2035305.1083813221</v>
      </c>
      <c r="K310" s="1" t="s">
        <v>39</v>
      </c>
      <c r="L310" s="1">
        <v>838</v>
      </c>
      <c r="M310" s="1" t="s">
        <v>20</v>
      </c>
    </row>
    <row r="311" spans="1:13" x14ac:dyDescent="0.3">
      <c r="A311" s="1" t="s">
        <v>936</v>
      </c>
      <c r="B311" s="1" t="s">
        <v>937</v>
      </c>
      <c r="C311" s="1">
        <v>41</v>
      </c>
      <c r="D311" s="1" t="s">
        <v>37</v>
      </c>
      <c r="E311" s="1">
        <v>1280000</v>
      </c>
      <c r="F311" s="7">
        <v>9.5000000000000001E-2</v>
      </c>
      <c r="G311" s="1">
        <v>24</v>
      </c>
      <c r="H311" s="1" t="s">
        <v>938</v>
      </c>
      <c r="I311" s="8">
        <f t="shared" si="9"/>
        <v>58770.551025824403</v>
      </c>
      <c r="J311" s="8">
        <f t="shared" si="8"/>
        <v>1410493.2246197858</v>
      </c>
      <c r="K311" s="1" t="s">
        <v>25</v>
      </c>
      <c r="L311" s="1">
        <v>799</v>
      </c>
      <c r="M311" s="1" t="s">
        <v>20</v>
      </c>
    </row>
    <row r="312" spans="1:13" x14ac:dyDescent="0.3">
      <c r="A312" s="1" t="s">
        <v>939</v>
      </c>
      <c r="B312" s="1" t="s">
        <v>491</v>
      </c>
      <c r="C312" s="1">
        <v>50</v>
      </c>
      <c r="D312" s="1" t="s">
        <v>27</v>
      </c>
      <c r="E312" s="1">
        <v>520000</v>
      </c>
      <c r="F312" s="7">
        <v>9.5000000000000001E-2</v>
      </c>
      <c r="G312" s="1">
        <v>84</v>
      </c>
      <c r="H312" s="1" t="s">
        <v>940</v>
      </c>
      <c r="I312" s="8">
        <f t="shared" si="9"/>
        <v>8498.8704742751797</v>
      </c>
      <c r="J312" s="8">
        <f t="shared" si="8"/>
        <v>713905.11983911507</v>
      </c>
      <c r="K312" s="1" t="s">
        <v>316</v>
      </c>
      <c r="L312" s="1">
        <v>585</v>
      </c>
      <c r="M312" s="1" t="s">
        <v>16</v>
      </c>
    </row>
    <row r="313" spans="1:13" x14ac:dyDescent="0.3">
      <c r="A313" s="1" t="s">
        <v>941</v>
      </c>
      <c r="B313" s="1" t="s">
        <v>942</v>
      </c>
      <c r="C313" s="1">
        <v>53</v>
      </c>
      <c r="D313" s="1" t="s">
        <v>42</v>
      </c>
      <c r="E313" s="1">
        <v>1100000</v>
      </c>
      <c r="F313" s="7">
        <v>0.11</v>
      </c>
      <c r="G313" s="1">
        <v>240</v>
      </c>
      <c r="H313" s="1" t="s">
        <v>943</v>
      </c>
      <c r="I313" s="8">
        <f t="shared" si="9"/>
        <v>11354.072316136624</v>
      </c>
      <c r="J313" s="8">
        <f t="shared" si="8"/>
        <v>2724977.3558727899</v>
      </c>
      <c r="K313" s="1" t="s">
        <v>44</v>
      </c>
      <c r="L313" s="1">
        <v>788</v>
      </c>
      <c r="M313" s="1" t="s">
        <v>312</v>
      </c>
    </row>
    <row r="314" spans="1:13" x14ac:dyDescent="0.3">
      <c r="A314" s="1" t="s">
        <v>944</v>
      </c>
      <c r="B314" s="1" t="s">
        <v>829</v>
      </c>
      <c r="C314" s="1">
        <v>48</v>
      </c>
      <c r="D314" s="1" t="s">
        <v>27</v>
      </c>
      <c r="E314" s="1">
        <v>500000</v>
      </c>
      <c r="F314" s="7">
        <v>8.5000000000000006E-2</v>
      </c>
      <c r="G314" s="1">
        <v>180</v>
      </c>
      <c r="H314" s="1" t="s">
        <v>945</v>
      </c>
      <c r="I314" s="8">
        <f t="shared" si="9"/>
        <v>4923.6977896279659</v>
      </c>
      <c r="J314" s="8">
        <f t="shared" si="8"/>
        <v>886265.60213303391</v>
      </c>
      <c r="K314" s="1" t="s">
        <v>115</v>
      </c>
      <c r="L314" s="1">
        <v>697</v>
      </c>
      <c r="M314" s="1" t="s">
        <v>16</v>
      </c>
    </row>
    <row r="315" spans="1:13" x14ac:dyDescent="0.3">
      <c r="A315" s="1" t="s">
        <v>946</v>
      </c>
      <c r="B315" s="1" t="s">
        <v>947</v>
      </c>
      <c r="C315" s="1">
        <v>53</v>
      </c>
      <c r="D315" s="1" t="s">
        <v>32</v>
      </c>
      <c r="E315" s="1">
        <v>340000</v>
      </c>
      <c r="F315" s="7">
        <v>7.4999999999999997E-2</v>
      </c>
      <c r="G315" s="1">
        <v>120</v>
      </c>
      <c r="H315" s="1" t="s">
        <v>948</v>
      </c>
      <c r="I315" s="8">
        <f t="shared" si="9"/>
        <v>4035.8601506190435</v>
      </c>
      <c r="J315" s="8">
        <f t="shared" si="8"/>
        <v>484303.21807428519</v>
      </c>
      <c r="K315" s="1" t="s">
        <v>205</v>
      </c>
      <c r="L315" s="1">
        <v>776</v>
      </c>
      <c r="M315" s="1" t="s">
        <v>16</v>
      </c>
    </row>
    <row r="316" spans="1:13" x14ac:dyDescent="0.3">
      <c r="A316" s="1" t="s">
        <v>949</v>
      </c>
      <c r="B316" s="1" t="s">
        <v>950</v>
      </c>
      <c r="C316" s="1">
        <v>25</v>
      </c>
      <c r="D316" s="1" t="s">
        <v>27</v>
      </c>
      <c r="E316" s="1">
        <v>600000</v>
      </c>
      <c r="F316" s="7">
        <v>0.12</v>
      </c>
      <c r="G316" s="1">
        <v>240</v>
      </c>
      <c r="H316" s="1" t="s">
        <v>951</v>
      </c>
      <c r="I316" s="8">
        <f t="shared" si="9"/>
        <v>6606.5168014176597</v>
      </c>
      <c r="J316" s="8">
        <f t="shared" si="8"/>
        <v>1585564.0323402383</v>
      </c>
      <c r="K316" s="1" t="s">
        <v>52</v>
      </c>
      <c r="L316" s="1">
        <v>793</v>
      </c>
      <c r="M316" s="1" t="s">
        <v>20</v>
      </c>
    </row>
    <row r="317" spans="1:13" x14ac:dyDescent="0.3">
      <c r="A317" s="1" t="s">
        <v>952</v>
      </c>
      <c r="B317" s="1" t="s">
        <v>953</v>
      </c>
      <c r="C317" s="1">
        <v>39</v>
      </c>
      <c r="D317" s="1" t="s">
        <v>23</v>
      </c>
      <c r="E317" s="1">
        <v>1940000</v>
      </c>
      <c r="F317" s="7">
        <v>0.12</v>
      </c>
      <c r="G317" s="1">
        <v>60</v>
      </c>
      <c r="H317" s="1" t="s">
        <v>954</v>
      </c>
      <c r="I317" s="8">
        <f t="shared" si="9"/>
        <v>43154.228508709435</v>
      </c>
      <c r="J317" s="8">
        <f t="shared" si="8"/>
        <v>2589253.710522566</v>
      </c>
      <c r="K317" s="1" t="s">
        <v>201</v>
      </c>
      <c r="L317" s="1">
        <v>886</v>
      </c>
      <c r="M317" s="1" t="s">
        <v>20</v>
      </c>
    </row>
    <row r="318" spans="1:13" x14ac:dyDescent="0.3">
      <c r="A318" s="1" t="s">
        <v>955</v>
      </c>
      <c r="B318" s="1" t="s">
        <v>956</v>
      </c>
      <c r="C318" s="1">
        <v>24</v>
      </c>
      <c r="D318" s="1" t="s">
        <v>15</v>
      </c>
      <c r="E318" s="1">
        <v>1540000</v>
      </c>
      <c r="F318" s="7">
        <v>0.12</v>
      </c>
      <c r="G318" s="1">
        <v>120</v>
      </c>
      <c r="H318" s="1" t="s">
        <v>957</v>
      </c>
      <c r="I318" s="8">
        <f t="shared" si="9"/>
        <v>22094.526053998452</v>
      </c>
      <c r="J318" s="8">
        <f t="shared" si="8"/>
        <v>2651343.1264798143</v>
      </c>
      <c r="K318" s="1" t="s">
        <v>201</v>
      </c>
      <c r="L318" s="1">
        <v>750</v>
      </c>
      <c r="M318" s="1" t="s">
        <v>16</v>
      </c>
    </row>
    <row r="319" spans="1:13" x14ac:dyDescent="0.3">
      <c r="A319" s="1" t="s">
        <v>958</v>
      </c>
      <c r="B319" s="1" t="s">
        <v>959</v>
      </c>
      <c r="C319" s="1">
        <v>55</v>
      </c>
      <c r="D319" s="1" t="s">
        <v>15</v>
      </c>
      <c r="E319" s="1">
        <v>220000</v>
      </c>
      <c r="F319" s="7">
        <v>0.09</v>
      </c>
      <c r="G319" s="1">
        <v>12</v>
      </c>
      <c r="H319" s="1" t="s">
        <v>960</v>
      </c>
      <c r="I319" s="8">
        <f t="shared" si="9"/>
        <v>19239.324889382715</v>
      </c>
      <c r="J319" s="8">
        <f t="shared" si="8"/>
        <v>230871.89867259259</v>
      </c>
      <c r="K319" s="1" t="s">
        <v>205</v>
      </c>
      <c r="L319" s="1">
        <v>703</v>
      </c>
      <c r="M319" s="1" t="s">
        <v>16</v>
      </c>
    </row>
    <row r="320" spans="1:13" x14ac:dyDescent="0.3">
      <c r="A320" s="1" t="s">
        <v>961</v>
      </c>
      <c r="B320" s="1" t="s">
        <v>962</v>
      </c>
      <c r="C320" s="1">
        <v>37</v>
      </c>
      <c r="D320" s="1" t="s">
        <v>32</v>
      </c>
      <c r="E320" s="1">
        <v>420000</v>
      </c>
      <c r="F320" s="7">
        <v>0.125</v>
      </c>
      <c r="G320" s="1">
        <v>240</v>
      </c>
      <c r="H320" s="1" t="s">
        <v>963</v>
      </c>
      <c r="I320" s="8">
        <f t="shared" si="9"/>
        <v>4771.7903088003513</v>
      </c>
      <c r="J320" s="8">
        <f t="shared" si="8"/>
        <v>1145229.6741120843</v>
      </c>
      <c r="K320" s="1" t="s">
        <v>94</v>
      </c>
      <c r="L320" s="1">
        <v>622</v>
      </c>
      <c r="M320" s="1" t="s">
        <v>20</v>
      </c>
    </row>
    <row r="321" spans="1:13" x14ac:dyDescent="0.3">
      <c r="A321" s="1" t="s">
        <v>964</v>
      </c>
      <c r="B321" s="1" t="s">
        <v>965</v>
      </c>
      <c r="C321" s="1">
        <v>64</v>
      </c>
      <c r="D321" s="1" t="s">
        <v>23</v>
      </c>
      <c r="E321" s="1">
        <v>3880000</v>
      </c>
      <c r="F321" s="7">
        <v>9.5000000000000001E-2</v>
      </c>
      <c r="G321" s="1">
        <v>24</v>
      </c>
      <c r="H321" s="1" t="s">
        <v>966</v>
      </c>
      <c r="I321" s="8">
        <f t="shared" si="9"/>
        <v>178148.23279703021</v>
      </c>
      <c r="J321" s="8">
        <f t="shared" si="8"/>
        <v>4275557.5871287249</v>
      </c>
      <c r="K321" s="1" t="s">
        <v>56</v>
      </c>
      <c r="L321" s="1">
        <v>750</v>
      </c>
      <c r="M321" s="1" t="s">
        <v>16</v>
      </c>
    </row>
    <row r="322" spans="1:13" x14ac:dyDescent="0.3">
      <c r="A322" s="1" t="s">
        <v>967</v>
      </c>
      <c r="B322" s="1" t="s">
        <v>392</v>
      </c>
      <c r="C322" s="1">
        <v>48</v>
      </c>
      <c r="D322" s="1" t="s">
        <v>42</v>
      </c>
      <c r="E322" s="1">
        <v>470000</v>
      </c>
      <c r="F322" s="7">
        <v>0.11</v>
      </c>
      <c r="G322" s="1">
        <v>12</v>
      </c>
      <c r="H322" s="1" t="s">
        <v>968</v>
      </c>
      <c r="I322" s="8">
        <f t="shared" si="9"/>
        <v>41539.379505153898</v>
      </c>
      <c r="J322" s="8">
        <f t="shared" si="8"/>
        <v>498472.55406184681</v>
      </c>
      <c r="K322" s="1" t="s">
        <v>136</v>
      </c>
      <c r="L322" s="1">
        <v>845</v>
      </c>
      <c r="M322" s="1" t="s">
        <v>20</v>
      </c>
    </row>
    <row r="323" spans="1:13" x14ac:dyDescent="0.3">
      <c r="A323" s="1" t="s">
        <v>969</v>
      </c>
      <c r="B323" s="1" t="s">
        <v>970</v>
      </c>
      <c r="C323" s="1">
        <v>50</v>
      </c>
      <c r="D323" s="1" t="s">
        <v>37</v>
      </c>
      <c r="E323" s="1">
        <v>4690000</v>
      </c>
      <c r="F323" s="7">
        <v>0.105</v>
      </c>
      <c r="G323" s="1">
        <v>120</v>
      </c>
      <c r="H323" s="1" t="s">
        <v>971</v>
      </c>
      <c r="I323" s="8">
        <f t="shared" si="9"/>
        <v>63284.513487731529</v>
      </c>
      <c r="J323" s="8">
        <f t="shared" si="8"/>
        <v>7594141.6185277831</v>
      </c>
      <c r="K323" s="1" t="s">
        <v>86</v>
      </c>
      <c r="L323" s="1">
        <v>566</v>
      </c>
      <c r="M323" s="1" t="s">
        <v>60</v>
      </c>
    </row>
    <row r="324" spans="1:13" x14ac:dyDescent="0.3">
      <c r="A324" s="1" t="s">
        <v>972</v>
      </c>
      <c r="B324" s="1" t="s">
        <v>973</v>
      </c>
      <c r="C324" s="1">
        <v>49</v>
      </c>
      <c r="D324" s="1" t="s">
        <v>42</v>
      </c>
      <c r="E324" s="1">
        <v>1210000</v>
      </c>
      <c r="F324" s="7">
        <v>0.115</v>
      </c>
      <c r="G324" s="1">
        <v>36</v>
      </c>
      <c r="H324" s="1" t="s">
        <v>348</v>
      </c>
      <c r="I324" s="8">
        <f t="shared" si="9"/>
        <v>39900.967783718355</v>
      </c>
      <c r="J324" s="8">
        <f t="shared" ref="J324:J387" si="10">(I324*G324)</f>
        <v>1436434.8402138609</v>
      </c>
      <c r="K324" s="1" t="s">
        <v>143</v>
      </c>
      <c r="L324" s="1">
        <v>678</v>
      </c>
      <c r="M324" s="1" t="s">
        <v>60</v>
      </c>
    </row>
    <row r="325" spans="1:13" x14ac:dyDescent="0.3">
      <c r="A325" s="1" t="s">
        <v>974</v>
      </c>
      <c r="B325" s="1" t="s">
        <v>975</v>
      </c>
      <c r="C325" s="1">
        <v>26</v>
      </c>
      <c r="D325" s="1" t="s">
        <v>37</v>
      </c>
      <c r="E325" s="1">
        <v>3280000</v>
      </c>
      <c r="F325" s="7">
        <v>0.11</v>
      </c>
      <c r="G325" s="1">
        <v>12</v>
      </c>
      <c r="H325" s="1" t="s">
        <v>976</v>
      </c>
      <c r="I325" s="8">
        <f t="shared" ref="I325:I388" si="11">PMT(F325/12,G325, -E325)</f>
        <v>289891.83995086123</v>
      </c>
      <c r="J325" s="8">
        <f t="shared" si="10"/>
        <v>3478702.079410335</v>
      </c>
      <c r="K325" s="1" t="s">
        <v>86</v>
      </c>
      <c r="L325" s="1">
        <v>766</v>
      </c>
      <c r="M325" s="1" t="s">
        <v>20</v>
      </c>
    </row>
    <row r="326" spans="1:13" x14ac:dyDescent="0.3">
      <c r="A326" s="1" t="s">
        <v>977</v>
      </c>
      <c r="B326" s="1" t="s">
        <v>978</v>
      </c>
      <c r="C326" s="1">
        <v>55</v>
      </c>
      <c r="D326" s="1" t="s">
        <v>15</v>
      </c>
      <c r="E326" s="1">
        <v>1390000</v>
      </c>
      <c r="F326" s="7">
        <v>7.4999999999999997E-2</v>
      </c>
      <c r="G326" s="1">
        <v>12</v>
      </c>
      <c r="H326" s="1" t="s">
        <v>979</v>
      </c>
      <c r="I326" s="8">
        <f t="shared" si="11"/>
        <v>120592.80947071602</v>
      </c>
      <c r="J326" s="8">
        <f t="shared" si="10"/>
        <v>1447113.7136485921</v>
      </c>
      <c r="K326" s="1" t="s">
        <v>21</v>
      </c>
      <c r="L326" s="1">
        <v>610</v>
      </c>
      <c r="M326" s="1" t="s">
        <v>16</v>
      </c>
    </row>
    <row r="327" spans="1:13" x14ac:dyDescent="0.3">
      <c r="A327" s="1" t="s">
        <v>980</v>
      </c>
      <c r="B327" s="1" t="s">
        <v>981</v>
      </c>
      <c r="C327" s="1">
        <v>61</v>
      </c>
      <c r="D327" s="1" t="s">
        <v>27</v>
      </c>
      <c r="E327" s="1">
        <v>1000000</v>
      </c>
      <c r="F327" s="7">
        <v>0.08</v>
      </c>
      <c r="G327" s="1">
        <v>48</v>
      </c>
      <c r="H327" s="1" t="s">
        <v>982</v>
      </c>
      <c r="I327" s="8">
        <f t="shared" si="11"/>
        <v>24412.922341502483</v>
      </c>
      <c r="J327" s="8">
        <f t="shared" si="10"/>
        <v>1171820.2723921193</v>
      </c>
      <c r="K327" s="1" t="s">
        <v>226</v>
      </c>
      <c r="L327" s="1">
        <v>653</v>
      </c>
      <c r="M327" s="1" t="s">
        <v>16</v>
      </c>
    </row>
    <row r="328" spans="1:13" x14ac:dyDescent="0.3">
      <c r="A328" s="1" t="s">
        <v>983</v>
      </c>
      <c r="B328" s="1" t="s">
        <v>984</v>
      </c>
      <c r="C328" s="1">
        <v>57</v>
      </c>
      <c r="D328" s="1" t="s">
        <v>18</v>
      </c>
      <c r="E328" s="1">
        <v>400000</v>
      </c>
      <c r="F328" s="7">
        <v>9.5000000000000001E-2</v>
      </c>
      <c r="G328" s="1">
        <v>60</v>
      </c>
      <c r="H328" s="1" t="s">
        <v>985</v>
      </c>
      <c r="I328" s="8">
        <f t="shared" si="11"/>
        <v>8400.7445238862038</v>
      </c>
      <c r="J328" s="8">
        <f t="shared" si="10"/>
        <v>504044.67143317225</v>
      </c>
      <c r="K328" s="1" t="s">
        <v>249</v>
      </c>
      <c r="L328" s="1">
        <v>591</v>
      </c>
      <c r="M328" s="1" t="s">
        <v>16</v>
      </c>
    </row>
    <row r="329" spans="1:13" x14ac:dyDescent="0.3">
      <c r="A329" s="1" t="s">
        <v>986</v>
      </c>
      <c r="B329" s="1" t="s">
        <v>987</v>
      </c>
      <c r="C329" s="1">
        <v>44</v>
      </c>
      <c r="D329" s="1" t="s">
        <v>27</v>
      </c>
      <c r="E329" s="1">
        <v>650000</v>
      </c>
      <c r="F329" s="7">
        <v>0.105</v>
      </c>
      <c r="G329" s="1">
        <v>36</v>
      </c>
      <c r="H329" s="1" t="s">
        <v>988</v>
      </c>
      <c r="I329" s="8">
        <f t="shared" si="11"/>
        <v>21126.588278046504</v>
      </c>
      <c r="J329" s="8">
        <f t="shared" si="10"/>
        <v>760557.17800967419</v>
      </c>
      <c r="K329" s="1" t="s">
        <v>201</v>
      </c>
      <c r="L329" s="1">
        <v>574</v>
      </c>
      <c r="M329" s="1" t="s">
        <v>20</v>
      </c>
    </row>
    <row r="330" spans="1:13" x14ac:dyDescent="0.3">
      <c r="A330" s="1" t="s">
        <v>989</v>
      </c>
      <c r="B330" s="1" t="s">
        <v>990</v>
      </c>
      <c r="C330" s="1">
        <v>49</v>
      </c>
      <c r="D330" s="1" t="s">
        <v>32</v>
      </c>
      <c r="E330" s="1">
        <v>70000</v>
      </c>
      <c r="F330" s="7">
        <v>8.5000000000000006E-2</v>
      </c>
      <c r="G330" s="1">
        <v>60</v>
      </c>
      <c r="H330" s="1" t="s">
        <v>991</v>
      </c>
      <c r="I330" s="8">
        <f t="shared" si="11"/>
        <v>1436.1571928935875</v>
      </c>
      <c r="J330" s="8">
        <f t="shared" si="10"/>
        <v>86169.431573615249</v>
      </c>
      <c r="K330" s="1" t="s">
        <v>48</v>
      </c>
      <c r="L330" s="1">
        <v>588</v>
      </c>
      <c r="M330" s="1" t="s">
        <v>16</v>
      </c>
    </row>
    <row r="331" spans="1:13" x14ac:dyDescent="0.3">
      <c r="A331" s="1" t="s">
        <v>992</v>
      </c>
      <c r="B331" s="1" t="s">
        <v>993</v>
      </c>
      <c r="C331" s="1">
        <v>51</v>
      </c>
      <c r="D331" s="1" t="s">
        <v>42</v>
      </c>
      <c r="E331" s="1">
        <v>780000</v>
      </c>
      <c r="F331" s="7">
        <v>0.105</v>
      </c>
      <c r="G331" s="1">
        <v>60</v>
      </c>
      <c r="H331" s="1" t="s">
        <v>924</v>
      </c>
      <c r="I331" s="8">
        <f t="shared" si="11"/>
        <v>16765.242294931617</v>
      </c>
      <c r="J331" s="8">
        <f t="shared" si="10"/>
        <v>1005914.537695897</v>
      </c>
      <c r="K331" s="1" t="s">
        <v>155</v>
      </c>
      <c r="L331" s="1">
        <v>840</v>
      </c>
      <c r="M331" s="1" t="s">
        <v>20</v>
      </c>
    </row>
    <row r="332" spans="1:13" x14ac:dyDescent="0.3">
      <c r="A332" s="1" t="s">
        <v>994</v>
      </c>
      <c r="B332" s="1" t="s">
        <v>995</v>
      </c>
      <c r="C332" s="1">
        <v>55</v>
      </c>
      <c r="D332" s="1" t="s">
        <v>23</v>
      </c>
      <c r="E332" s="1">
        <v>4550000</v>
      </c>
      <c r="F332" s="7">
        <v>0.09</v>
      </c>
      <c r="G332" s="1">
        <v>36</v>
      </c>
      <c r="H332" s="1" t="s">
        <v>996</v>
      </c>
      <c r="I332" s="8">
        <f t="shared" si="11"/>
        <v>144688.78360273011</v>
      </c>
      <c r="J332" s="8">
        <f t="shared" si="10"/>
        <v>5208796.209698284</v>
      </c>
      <c r="K332" s="1" t="s">
        <v>326</v>
      </c>
      <c r="L332" s="1">
        <v>680</v>
      </c>
      <c r="M332" s="1" t="s">
        <v>16</v>
      </c>
    </row>
    <row r="333" spans="1:13" x14ac:dyDescent="0.3">
      <c r="A333" s="1" t="s">
        <v>997</v>
      </c>
      <c r="B333" s="1" t="s">
        <v>998</v>
      </c>
      <c r="C333" s="1">
        <v>53</v>
      </c>
      <c r="D333" s="1" t="s">
        <v>37</v>
      </c>
      <c r="E333" s="1">
        <v>4490000</v>
      </c>
      <c r="F333" s="7">
        <v>0.125</v>
      </c>
      <c r="G333" s="1">
        <v>12</v>
      </c>
      <c r="H333" s="1" t="s">
        <v>999</v>
      </c>
      <c r="I333" s="8">
        <f t="shared" si="11"/>
        <v>399982.05357059499</v>
      </c>
      <c r="J333" s="8">
        <f t="shared" si="10"/>
        <v>4799784.6428471394</v>
      </c>
      <c r="K333" s="1" t="s">
        <v>151</v>
      </c>
      <c r="L333" s="1">
        <v>778</v>
      </c>
      <c r="M333" s="1" t="s">
        <v>20</v>
      </c>
    </row>
    <row r="334" spans="1:13" x14ac:dyDescent="0.3">
      <c r="A334" s="1" t="s">
        <v>1000</v>
      </c>
      <c r="B334" s="1" t="s">
        <v>1001</v>
      </c>
      <c r="C334" s="1">
        <v>41</v>
      </c>
      <c r="D334" s="1" t="s">
        <v>27</v>
      </c>
      <c r="E334" s="1">
        <v>380000</v>
      </c>
      <c r="F334" s="7">
        <v>0.115</v>
      </c>
      <c r="G334" s="1">
        <v>60</v>
      </c>
      <c r="H334" s="1" t="s">
        <v>1002</v>
      </c>
      <c r="I334" s="8">
        <f t="shared" si="11"/>
        <v>8357.1908024507502</v>
      </c>
      <c r="J334" s="8">
        <f t="shared" si="10"/>
        <v>501431.44814704498</v>
      </c>
      <c r="K334" s="1" t="s">
        <v>326</v>
      </c>
      <c r="L334" s="1">
        <v>657</v>
      </c>
      <c r="M334" s="1" t="s">
        <v>16</v>
      </c>
    </row>
    <row r="335" spans="1:13" x14ac:dyDescent="0.3">
      <c r="A335" s="1" t="s">
        <v>1003</v>
      </c>
      <c r="B335" s="1" t="s">
        <v>1004</v>
      </c>
      <c r="C335" s="1">
        <v>52</v>
      </c>
      <c r="D335" s="1" t="s">
        <v>32</v>
      </c>
      <c r="E335" s="1">
        <v>70000</v>
      </c>
      <c r="F335" s="7">
        <v>0.09</v>
      </c>
      <c r="G335" s="1">
        <v>48</v>
      </c>
      <c r="H335" s="1" t="s">
        <v>1005</v>
      </c>
      <c r="I335" s="8">
        <f t="shared" si="11"/>
        <v>1741.9529661753945</v>
      </c>
      <c r="J335" s="8">
        <f t="shared" si="10"/>
        <v>83613.74237641893</v>
      </c>
      <c r="K335" s="1" t="s">
        <v>326</v>
      </c>
      <c r="L335" s="1">
        <v>721</v>
      </c>
      <c r="M335" s="1" t="s">
        <v>20</v>
      </c>
    </row>
    <row r="336" spans="1:13" x14ac:dyDescent="0.3">
      <c r="A336" s="1" t="s">
        <v>1006</v>
      </c>
      <c r="B336" s="1" t="s">
        <v>1007</v>
      </c>
      <c r="C336" s="1">
        <v>43</v>
      </c>
      <c r="D336" s="1" t="s">
        <v>42</v>
      </c>
      <c r="E336" s="1">
        <v>460000</v>
      </c>
      <c r="F336" s="7">
        <v>0.125</v>
      </c>
      <c r="G336" s="1">
        <v>240</v>
      </c>
      <c r="H336" s="1" t="s">
        <v>1008</v>
      </c>
      <c r="I336" s="8">
        <f t="shared" si="11"/>
        <v>5226.2465286860988</v>
      </c>
      <c r="J336" s="8">
        <f t="shared" si="10"/>
        <v>1254299.1668846637</v>
      </c>
      <c r="K336" s="1" t="s">
        <v>222</v>
      </c>
      <c r="L336" s="1">
        <v>651</v>
      </c>
      <c r="M336" s="1" t="s">
        <v>60</v>
      </c>
    </row>
    <row r="337" spans="1:13" x14ac:dyDescent="0.3">
      <c r="A337" s="1" t="s">
        <v>1009</v>
      </c>
      <c r="B337" s="1" t="s">
        <v>290</v>
      </c>
      <c r="C337" s="1">
        <v>53</v>
      </c>
      <c r="D337" s="1" t="s">
        <v>23</v>
      </c>
      <c r="E337" s="1">
        <v>5700000</v>
      </c>
      <c r="F337" s="7">
        <v>0.115</v>
      </c>
      <c r="G337" s="1">
        <v>12</v>
      </c>
      <c r="H337" s="1" t="s">
        <v>1010</v>
      </c>
      <c r="I337" s="8">
        <f t="shared" si="11"/>
        <v>505105.80703388224</v>
      </c>
      <c r="J337" s="8">
        <f t="shared" si="10"/>
        <v>6061269.6844065869</v>
      </c>
      <c r="K337" s="1" t="s">
        <v>75</v>
      </c>
      <c r="L337" s="1">
        <v>561</v>
      </c>
      <c r="M337" s="1" t="s">
        <v>16</v>
      </c>
    </row>
    <row r="338" spans="1:13" x14ac:dyDescent="0.3">
      <c r="A338" s="1" t="s">
        <v>1011</v>
      </c>
      <c r="B338" s="1" t="s">
        <v>1012</v>
      </c>
      <c r="C338" s="1">
        <v>23</v>
      </c>
      <c r="D338" s="1" t="s">
        <v>15</v>
      </c>
      <c r="E338" s="1">
        <v>1340000</v>
      </c>
      <c r="F338" s="7">
        <v>7.4999999999999997E-2</v>
      </c>
      <c r="G338" s="1">
        <v>84</v>
      </c>
      <c r="H338" s="1" t="s">
        <v>814</v>
      </c>
      <c r="I338" s="8">
        <f t="shared" si="11"/>
        <v>20553.289643187563</v>
      </c>
      <c r="J338" s="8">
        <f t="shared" si="10"/>
        <v>1726476.3300277553</v>
      </c>
      <c r="K338" s="1" t="s">
        <v>159</v>
      </c>
      <c r="L338" s="1">
        <v>824</v>
      </c>
      <c r="M338" s="1" t="s">
        <v>60</v>
      </c>
    </row>
    <row r="339" spans="1:13" x14ac:dyDescent="0.3">
      <c r="A339" s="1" t="s">
        <v>1013</v>
      </c>
      <c r="B339" s="1" t="s">
        <v>766</v>
      </c>
      <c r="C339" s="1">
        <v>38</v>
      </c>
      <c r="D339" s="1" t="s">
        <v>23</v>
      </c>
      <c r="E339" s="1">
        <v>1550000</v>
      </c>
      <c r="F339" s="7">
        <v>0.105</v>
      </c>
      <c r="G339" s="1">
        <v>180</v>
      </c>
      <c r="H339" s="1" t="s">
        <v>553</v>
      </c>
      <c r="I339" s="8">
        <f t="shared" si="11"/>
        <v>17133.683317306139</v>
      </c>
      <c r="J339" s="8">
        <f t="shared" si="10"/>
        <v>3084062.9971151049</v>
      </c>
      <c r="K339" s="1" t="s">
        <v>366</v>
      </c>
      <c r="L339" s="1">
        <v>650</v>
      </c>
      <c r="M339" s="1" t="s">
        <v>16</v>
      </c>
    </row>
    <row r="340" spans="1:13" x14ac:dyDescent="0.3">
      <c r="A340" s="1" t="s">
        <v>1014</v>
      </c>
      <c r="B340" s="1" t="s">
        <v>1015</v>
      </c>
      <c r="C340" s="1">
        <v>45</v>
      </c>
      <c r="D340" s="1" t="s">
        <v>18</v>
      </c>
      <c r="E340" s="1">
        <v>580000</v>
      </c>
      <c r="F340" s="7">
        <v>0.13</v>
      </c>
      <c r="G340" s="1">
        <v>24</v>
      </c>
      <c r="H340" s="1" t="s">
        <v>1016</v>
      </c>
      <c r="I340" s="8">
        <f t="shared" si="11"/>
        <v>27574.257101301584</v>
      </c>
      <c r="J340" s="8">
        <f t="shared" si="10"/>
        <v>661782.17043123802</v>
      </c>
      <c r="K340" s="1" t="s">
        <v>143</v>
      </c>
      <c r="L340" s="1">
        <v>593</v>
      </c>
      <c r="M340" s="1" t="s">
        <v>312</v>
      </c>
    </row>
    <row r="341" spans="1:13" x14ac:dyDescent="0.3">
      <c r="A341" s="1" t="s">
        <v>1017</v>
      </c>
      <c r="B341" s="1" t="s">
        <v>1018</v>
      </c>
      <c r="C341" s="1">
        <v>62</v>
      </c>
      <c r="D341" s="1" t="s">
        <v>15</v>
      </c>
      <c r="E341" s="1">
        <v>1980000</v>
      </c>
      <c r="F341" s="7">
        <v>0.1</v>
      </c>
      <c r="G341" s="1">
        <v>240</v>
      </c>
      <c r="H341" s="1" t="s">
        <v>1019</v>
      </c>
      <c r="I341" s="8">
        <f t="shared" si="11"/>
        <v>19107.428572465356</v>
      </c>
      <c r="J341" s="8">
        <f t="shared" si="10"/>
        <v>4585782.8573916852</v>
      </c>
      <c r="K341" s="1" t="s">
        <v>191</v>
      </c>
      <c r="L341" s="1">
        <v>854</v>
      </c>
      <c r="M341" s="1" t="s">
        <v>16</v>
      </c>
    </row>
    <row r="342" spans="1:13" x14ac:dyDescent="0.3">
      <c r="A342" s="1" t="s">
        <v>1020</v>
      </c>
      <c r="B342" s="1" t="s">
        <v>1021</v>
      </c>
      <c r="C342" s="1">
        <v>51</v>
      </c>
      <c r="D342" s="1" t="s">
        <v>42</v>
      </c>
      <c r="E342" s="1">
        <v>960000</v>
      </c>
      <c r="F342" s="7">
        <v>0.11</v>
      </c>
      <c r="G342" s="1">
        <v>48</v>
      </c>
      <c r="H342" s="1" t="s">
        <v>1022</v>
      </c>
      <c r="I342" s="8">
        <f t="shared" si="11"/>
        <v>24811.701706994703</v>
      </c>
      <c r="J342" s="8">
        <f t="shared" si="10"/>
        <v>1190961.6819357458</v>
      </c>
      <c r="K342" s="1" t="s">
        <v>201</v>
      </c>
      <c r="L342" s="1">
        <v>566</v>
      </c>
      <c r="M342" s="1" t="s">
        <v>16</v>
      </c>
    </row>
    <row r="343" spans="1:13" x14ac:dyDescent="0.3">
      <c r="A343" s="1" t="s">
        <v>1023</v>
      </c>
      <c r="B343" s="1" t="s">
        <v>1024</v>
      </c>
      <c r="C343" s="1">
        <v>23</v>
      </c>
      <c r="D343" s="1" t="s">
        <v>23</v>
      </c>
      <c r="E343" s="1">
        <v>1260000</v>
      </c>
      <c r="F343" s="7">
        <v>0.115</v>
      </c>
      <c r="G343" s="1">
        <v>240</v>
      </c>
      <c r="H343" s="1" t="s">
        <v>1025</v>
      </c>
      <c r="I343" s="8">
        <f t="shared" si="11"/>
        <v>13437.013357062024</v>
      </c>
      <c r="J343" s="8">
        <f t="shared" si="10"/>
        <v>3224883.2056948859</v>
      </c>
      <c r="K343" s="1" t="s">
        <v>136</v>
      </c>
      <c r="L343" s="1">
        <v>879</v>
      </c>
      <c r="M343" s="1" t="s">
        <v>16</v>
      </c>
    </row>
    <row r="344" spans="1:13" x14ac:dyDescent="0.3">
      <c r="A344" s="1" t="s">
        <v>1026</v>
      </c>
      <c r="B344" s="1" t="s">
        <v>36</v>
      </c>
      <c r="C344" s="1">
        <v>60</v>
      </c>
      <c r="D344" s="1" t="s">
        <v>32</v>
      </c>
      <c r="E344" s="1">
        <v>160000</v>
      </c>
      <c r="F344" s="7">
        <v>0.11</v>
      </c>
      <c r="G344" s="1">
        <v>120</v>
      </c>
      <c r="H344" s="1" t="s">
        <v>1027</v>
      </c>
      <c r="I344" s="8">
        <f t="shared" si="11"/>
        <v>2204.0001806707596</v>
      </c>
      <c r="J344" s="8">
        <f t="shared" si="10"/>
        <v>264480.02168049116</v>
      </c>
      <c r="K344" s="1" t="s">
        <v>119</v>
      </c>
      <c r="L344" s="1">
        <v>606</v>
      </c>
      <c r="M344" s="1" t="s">
        <v>312</v>
      </c>
    </row>
    <row r="345" spans="1:13" x14ac:dyDescent="0.3">
      <c r="A345" s="1" t="s">
        <v>1028</v>
      </c>
      <c r="B345" s="1" t="s">
        <v>364</v>
      </c>
      <c r="C345" s="1">
        <v>44</v>
      </c>
      <c r="D345" s="1" t="s">
        <v>42</v>
      </c>
      <c r="E345" s="1">
        <v>600000</v>
      </c>
      <c r="F345" s="7">
        <v>0.1</v>
      </c>
      <c r="G345" s="1">
        <v>48</v>
      </c>
      <c r="H345" s="1" t="s">
        <v>1029</v>
      </c>
      <c r="I345" s="8">
        <f t="shared" si="11"/>
        <v>15217.550060848313</v>
      </c>
      <c r="J345" s="8">
        <f t="shared" si="10"/>
        <v>730442.402920719</v>
      </c>
      <c r="K345" s="1" t="s">
        <v>136</v>
      </c>
      <c r="L345" s="1">
        <v>860</v>
      </c>
      <c r="M345" s="1" t="s">
        <v>16</v>
      </c>
    </row>
    <row r="346" spans="1:13" x14ac:dyDescent="0.3">
      <c r="A346" s="1" t="s">
        <v>1030</v>
      </c>
      <c r="B346" s="1" t="s">
        <v>1031</v>
      </c>
      <c r="C346" s="1">
        <v>52</v>
      </c>
      <c r="D346" s="1" t="s">
        <v>15</v>
      </c>
      <c r="E346" s="1">
        <v>1780000</v>
      </c>
      <c r="F346" s="7">
        <v>0.12</v>
      </c>
      <c r="G346" s="1">
        <v>240</v>
      </c>
      <c r="H346" s="1" t="s">
        <v>1032</v>
      </c>
      <c r="I346" s="8">
        <f t="shared" si="11"/>
        <v>19599.333177539058</v>
      </c>
      <c r="J346" s="8">
        <f t="shared" si="10"/>
        <v>4703839.962609374</v>
      </c>
      <c r="K346" s="1" t="s">
        <v>143</v>
      </c>
      <c r="L346" s="1">
        <v>852</v>
      </c>
      <c r="M346" s="1" t="s">
        <v>16</v>
      </c>
    </row>
    <row r="347" spans="1:13" x14ac:dyDescent="0.3">
      <c r="A347" s="1" t="s">
        <v>1033</v>
      </c>
      <c r="B347" s="1" t="s">
        <v>1034</v>
      </c>
      <c r="C347" s="1">
        <v>42</v>
      </c>
      <c r="D347" s="1" t="s">
        <v>18</v>
      </c>
      <c r="E347" s="1">
        <v>1920000</v>
      </c>
      <c r="F347" s="7">
        <v>0.115</v>
      </c>
      <c r="G347" s="1">
        <v>60</v>
      </c>
      <c r="H347" s="1" t="s">
        <v>1035</v>
      </c>
      <c r="I347" s="8">
        <f t="shared" si="11"/>
        <v>42225.806159751162</v>
      </c>
      <c r="J347" s="8">
        <f t="shared" si="10"/>
        <v>2533548.3695850698</v>
      </c>
      <c r="K347" s="1" t="s">
        <v>25</v>
      </c>
      <c r="L347" s="1">
        <v>561</v>
      </c>
      <c r="M347" s="1" t="s">
        <v>16</v>
      </c>
    </row>
    <row r="348" spans="1:13" x14ac:dyDescent="0.3">
      <c r="A348" s="1" t="s">
        <v>1036</v>
      </c>
      <c r="B348" s="1" t="s">
        <v>1037</v>
      </c>
      <c r="C348" s="1">
        <v>43</v>
      </c>
      <c r="D348" s="1" t="s">
        <v>32</v>
      </c>
      <c r="E348" s="1">
        <v>420000</v>
      </c>
      <c r="F348" s="7">
        <v>0.1</v>
      </c>
      <c r="G348" s="1">
        <v>12</v>
      </c>
      <c r="H348" s="1" t="s">
        <v>122</v>
      </c>
      <c r="I348" s="8">
        <f t="shared" si="11"/>
        <v>36924.672636604031</v>
      </c>
      <c r="J348" s="8">
        <f t="shared" si="10"/>
        <v>443096.0716392484</v>
      </c>
      <c r="K348" s="1" t="s">
        <v>147</v>
      </c>
      <c r="L348" s="1">
        <v>867</v>
      </c>
      <c r="M348" s="1" t="s">
        <v>16</v>
      </c>
    </row>
    <row r="349" spans="1:13" x14ac:dyDescent="0.3">
      <c r="A349" s="1" t="s">
        <v>1038</v>
      </c>
      <c r="B349" s="1" t="s">
        <v>1039</v>
      </c>
      <c r="C349" s="1">
        <v>22</v>
      </c>
      <c r="D349" s="1" t="s">
        <v>18</v>
      </c>
      <c r="E349" s="1">
        <v>1920000</v>
      </c>
      <c r="F349" s="7">
        <v>0.105</v>
      </c>
      <c r="G349" s="1">
        <v>120</v>
      </c>
      <c r="H349" s="1" t="s">
        <v>1040</v>
      </c>
      <c r="I349" s="8">
        <f t="shared" si="11"/>
        <v>25907.519380905022</v>
      </c>
      <c r="J349" s="8">
        <f t="shared" si="10"/>
        <v>3108902.3257086026</v>
      </c>
      <c r="K349" s="1" t="s">
        <v>39</v>
      </c>
      <c r="L349" s="1">
        <v>629</v>
      </c>
      <c r="M349" s="1" t="s">
        <v>20</v>
      </c>
    </row>
    <row r="350" spans="1:13" x14ac:dyDescent="0.3">
      <c r="A350" s="1" t="s">
        <v>1041</v>
      </c>
      <c r="B350" s="1" t="s">
        <v>1042</v>
      </c>
      <c r="C350" s="1">
        <v>47</v>
      </c>
      <c r="D350" s="1" t="s">
        <v>27</v>
      </c>
      <c r="E350" s="1">
        <v>520000</v>
      </c>
      <c r="F350" s="7">
        <v>9.5000000000000001E-2</v>
      </c>
      <c r="G350" s="1">
        <v>120</v>
      </c>
      <c r="H350" s="1" t="s">
        <v>1043</v>
      </c>
      <c r="I350" s="8">
        <f t="shared" si="11"/>
        <v>6728.672993160405</v>
      </c>
      <c r="J350" s="8">
        <f t="shared" si="10"/>
        <v>807440.75917924859</v>
      </c>
      <c r="K350" s="1" t="s">
        <v>151</v>
      </c>
      <c r="L350" s="1">
        <v>765</v>
      </c>
      <c r="M350" s="1" t="s">
        <v>16</v>
      </c>
    </row>
    <row r="351" spans="1:13" x14ac:dyDescent="0.3">
      <c r="A351" s="1" t="s">
        <v>1044</v>
      </c>
      <c r="B351" s="1" t="s">
        <v>1045</v>
      </c>
      <c r="C351" s="1">
        <v>62</v>
      </c>
      <c r="D351" s="1" t="s">
        <v>32</v>
      </c>
      <c r="E351" s="1">
        <v>90000</v>
      </c>
      <c r="F351" s="7">
        <v>8.5000000000000006E-2</v>
      </c>
      <c r="G351" s="1">
        <v>120</v>
      </c>
      <c r="H351" s="1" t="s">
        <v>322</v>
      </c>
      <c r="I351" s="8">
        <f t="shared" si="11"/>
        <v>1115.8711998706001</v>
      </c>
      <c r="J351" s="8">
        <f t="shared" si="10"/>
        <v>133904.54398447202</v>
      </c>
      <c r="K351" s="1" t="s">
        <v>104</v>
      </c>
      <c r="L351" s="1">
        <v>888</v>
      </c>
      <c r="M351" s="1" t="s">
        <v>20</v>
      </c>
    </row>
    <row r="352" spans="1:13" x14ac:dyDescent="0.3">
      <c r="A352" s="1" t="s">
        <v>1046</v>
      </c>
      <c r="B352" s="1" t="s">
        <v>1047</v>
      </c>
      <c r="C352" s="1">
        <v>22</v>
      </c>
      <c r="D352" s="1" t="s">
        <v>27</v>
      </c>
      <c r="E352" s="1">
        <v>410000</v>
      </c>
      <c r="F352" s="7">
        <v>7.4999999999999997E-2</v>
      </c>
      <c r="G352" s="1">
        <v>84</v>
      </c>
      <c r="H352" s="1" t="s">
        <v>1048</v>
      </c>
      <c r="I352" s="8">
        <f t="shared" si="11"/>
        <v>6288.6930997812697</v>
      </c>
      <c r="J352" s="8">
        <f t="shared" si="10"/>
        <v>528250.22038162663</v>
      </c>
      <c r="K352" s="1" t="s">
        <v>226</v>
      </c>
      <c r="L352" s="1">
        <v>813</v>
      </c>
      <c r="M352" s="1" t="s">
        <v>20</v>
      </c>
    </row>
    <row r="353" spans="1:13" x14ac:dyDescent="0.3">
      <c r="A353" s="1" t="s">
        <v>1049</v>
      </c>
      <c r="B353" s="1" t="s">
        <v>1050</v>
      </c>
      <c r="C353" s="1">
        <v>46</v>
      </c>
      <c r="D353" s="1" t="s">
        <v>32</v>
      </c>
      <c r="E353" s="1">
        <v>140000</v>
      </c>
      <c r="F353" s="7">
        <v>0.1</v>
      </c>
      <c r="G353" s="1">
        <v>240</v>
      </c>
      <c r="H353" s="1" t="s">
        <v>1051</v>
      </c>
      <c r="I353" s="8">
        <f t="shared" si="11"/>
        <v>1351.0303031036108</v>
      </c>
      <c r="J353" s="8">
        <f t="shared" si="10"/>
        <v>324247.27274486661</v>
      </c>
      <c r="K353" s="1" t="s">
        <v>326</v>
      </c>
      <c r="L353" s="1">
        <v>698</v>
      </c>
      <c r="M353" s="1" t="s">
        <v>16</v>
      </c>
    </row>
    <row r="354" spans="1:13" x14ac:dyDescent="0.3">
      <c r="A354" s="1" t="s">
        <v>1052</v>
      </c>
      <c r="B354" s="1" t="s">
        <v>1053</v>
      </c>
      <c r="C354" s="1">
        <v>37</v>
      </c>
      <c r="D354" s="1" t="s">
        <v>15</v>
      </c>
      <c r="E354" s="1">
        <v>1380000</v>
      </c>
      <c r="F354" s="7">
        <v>0.12</v>
      </c>
      <c r="G354" s="1">
        <v>12</v>
      </c>
      <c r="H354" s="1" t="s">
        <v>1054</v>
      </c>
      <c r="I354" s="8">
        <f t="shared" si="11"/>
        <v>122611.32837611152</v>
      </c>
      <c r="J354" s="8">
        <f t="shared" si="10"/>
        <v>1471335.9405133382</v>
      </c>
      <c r="K354" s="1" t="s">
        <v>21</v>
      </c>
      <c r="L354" s="1">
        <v>630</v>
      </c>
      <c r="M354" s="1" t="s">
        <v>60</v>
      </c>
    </row>
    <row r="355" spans="1:13" x14ac:dyDescent="0.3">
      <c r="A355" s="1" t="s">
        <v>1055</v>
      </c>
      <c r="B355" s="1" t="s">
        <v>1056</v>
      </c>
      <c r="C355" s="1">
        <v>60</v>
      </c>
      <c r="D355" s="1" t="s">
        <v>37</v>
      </c>
      <c r="E355" s="1">
        <v>2520000</v>
      </c>
      <c r="F355" s="7">
        <v>0.09</v>
      </c>
      <c r="G355" s="1">
        <v>12</v>
      </c>
      <c r="H355" s="1" t="s">
        <v>1057</v>
      </c>
      <c r="I355" s="8">
        <f t="shared" si="11"/>
        <v>220377.72146020198</v>
      </c>
      <c r="J355" s="8">
        <f t="shared" si="10"/>
        <v>2644532.6575224237</v>
      </c>
      <c r="K355" s="1" t="s">
        <v>82</v>
      </c>
      <c r="L355" s="1">
        <v>764</v>
      </c>
      <c r="M355" s="1" t="s">
        <v>60</v>
      </c>
    </row>
    <row r="356" spans="1:13" x14ac:dyDescent="0.3">
      <c r="A356" s="1" t="s">
        <v>1058</v>
      </c>
      <c r="B356" s="1" t="s">
        <v>1059</v>
      </c>
      <c r="C356" s="1">
        <v>53</v>
      </c>
      <c r="D356" s="1" t="s">
        <v>37</v>
      </c>
      <c r="E356" s="1">
        <v>3760000</v>
      </c>
      <c r="F356" s="7">
        <v>7.4999999999999997E-2</v>
      </c>
      <c r="G356" s="1">
        <v>60</v>
      </c>
      <c r="H356" s="1" t="s">
        <v>1060</v>
      </c>
      <c r="I356" s="8">
        <f t="shared" si="11"/>
        <v>75342.686719545338</v>
      </c>
      <c r="J356" s="8">
        <f t="shared" si="10"/>
        <v>4520561.20317272</v>
      </c>
      <c r="K356" s="1" t="s">
        <v>212</v>
      </c>
      <c r="L356" s="1">
        <v>747</v>
      </c>
      <c r="M356" s="1" t="s">
        <v>16</v>
      </c>
    </row>
    <row r="357" spans="1:13" x14ac:dyDescent="0.3">
      <c r="A357" s="1" t="s">
        <v>1061</v>
      </c>
      <c r="B357" s="1" t="s">
        <v>1062</v>
      </c>
      <c r="C357" s="1">
        <v>29</v>
      </c>
      <c r="D357" s="1" t="s">
        <v>27</v>
      </c>
      <c r="E357" s="1">
        <v>810000</v>
      </c>
      <c r="F357" s="7">
        <v>9.5000000000000001E-2</v>
      </c>
      <c r="G357" s="1">
        <v>48</v>
      </c>
      <c r="H357" s="1" t="s">
        <v>1063</v>
      </c>
      <c r="I357" s="8">
        <f t="shared" si="11"/>
        <v>20349.740703457919</v>
      </c>
      <c r="J357" s="8">
        <f t="shared" si="10"/>
        <v>976787.55376598006</v>
      </c>
      <c r="K357" s="1" t="s">
        <v>39</v>
      </c>
      <c r="L357" s="1">
        <v>749</v>
      </c>
      <c r="M357" s="1" t="s">
        <v>20</v>
      </c>
    </row>
    <row r="358" spans="1:13" x14ac:dyDescent="0.3">
      <c r="A358" s="1" t="s">
        <v>1064</v>
      </c>
      <c r="B358" s="1" t="s">
        <v>1065</v>
      </c>
      <c r="C358" s="1">
        <v>63</v>
      </c>
      <c r="D358" s="1" t="s">
        <v>27</v>
      </c>
      <c r="E358" s="1">
        <v>670000</v>
      </c>
      <c r="F358" s="7">
        <v>7.4999999999999997E-2</v>
      </c>
      <c r="G358" s="1">
        <v>180</v>
      </c>
      <c r="H358" s="1" t="s">
        <v>788</v>
      </c>
      <c r="I358" s="8">
        <f t="shared" si="11"/>
        <v>6210.9828120183456</v>
      </c>
      <c r="J358" s="8">
        <f t="shared" si="10"/>
        <v>1117976.9061633023</v>
      </c>
      <c r="K358" s="1" t="s">
        <v>34</v>
      </c>
      <c r="L358" s="1">
        <v>574</v>
      </c>
      <c r="M358" s="1" t="s">
        <v>16</v>
      </c>
    </row>
    <row r="359" spans="1:13" x14ac:dyDescent="0.3">
      <c r="A359" s="1" t="s">
        <v>1066</v>
      </c>
      <c r="B359" s="1" t="s">
        <v>1067</v>
      </c>
      <c r="C359" s="1">
        <v>59</v>
      </c>
      <c r="D359" s="1" t="s">
        <v>18</v>
      </c>
      <c r="E359" s="1">
        <v>900000</v>
      </c>
      <c r="F359" s="7">
        <v>0.11</v>
      </c>
      <c r="G359" s="1">
        <v>48</v>
      </c>
      <c r="H359" s="1" t="s">
        <v>302</v>
      </c>
      <c r="I359" s="8">
        <f t="shared" si="11"/>
        <v>23260.970350307532</v>
      </c>
      <c r="J359" s="8">
        <f t="shared" si="10"/>
        <v>1116526.5768147616</v>
      </c>
      <c r="K359" s="1" t="s">
        <v>64</v>
      </c>
      <c r="L359" s="1">
        <v>638</v>
      </c>
      <c r="M359" s="1" t="s">
        <v>16</v>
      </c>
    </row>
    <row r="360" spans="1:13" x14ac:dyDescent="0.3">
      <c r="A360" s="1" t="s">
        <v>1068</v>
      </c>
      <c r="B360" s="1" t="s">
        <v>1069</v>
      </c>
      <c r="C360" s="1">
        <v>49</v>
      </c>
      <c r="D360" s="1" t="s">
        <v>23</v>
      </c>
      <c r="E360" s="1">
        <v>7440000</v>
      </c>
      <c r="F360" s="7">
        <v>0.115</v>
      </c>
      <c r="G360" s="1">
        <v>84</v>
      </c>
      <c r="H360" s="1" t="s">
        <v>1070</v>
      </c>
      <c r="I360" s="8">
        <f t="shared" si="11"/>
        <v>129355.26850258658</v>
      </c>
      <c r="J360" s="8">
        <f t="shared" si="10"/>
        <v>10865842.554217273</v>
      </c>
      <c r="K360" s="1" t="s">
        <v>82</v>
      </c>
      <c r="L360" s="1">
        <v>817</v>
      </c>
      <c r="M360" s="1" t="s">
        <v>16</v>
      </c>
    </row>
    <row r="361" spans="1:13" x14ac:dyDescent="0.3">
      <c r="A361" s="1" t="s">
        <v>1071</v>
      </c>
      <c r="B361" s="1" t="s">
        <v>1072</v>
      </c>
      <c r="C361" s="1">
        <v>62</v>
      </c>
      <c r="D361" s="1" t="s">
        <v>32</v>
      </c>
      <c r="E361" s="1">
        <v>450000</v>
      </c>
      <c r="F361" s="7">
        <v>0.1</v>
      </c>
      <c r="G361" s="1">
        <v>240</v>
      </c>
      <c r="H361" s="1" t="s">
        <v>322</v>
      </c>
      <c r="I361" s="8">
        <f t="shared" si="11"/>
        <v>4342.5974028330356</v>
      </c>
      <c r="J361" s="8">
        <f t="shared" si="10"/>
        <v>1042223.3766799285</v>
      </c>
      <c r="K361" s="1" t="s">
        <v>187</v>
      </c>
      <c r="L361" s="1">
        <v>692</v>
      </c>
      <c r="M361" s="1" t="s">
        <v>16</v>
      </c>
    </row>
    <row r="362" spans="1:13" x14ac:dyDescent="0.3">
      <c r="A362" s="1" t="s">
        <v>1073</v>
      </c>
      <c r="B362" s="1" t="s">
        <v>1074</v>
      </c>
      <c r="C362" s="1">
        <v>46</v>
      </c>
      <c r="D362" s="1" t="s">
        <v>32</v>
      </c>
      <c r="E362" s="1">
        <v>440000</v>
      </c>
      <c r="F362" s="7">
        <v>0.12</v>
      </c>
      <c r="G362" s="1">
        <v>48</v>
      </c>
      <c r="H362" s="1" t="s">
        <v>541</v>
      </c>
      <c r="I362" s="8">
        <f t="shared" si="11"/>
        <v>11586.887590048218</v>
      </c>
      <c r="J362" s="8">
        <f t="shared" si="10"/>
        <v>556170.6043223145</v>
      </c>
      <c r="K362" s="1" t="s">
        <v>90</v>
      </c>
      <c r="L362" s="1">
        <v>608</v>
      </c>
      <c r="M362" s="1" t="s">
        <v>20</v>
      </c>
    </row>
    <row r="363" spans="1:13" x14ac:dyDescent="0.3">
      <c r="A363" s="1" t="s">
        <v>1075</v>
      </c>
      <c r="B363" s="1" t="s">
        <v>1076</v>
      </c>
      <c r="C363" s="1">
        <v>55</v>
      </c>
      <c r="D363" s="1" t="s">
        <v>32</v>
      </c>
      <c r="E363" s="1">
        <v>120000</v>
      </c>
      <c r="F363" s="7">
        <v>0.09</v>
      </c>
      <c r="G363" s="1">
        <v>48</v>
      </c>
      <c r="H363" s="1" t="s">
        <v>1077</v>
      </c>
      <c r="I363" s="8">
        <f t="shared" si="11"/>
        <v>2986.2050848721051</v>
      </c>
      <c r="J363" s="8">
        <f t="shared" si="10"/>
        <v>143337.84407386105</v>
      </c>
      <c r="K363" s="1" t="s">
        <v>44</v>
      </c>
      <c r="L363" s="1">
        <v>575</v>
      </c>
      <c r="M363" s="1" t="s">
        <v>20</v>
      </c>
    </row>
    <row r="364" spans="1:13" x14ac:dyDescent="0.3">
      <c r="A364" s="1" t="s">
        <v>1078</v>
      </c>
      <c r="B364" s="1" t="s">
        <v>1079</v>
      </c>
      <c r="C364" s="1">
        <v>45</v>
      </c>
      <c r="D364" s="1" t="s">
        <v>32</v>
      </c>
      <c r="E364" s="1">
        <v>460000</v>
      </c>
      <c r="F364" s="7">
        <v>8.5000000000000006E-2</v>
      </c>
      <c r="G364" s="1">
        <v>60</v>
      </c>
      <c r="H364" s="1" t="s">
        <v>1080</v>
      </c>
      <c r="I364" s="8">
        <f t="shared" si="11"/>
        <v>9437.604410443575</v>
      </c>
      <c r="J364" s="8">
        <f t="shared" si="10"/>
        <v>566256.26462661452</v>
      </c>
      <c r="K364" s="1" t="s">
        <v>56</v>
      </c>
      <c r="L364" s="1">
        <v>596</v>
      </c>
      <c r="M364" s="1" t="s">
        <v>16</v>
      </c>
    </row>
    <row r="365" spans="1:13" x14ac:dyDescent="0.3">
      <c r="A365" s="1" t="s">
        <v>1081</v>
      </c>
      <c r="B365" s="1" t="s">
        <v>1082</v>
      </c>
      <c r="C365" s="1">
        <v>44</v>
      </c>
      <c r="D365" s="1" t="s">
        <v>23</v>
      </c>
      <c r="E365" s="1">
        <v>2320000</v>
      </c>
      <c r="F365" s="7">
        <v>0.08</v>
      </c>
      <c r="G365" s="1">
        <v>180</v>
      </c>
      <c r="H365" s="1" t="s">
        <v>1083</v>
      </c>
      <c r="I365" s="8">
        <f t="shared" si="11"/>
        <v>22171.128356464153</v>
      </c>
      <c r="J365" s="8">
        <f t="shared" si="10"/>
        <v>3990803.1041635475</v>
      </c>
      <c r="K365" s="1" t="s">
        <v>201</v>
      </c>
      <c r="L365" s="1">
        <v>837</v>
      </c>
      <c r="M365" s="1" t="s">
        <v>16</v>
      </c>
    </row>
    <row r="366" spans="1:13" x14ac:dyDescent="0.3">
      <c r="A366" s="1" t="s">
        <v>1084</v>
      </c>
      <c r="B366" s="1" t="s">
        <v>1085</v>
      </c>
      <c r="C366" s="1">
        <v>33</v>
      </c>
      <c r="D366" s="1" t="s">
        <v>18</v>
      </c>
      <c r="E366" s="1">
        <v>1250000</v>
      </c>
      <c r="F366" s="7">
        <v>0.09</v>
      </c>
      <c r="G366" s="1">
        <v>36</v>
      </c>
      <c r="H366" s="1" t="s">
        <v>1086</v>
      </c>
      <c r="I366" s="8">
        <f t="shared" si="11"/>
        <v>39749.665824925854</v>
      </c>
      <c r="J366" s="8">
        <f t="shared" si="10"/>
        <v>1430987.9696973308</v>
      </c>
      <c r="K366" s="1" t="s">
        <v>115</v>
      </c>
      <c r="L366" s="1">
        <v>815</v>
      </c>
      <c r="M366" s="1" t="s">
        <v>16</v>
      </c>
    </row>
    <row r="367" spans="1:13" x14ac:dyDescent="0.3">
      <c r="A367" s="1" t="s">
        <v>1087</v>
      </c>
      <c r="B367" s="1" t="s">
        <v>1088</v>
      </c>
      <c r="C367" s="1">
        <v>27</v>
      </c>
      <c r="D367" s="1" t="s">
        <v>27</v>
      </c>
      <c r="E367" s="1">
        <v>880000</v>
      </c>
      <c r="F367" s="7">
        <v>0.125</v>
      </c>
      <c r="G367" s="1">
        <v>24</v>
      </c>
      <c r="H367" s="1" t="s">
        <v>1089</v>
      </c>
      <c r="I367" s="8">
        <f t="shared" si="11"/>
        <v>41630.431247239569</v>
      </c>
      <c r="J367" s="8">
        <f t="shared" si="10"/>
        <v>999130.34993374965</v>
      </c>
      <c r="K367" s="1" t="s">
        <v>316</v>
      </c>
      <c r="L367" s="1">
        <v>565</v>
      </c>
      <c r="M367" s="1" t="s">
        <v>60</v>
      </c>
    </row>
    <row r="368" spans="1:13" x14ac:dyDescent="0.3">
      <c r="A368" s="1" t="s">
        <v>1090</v>
      </c>
      <c r="B368" s="1" t="s">
        <v>468</v>
      </c>
      <c r="C368" s="1">
        <v>56</v>
      </c>
      <c r="D368" s="1" t="s">
        <v>37</v>
      </c>
      <c r="E368" s="1">
        <v>3400000</v>
      </c>
      <c r="F368" s="7">
        <v>0.09</v>
      </c>
      <c r="G368" s="1">
        <v>36</v>
      </c>
      <c r="H368" s="1" t="s">
        <v>1091</v>
      </c>
      <c r="I368" s="8">
        <f t="shared" si="11"/>
        <v>108119.09104379833</v>
      </c>
      <c r="J368" s="8">
        <f t="shared" si="10"/>
        <v>3892287.2775767399</v>
      </c>
      <c r="K368" s="1" t="s">
        <v>159</v>
      </c>
      <c r="L368" s="1">
        <v>748</v>
      </c>
      <c r="M368" s="1" t="s">
        <v>20</v>
      </c>
    </row>
    <row r="369" spans="1:13" x14ac:dyDescent="0.3">
      <c r="A369" s="1" t="s">
        <v>1092</v>
      </c>
      <c r="B369" s="1" t="s">
        <v>1093</v>
      </c>
      <c r="C369" s="1">
        <v>40</v>
      </c>
      <c r="D369" s="1" t="s">
        <v>23</v>
      </c>
      <c r="E369" s="1">
        <v>1900000</v>
      </c>
      <c r="F369" s="7">
        <v>9.5000000000000001E-2</v>
      </c>
      <c r="G369" s="1">
        <v>36</v>
      </c>
      <c r="H369" s="1" t="s">
        <v>1094</v>
      </c>
      <c r="I369" s="8">
        <f t="shared" si="11"/>
        <v>60862.604507485208</v>
      </c>
      <c r="J369" s="8">
        <f t="shared" si="10"/>
        <v>2191053.7622694676</v>
      </c>
      <c r="K369" s="1" t="s">
        <v>155</v>
      </c>
      <c r="L369" s="1">
        <v>831</v>
      </c>
      <c r="M369" s="1" t="s">
        <v>16</v>
      </c>
    </row>
    <row r="370" spans="1:13" x14ac:dyDescent="0.3">
      <c r="A370" s="1" t="s">
        <v>1095</v>
      </c>
      <c r="B370" s="1" t="s">
        <v>1096</v>
      </c>
      <c r="C370" s="1">
        <v>21</v>
      </c>
      <c r="D370" s="1" t="s">
        <v>15</v>
      </c>
      <c r="E370" s="1">
        <v>400000</v>
      </c>
      <c r="F370" s="7">
        <v>0.115</v>
      </c>
      <c r="G370" s="1">
        <v>240</v>
      </c>
      <c r="H370" s="1" t="s">
        <v>1097</v>
      </c>
      <c r="I370" s="8">
        <f t="shared" si="11"/>
        <v>4265.7185260514361</v>
      </c>
      <c r="J370" s="8">
        <f t="shared" si="10"/>
        <v>1023772.4462523446</v>
      </c>
      <c r="K370" s="1" t="s">
        <v>115</v>
      </c>
      <c r="L370" s="1">
        <v>635</v>
      </c>
      <c r="M370" s="1" t="s">
        <v>312</v>
      </c>
    </row>
    <row r="371" spans="1:13" x14ac:dyDescent="0.3">
      <c r="A371" s="1" t="s">
        <v>1098</v>
      </c>
      <c r="B371" s="1" t="s">
        <v>1099</v>
      </c>
      <c r="C371" s="1">
        <v>28</v>
      </c>
      <c r="D371" s="1" t="s">
        <v>23</v>
      </c>
      <c r="E371" s="1">
        <v>8330000</v>
      </c>
      <c r="F371" s="7">
        <v>0.13</v>
      </c>
      <c r="G371" s="1">
        <v>24</v>
      </c>
      <c r="H371" s="1" t="s">
        <v>1100</v>
      </c>
      <c r="I371" s="8">
        <f t="shared" si="11"/>
        <v>396023.38216179691</v>
      </c>
      <c r="J371" s="8">
        <f t="shared" si="10"/>
        <v>9504561.1718831249</v>
      </c>
      <c r="K371" s="1" t="s">
        <v>226</v>
      </c>
      <c r="L371" s="1">
        <v>799</v>
      </c>
      <c r="M371" s="1" t="s">
        <v>20</v>
      </c>
    </row>
    <row r="372" spans="1:13" x14ac:dyDescent="0.3">
      <c r="A372" s="1" t="s">
        <v>1101</v>
      </c>
      <c r="B372" s="1" t="s">
        <v>1102</v>
      </c>
      <c r="C372" s="1">
        <v>36</v>
      </c>
      <c r="D372" s="1" t="s">
        <v>18</v>
      </c>
      <c r="E372" s="1">
        <v>690000</v>
      </c>
      <c r="F372" s="7">
        <v>7.4999999999999997E-2</v>
      </c>
      <c r="G372" s="1">
        <v>120</v>
      </c>
      <c r="H372" s="1" t="s">
        <v>1103</v>
      </c>
      <c r="I372" s="8">
        <f t="shared" si="11"/>
        <v>8190.422070373942</v>
      </c>
      <c r="J372" s="8">
        <f t="shared" si="10"/>
        <v>982850.64844487305</v>
      </c>
      <c r="K372" s="1" t="s">
        <v>29</v>
      </c>
      <c r="L372" s="1">
        <v>819</v>
      </c>
      <c r="M372" s="1" t="s">
        <v>16</v>
      </c>
    </row>
    <row r="373" spans="1:13" x14ac:dyDescent="0.3">
      <c r="A373" s="1" t="s">
        <v>1104</v>
      </c>
      <c r="B373" s="1" t="s">
        <v>1105</v>
      </c>
      <c r="C373" s="1">
        <v>34</v>
      </c>
      <c r="D373" s="1" t="s">
        <v>23</v>
      </c>
      <c r="E373" s="1">
        <v>2280000</v>
      </c>
      <c r="F373" s="7">
        <v>0.09</v>
      </c>
      <c r="G373" s="1">
        <v>12</v>
      </c>
      <c r="H373" s="1" t="s">
        <v>1106</v>
      </c>
      <c r="I373" s="8">
        <f t="shared" si="11"/>
        <v>199389.36703542084</v>
      </c>
      <c r="J373" s="8">
        <f t="shared" si="10"/>
        <v>2392672.4044250501</v>
      </c>
      <c r="K373" s="1" t="s">
        <v>48</v>
      </c>
      <c r="L373" s="1">
        <v>884</v>
      </c>
      <c r="M373" s="1" t="s">
        <v>16</v>
      </c>
    </row>
    <row r="374" spans="1:13" x14ac:dyDescent="0.3">
      <c r="A374" s="1" t="s">
        <v>1107</v>
      </c>
      <c r="B374" s="1" t="s">
        <v>1108</v>
      </c>
      <c r="C374" s="1">
        <v>32</v>
      </c>
      <c r="D374" s="1" t="s">
        <v>23</v>
      </c>
      <c r="E374" s="1">
        <v>6710000</v>
      </c>
      <c r="F374" s="7">
        <v>0.12</v>
      </c>
      <c r="G374" s="1">
        <v>120</v>
      </c>
      <c r="H374" s="1" t="s">
        <v>1109</v>
      </c>
      <c r="I374" s="8">
        <f t="shared" si="11"/>
        <v>96269.006378136124</v>
      </c>
      <c r="J374" s="8">
        <f t="shared" si="10"/>
        <v>11552280.765376335</v>
      </c>
      <c r="K374" s="1" t="s">
        <v>34</v>
      </c>
      <c r="L374" s="1">
        <v>666</v>
      </c>
      <c r="M374" s="1" t="s">
        <v>16</v>
      </c>
    </row>
    <row r="375" spans="1:13" x14ac:dyDescent="0.3">
      <c r="A375" s="1" t="s">
        <v>1110</v>
      </c>
      <c r="B375" s="1" t="s">
        <v>1111</v>
      </c>
      <c r="C375" s="1">
        <v>43</v>
      </c>
      <c r="D375" s="1" t="s">
        <v>18</v>
      </c>
      <c r="E375" s="1">
        <v>1470000</v>
      </c>
      <c r="F375" s="7">
        <v>0.105</v>
      </c>
      <c r="G375" s="1">
        <v>60</v>
      </c>
      <c r="H375" s="1" t="s">
        <v>1112</v>
      </c>
      <c r="I375" s="8">
        <f t="shared" si="11"/>
        <v>31596.033555832666</v>
      </c>
      <c r="J375" s="8">
        <f t="shared" si="10"/>
        <v>1895762.0133499599</v>
      </c>
      <c r="K375" s="1" t="s">
        <v>249</v>
      </c>
      <c r="L375" s="1">
        <v>556</v>
      </c>
      <c r="M375" s="1" t="s">
        <v>20</v>
      </c>
    </row>
    <row r="376" spans="1:13" x14ac:dyDescent="0.3">
      <c r="A376" s="1" t="s">
        <v>1113</v>
      </c>
      <c r="B376" s="1" t="s">
        <v>720</v>
      </c>
      <c r="C376" s="1">
        <v>35</v>
      </c>
      <c r="D376" s="1" t="s">
        <v>42</v>
      </c>
      <c r="E376" s="1">
        <v>1130000</v>
      </c>
      <c r="F376" s="7">
        <v>0.1</v>
      </c>
      <c r="G376" s="1">
        <v>240</v>
      </c>
      <c r="H376" s="1" t="s">
        <v>1114</v>
      </c>
      <c r="I376" s="8">
        <f t="shared" si="11"/>
        <v>10904.744589336287</v>
      </c>
      <c r="J376" s="8">
        <f t="shared" si="10"/>
        <v>2617138.7014407092</v>
      </c>
      <c r="K376" s="1" t="s">
        <v>187</v>
      </c>
      <c r="L376" s="1">
        <v>686</v>
      </c>
      <c r="M376" s="1" t="s">
        <v>16</v>
      </c>
    </row>
    <row r="377" spans="1:13" x14ac:dyDescent="0.3">
      <c r="A377" s="1" t="s">
        <v>1115</v>
      </c>
      <c r="B377" s="1" t="s">
        <v>1116</v>
      </c>
      <c r="C377" s="1">
        <v>48</v>
      </c>
      <c r="D377" s="1" t="s">
        <v>15</v>
      </c>
      <c r="E377" s="1">
        <v>1820000</v>
      </c>
      <c r="F377" s="7">
        <v>8.5000000000000006E-2</v>
      </c>
      <c r="G377" s="1">
        <v>60</v>
      </c>
      <c r="H377" s="1" t="s">
        <v>1117</v>
      </c>
      <c r="I377" s="8">
        <f t="shared" si="11"/>
        <v>37340.087015233279</v>
      </c>
      <c r="J377" s="8">
        <f t="shared" si="10"/>
        <v>2240405.2209139969</v>
      </c>
      <c r="K377" s="1" t="s">
        <v>56</v>
      </c>
      <c r="L377" s="1">
        <v>725</v>
      </c>
      <c r="M377" s="1" t="s">
        <v>16</v>
      </c>
    </row>
    <row r="378" spans="1:13" x14ac:dyDescent="0.3">
      <c r="A378" s="1" t="s">
        <v>1118</v>
      </c>
      <c r="B378" s="1" t="s">
        <v>1119</v>
      </c>
      <c r="C378" s="1">
        <v>54</v>
      </c>
      <c r="D378" s="1" t="s">
        <v>27</v>
      </c>
      <c r="E378" s="1">
        <v>440000</v>
      </c>
      <c r="F378" s="7">
        <v>8.5000000000000006E-2</v>
      </c>
      <c r="G378" s="1">
        <v>36</v>
      </c>
      <c r="H378" s="1" t="s">
        <v>1120</v>
      </c>
      <c r="I378" s="8">
        <f t="shared" si="11"/>
        <v>13889.716466365255</v>
      </c>
      <c r="J378" s="8">
        <f t="shared" si="10"/>
        <v>500029.79278914916</v>
      </c>
      <c r="K378" s="1" t="s">
        <v>34</v>
      </c>
      <c r="L378" s="1">
        <v>877</v>
      </c>
      <c r="M378" s="1" t="s">
        <v>312</v>
      </c>
    </row>
    <row r="379" spans="1:13" x14ac:dyDescent="0.3">
      <c r="A379" s="1" t="s">
        <v>1121</v>
      </c>
      <c r="B379" s="1" t="s">
        <v>1122</v>
      </c>
      <c r="C379" s="1">
        <v>22</v>
      </c>
      <c r="D379" s="1" t="s">
        <v>37</v>
      </c>
      <c r="E379" s="1">
        <v>750000</v>
      </c>
      <c r="F379" s="7">
        <v>0.09</v>
      </c>
      <c r="G379" s="1">
        <v>36</v>
      </c>
      <c r="H379" s="1" t="s">
        <v>1123</v>
      </c>
      <c r="I379" s="8">
        <f t="shared" si="11"/>
        <v>23849.799494955514</v>
      </c>
      <c r="J379" s="8">
        <f t="shared" si="10"/>
        <v>858592.78181839851</v>
      </c>
      <c r="K379" s="1" t="s">
        <v>86</v>
      </c>
      <c r="L379" s="1">
        <v>864</v>
      </c>
      <c r="M379" s="1" t="s">
        <v>16</v>
      </c>
    </row>
    <row r="380" spans="1:13" x14ac:dyDescent="0.3">
      <c r="A380" s="1" t="s">
        <v>1124</v>
      </c>
      <c r="B380" s="1" t="s">
        <v>1125</v>
      </c>
      <c r="C380" s="1">
        <v>52</v>
      </c>
      <c r="D380" s="1" t="s">
        <v>37</v>
      </c>
      <c r="E380" s="1">
        <v>2790000</v>
      </c>
      <c r="F380" s="7">
        <v>0.12</v>
      </c>
      <c r="G380" s="1">
        <v>60</v>
      </c>
      <c r="H380" s="1" t="s">
        <v>1126</v>
      </c>
      <c r="I380" s="8">
        <f t="shared" si="11"/>
        <v>62062.00904087595</v>
      </c>
      <c r="J380" s="8">
        <f t="shared" si="10"/>
        <v>3723720.542452557</v>
      </c>
      <c r="K380" s="1" t="s">
        <v>159</v>
      </c>
      <c r="L380" s="1">
        <v>764</v>
      </c>
      <c r="M380" s="1" t="s">
        <v>20</v>
      </c>
    </row>
    <row r="381" spans="1:13" x14ac:dyDescent="0.3">
      <c r="A381" s="1" t="s">
        <v>1127</v>
      </c>
      <c r="B381" s="1" t="s">
        <v>1128</v>
      </c>
      <c r="C381" s="1">
        <v>43</v>
      </c>
      <c r="D381" s="1" t="s">
        <v>27</v>
      </c>
      <c r="E381" s="1">
        <v>920000</v>
      </c>
      <c r="F381" s="7">
        <v>0.1</v>
      </c>
      <c r="G381" s="1">
        <v>12</v>
      </c>
      <c r="H381" s="1" t="s">
        <v>1129</v>
      </c>
      <c r="I381" s="8">
        <f t="shared" si="11"/>
        <v>80882.616251608822</v>
      </c>
      <c r="J381" s="8">
        <f t="shared" si="10"/>
        <v>970591.39501930587</v>
      </c>
      <c r="K381" s="1" t="s">
        <v>104</v>
      </c>
      <c r="L381" s="1">
        <v>631</v>
      </c>
      <c r="M381" s="1" t="s">
        <v>16</v>
      </c>
    </row>
    <row r="382" spans="1:13" x14ac:dyDescent="0.3">
      <c r="A382" s="1" t="s">
        <v>1130</v>
      </c>
      <c r="B382" s="1" t="s">
        <v>522</v>
      </c>
      <c r="C382" s="1">
        <v>42</v>
      </c>
      <c r="D382" s="1" t="s">
        <v>42</v>
      </c>
      <c r="E382" s="1">
        <v>1240000</v>
      </c>
      <c r="F382" s="7">
        <v>0.13</v>
      </c>
      <c r="G382" s="1">
        <v>84</v>
      </c>
      <c r="H382" s="1" t="s">
        <v>1131</v>
      </c>
      <c r="I382" s="8">
        <f t="shared" si="11"/>
        <v>22558.034552481837</v>
      </c>
      <c r="J382" s="8">
        <f t="shared" si="10"/>
        <v>1894874.9024084744</v>
      </c>
      <c r="K382" s="1" t="s">
        <v>155</v>
      </c>
      <c r="L382" s="1">
        <v>772</v>
      </c>
      <c r="M382" s="1" t="s">
        <v>16</v>
      </c>
    </row>
    <row r="383" spans="1:13" x14ac:dyDescent="0.3">
      <c r="A383" s="1" t="s">
        <v>1132</v>
      </c>
      <c r="B383" s="1" t="s">
        <v>1133</v>
      </c>
      <c r="C383" s="1">
        <v>45</v>
      </c>
      <c r="D383" s="1" t="s">
        <v>18</v>
      </c>
      <c r="E383" s="1">
        <v>1230000</v>
      </c>
      <c r="F383" s="7">
        <v>0.13</v>
      </c>
      <c r="G383" s="1">
        <v>180</v>
      </c>
      <c r="H383" s="1" t="s">
        <v>1134</v>
      </c>
      <c r="I383" s="8">
        <f t="shared" si="11"/>
        <v>15562.478657531219</v>
      </c>
      <c r="J383" s="8">
        <f t="shared" si="10"/>
        <v>2801246.1583556193</v>
      </c>
      <c r="K383" s="1" t="s">
        <v>143</v>
      </c>
      <c r="L383" s="1">
        <v>652</v>
      </c>
      <c r="M383" s="1" t="s">
        <v>20</v>
      </c>
    </row>
    <row r="384" spans="1:13" x14ac:dyDescent="0.3">
      <c r="A384" s="1" t="s">
        <v>1135</v>
      </c>
      <c r="B384" s="1" t="s">
        <v>1136</v>
      </c>
      <c r="C384" s="1">
        <v>42</v>
      </c>
      <c r="D384" s="1" t="s">
        <v>37</v>
      </c>
      <c r="E384" s="1">
        <v>2410000</v>
      </c>
      <c r="F384" s="7">
        <v>0.1</v>
      </c>
      <c r="G384" s="1">
        <v>36</v>
      </c>
      <c r="H384" s="1" t="s">
        <v>1137</v>
      </c>
      <c r="I384" s="8">
        <f t="shared" si="11"/>
        <v>77763.92113714834</v>
      </c>
      <c r="J384" s="8">
        <f t="shared" si="10"/>
        <v>2799501.16093734</v>
      </c>
      <c r="K384" s="1" t="s">
        <v>212</v>
      </c>
      <c r="L384" s="1">
        <v>822</v>
      </c>
      <c r="M384" s="1" t="s">
        <v>20</v>
      </c>
    </row>
    <row r="385" spans="1:13" x14ac:dyDescent="0.3">
      <c r="A385" s="1" t="s">
        <v>1138</v>
      </c>
      <c r="B385" s="1" t="s">
        <v>1139</v>
      </c>
      <c r="C385" s="1">
        <v>42</v>
      </c>
      <c r="D385" s="1" t="s">
        <v>23</v>
      </c>
      <c r="E385" s="1">
        <v>6970000</v>
      </c>
      <c r="F385" s="7">
        <v>0.12</v>
      </c>
      <c r="G385" s="1">
        <v>12</v>
      </c>
      <c r="H385" s="1" t="s">
        <v>1140</v>
      </c>
      <c r="I385" s="8">
        <f t="shared" si="11"/>
        <v>619276.05708804156</v>
      </c>
      <c r="J385" s="8">
        <f t="shared" si="10"/>
        <v>7431312.6850564983</v>
      </c>
      <c r="K385" s="1" t="s">
        <v>21</v>
      </c>
      <c r="L385" s="1">
        <v>563</v>
      </c>
      <c r="M385" s="1" t="s">
        <v>16</v>
      </c>
    </row>
    <row r="386" spans="1:13" x14ac:dyDescent="0.3">
      <c r="A386" s="1" t="s">
        <v>1141</v>
      </c>
      <c r="B386" s="1" t="s">
        <v>546</v>
      </c>
      <c r="C386" s="1">
        <v>62</v>
      </c>
      <c r="D386" s="1" t="s">
        <v>37</v>
      </c>
      <c r="E386" s="1">
        <v>3650000</v>
      </c>
      <c r="F386" s="7">
        <v>7.4999999999999997E-2</v>
      </c>
      <c r="G386" s="1">
        <v>36</v>
      </c>
      <c r="H386" s="1" t="s">
        <v>1142</v>
      </c>
      <c r="I386" s="8">
        <f t="shared" si="11"/>
        <v>113537.69628639599</v>
      </c>
      <c r="J386" s="8">
        <f t="shared" si="10"/>
        <v>4087357.0663102558</v>
      </c>
      <c r="K386" s="1" t="s">
        <v>205</v>
      </c>
      <c r="L386" s="1">
        <v>708</v>
      </c>
      <c r="M386" s="1" t="s">
        <v>16</v>
      </c>
    </row>
    <row r="387" spans="1:13" x14ac:dyDescent="0.3">
      <c r="A387" s="1" t="s">
        <v>1143</v>
      </c>
      <c r="B387" s="1" t="s">
        <v>1144</v>
      </c>
      <c r="C387" s="1">
        <v>26</v>
      </c>
      <c r="D387" s="1" t="s">
        <v>15</v>
      </c>
      <c r="E387" s="1">
        <v>1110000</v>
      </c>
      <c r="F387" s="7">
        <v>0.13</v>
      </c>
      <c r="G387" s="1">
        <v>84</v>
      </c>
      <c r="H387" s="1" t="s">
        <v>1145</v>
      </c>
      <c r="I387" s="8">
        <f t="shared" si="11"/>
        <v>20193.079317140997</v>
      </c>
      <c r="J387" s="8">
        <f t="shared" si="10"/>
        <v>1696218.6626398438</v>
      </c>
      <c r="K387" s="1" t="s">
        <v>366</v>
      </c>
      <c r="L387" s="1">
        <v>701</v>
      </c>
      <c r="M387" s="1" t="s">
        <v>20</v>
      </c>
    </row>
    <row r="388" spans="1:13" x14ac:dyDescent="0.3">
      <c r="A388" s="1" t="s">
        <v>1146</v>
      </c>
      <c r="B388" s="1" t="s">
        <v>359</v>
      </c>
      <c r="C388" s="1">
        <v>35</v>
      </c>
      <c r="D388" s="1" t="s">
        <v>15</v>
      </c>
      <c r="E388" s="1">
        <v>590000</v>
      </c>
      <c r="F388" s="7">
        <v>0.13</v>
      </c>
      <c r="G388" s="1">
        <v>12</v>
      </c>
      <c r="H388" s="1" t="s">
        <v>1147</v>
      </c>
      <c r="I388" s="8">
        <f t="shared" si="11"/>
        <v>52697.192669931901</v>
      </c>
      <c r="J388" s="8">
        <f t="shared" ref="J388:J451" si="12">(I388*G388)</f>
        <v>632366.31203918275</v>
      </c>
      <c r="K388" s="1" t="s">
        <v>201</v>
      </c>
      <c r="L388" s="1">
        <v>657</v>
      </c>
      <c r="M388" s="1" t="s">
        <v>20</v>
      </c>
    </row>
    <row r="389" spans="1:13" x14ac:dyDescent="0.3">
      <c r="A389" s="1" t="s">
        <v>1148</v>
      </c>
      <c r="B389" s="1" t="s">
        <v>1149</v>
      </c>
      <c r="C389" s="1">
        <v>63</v>
      </c>
      <c r="D389" s="1" t="s">
        <v>27</v>
      </c>
      <c r="E389" s="1">
        <v>810000</v>
      </c>
      <c r="F389" s="7">
        <v>0.1</v>
      </c>
      <c r="G389" s="1">
        <v>60</v>
      </c>
      <c r="H389" s="1" t="s">
        <v>1150</v>
      </c>
      <c r="I389" s="8">
        <f t="shared" ref="I389:I452" si="13">PMT(F389/12,G389, -E389)</f>
        <v>17210.106216127304</v>
      </c>
      <c r="J389" s="8">
        <f t="shared" si="12"/>
        <v>1032606.3729676382</v>
      </c>
      <c r="K389" s="1" t="s">
        <v>86</v>
      </c>
      <c r="L389" s="1">
        <v>737</v>
      </c>
      <c r="M389" s="1" t="s">
        <v>16</v>
      </c>
    </row>
    <row r="390" spans="1:13" x14ac:dyDescent="0.3">
      <c r="A390" s="1" t="s">
        <v>1151</v>
      </c>
      <c r="B390" s="1" t="s">
        <v>1152</v>
      </c>
      <c r="C390" s="1">
        <v>57</v>
      </c>
      <c r="D390" s="1" t="s">
        <v>42</v>
      </c>
      <c r="E390" s="1">
        <v>1100000</v>
      </c>
      <c r="F390" s="7">
        <v>0.12</v>
      </c>
      <c r="G390" s="1">
        <v>180</v>
      </c>
      <c r="H390" s="1" t="s">
        <v>1153</v>
      </c>
      <c r="I390" s="8">
        <f t="shared" si="13"/>
        <v>13201.84868300665</v>
      </c>
      <c r="J390" s="8">
        <f t="shared" si="12"/>
        <v>2376332.762941197</v>
      </c>
      <c r="K390" s="1" t="s">
        <v>39</v>
      </c>
      <c r="L390" s="1">
        <v>850</v>
      </c>
      <c r="M390" s="1" t="s">
        <v>16</v>
      </c>
    </row>
    <row r="391" spans="1:13" x14ac:dyDescent="0.3">
      <c r="A391" s="1" t="s">
        <v>1154</v>
      </c>
      <c r="B391" s="1" t="s">
        <v>776</v>
      </c>
      <c r="C391" s="1">
        <v>53</v>
      </c>
      <c r="D391" s="1" t="s">
        <v>32</v>
      </c>
      <c r="E391" s="1">
        <v>90000</v>
      </c>
      <c r="F391" s="7">
        <v>0.12</v>
      </c>
      <c r="G391" s="1">
        <v>240</v>
      </c>
      <c r="H391" s="1" t="s">
        <v>1155</v>
      </c>
      <c r="I391" s="8">
        <f t="shared" si="13"/>
        <v>990.97752021264898</v>
      </c>
      <c r="J391" s="8">
        <f t="shared" si="12"/>
        <v>237834.60485103575</v>
      </c>
      <c r="K391" s="1" t="s">
        <v>119</v>
      </c>
      <c r="L391" s="1">
        <v>647</v>
      </c>
      <c r="M391" s="1" t="s">
        <v>16</v>
      </c>
    </row>
    <row r="392" spans="1:13" x14ac:dyDescent="0.3">
      <c r="A392" s="1" t="s">
        <v>1156</v>
      </c>
      <c r="B392" s="1" t="s">
        <v>1157</v>
      </c>
      <c r="C392" s="1">
        <v>28</v>
      </c>
      <c r="D392" s="1" t="s">
        <v>32</v>
      </c>
      <c r="E392" s="1">
        <v>450000</v>
      </c>
      <c r="F392" s="7">
        <v>8.5000000000000006E-2</v>
      </c>
      <c r="G392" s="1">
        <v>84</v>
      </c>
      <c r="H392" s="1" t="s">
        <v>1158</v>
      </c>
      <c r="I392" s="8">
        <f t="shared" si="13"/>
        <v>7126.4184467133127</v>
      </c>
      <c r="J392" s="8">
        <f t="shared" si="12"/>
        <v>598619.14952391828</v>
      </c>
      <c r="K392" s="1" t="s">
        <v>159</v>
      </c>
      <c r="L392" s="1">
        <v>680</v>
      </c>
      <c r="M392" s="1" t="s">
        <v>20</v>
      </c>
    </row>
    <row r="393" spans="1:13" x14ac:dyDescent="0.3">
      <c r="A393" s="1" t="s">
        <v>1159</v>
      </c>
      <c r="B393" s="1" t="s">
        <v>1160</v>
      </c>
      <c r="C393" s="1">
        <v>64</v>
      </c>
      <c r="D393" s="1" t="s">
        <v>42</v>
      </c>
      <c r="E393" s="1">
        <v>920000</v>
      </c>
      <c r="F393" s="7">
        <v>0.12</v>
      </c>
      <c r="G393" s="1">
        <v>24</v>
      </c>
      <c r="H393" s="1" t="s">
        <v>1161</v>
      </c>
      <c r="I393" s="8">
        <f t="shared" si="13"/>
        <v>43307.594445403527</v>
      </c>
      <c r="J393" s="8">
        <f t="shared" si="12"/>
        <v>1039382.2666896847</v>
      </c>
      <c r="K393" s="1" t="s">
        <v>48</v>
      </c>
      <c r="L393" s="1">
        <v>842</v>
      </c>
      <c r="M393" s="1" t="s">
        <v>20</v>
      </c>
    </row>
    <row r="394" spans="1:13" x14ac:dyDescent="0.3">
      <c r="A394" s="1" t="s">
        <v>1162</v>
      </c>
      <c r="B394" s="1" t="s">
        <v>1163</v>
      </c>
      <c r="C394" s="1">
        <v>64</v>
      </c>
      <c r="D394" s="1" t="s">
        <v>37</v>
      </c>
      <c r="E394" s="1">
        <v>2570000</v>
      </c>
      <c r="F394" s="7">
        <v>0.09</v>
      </c>
      <c r="G394" s="1">
        <v>84</v>
      </c>
      <c r="H394" s="1" t="s">
        <v>1164</v>
      </c>
      <c r="I394" s="8">
        <f t="shared" si="13"/>
        <v>41348.931128299075</v>
      </c>
      <c r="J394" s="8">
        <f t="shared" si="12"/>
        <v>3473310.2147771223</v>
      </c>
      <c r="K394" s="1" t="s">
        <v>132</v>
      </c>
      <c r="L394" s="1">
        <v>720</v>
      </c>
      <c r="M394" s="1" t="s">
        <v>20</v>
      </c>
    </row>
    <row r="395" spans="1:13" x14ac:dyDescent="0.3">
      <c r="A395" s="1" t="s">
        <v>1165</v>
      </c>
      <c r="B395" s="1" t="s">
        <v>1166</v>
      </c>
      <c r="C395" s="1">
        <v>25</v>
      </c>
      <c r="D395" s="1" t="s">
        <v>42</v>
      </c>
      <c r="E395" s="1">
        <v>450000</v>
      </c>
      <c r="F395" s="7">
        <v>0.11</v>
      </c>
      <c r="G395" s="1">
        <v>240</v>
      </c>
      <c r="H395" s="1" t="s">
        <v>1010</v>
      </c>
      <c r="I395" s="8">
        <f t="shared" si="13"/>
        <v>4644.8477656922551</v>
      </c>
      <c r="J395" s="8">
        <f t="shared" si="12"/>
        <v>1114763.4637661413</v>
      </c>
      <c r="K395" s="1" t="s">
        <v>52</v>
      </c>
      <c r="L395" s="1">
        <v>732</v>
      </c>
      <c r="M395" s="1" t="s">
        <v>16</v>
      </c>
    </row>
    <row r="396" spans="1:13" x14ac:dyDescent="0.3">
      <c r="A396" s="1" t="s">
        <v>1167</v>
      </c>
      <c r="B396" s="1" t="s">
        <v>1125</v>
      </c>
      <c r="C396" s="1">
        <v>59</v>
      </c>
      <c r="D396" s="1" t="s">
        <v>18</v>
      </c>
      <c r="E396" s="1">
        <v>370000</v>
      </c>
      <c r="F396" s="7">
        <v>0.115</v>
      </c>
      <c r="G396" s="1">
        <v>48</v>
      </c>
      <c r="H396" s="1" t="s">
        <v>1168</v>
      </c>
      <c r="I396" s="8">
        <f t="shared" si="13"/>
        <v>9652.9332951672332</v>
      </c>
      <c r="J396" s="8">
        <f t="shared" si="12"/>
        <v>463340.79816802719</v>
      </c>
      <c r="K396" s="1" t="s">
        <v>94</v>
      </c>
      <c r="L396" s="1">
        <v>588</v>
      </c>
      <c r="M396" s="1" t="s">
        <v>20</v>
      </c>
    </row>
    <row r="397" spans="1:13" x14ac:dyDescent="0.3">
      <c r="A397" s="1" t="s">
        <v>1169</v>
      </c>
      <c r="B397" s="1" t="s">
        <v>1004</v>
      </c>
      <c r="C397" s="1">
        <v>24</v>
      </c>
      <c r="D397" s="1" t="s">
        <v>42</v>
      </c>
      <c r="E397" s="1">
        <v>860000</v>
      </c>
      <c r="F397" s="7">
        <v>9.5000000000000001E-2</v>
      </c>
      <c r="G397" s="1">
        <v>36</v>
      </c>
      <c r="H397" s="1" t="s">
        <v>1170</v>
      </c>
      <c r="I397" s="8">
        <f t="shared" si="13"/>
        <v>27548.336777072251</v>
      </c>
      <c r="J397" s="8">
        <f t="shared" si="12"/>
        <v>991740.12397460104</v>
      </c>
      <c r="K397" s="1" t="s">
        <v>212</v>
      </c>
      <c r="L397" s="1">
        <v>564</v>
      </c>
      <c r="M397" s="1" t="s">
        <v>16</v>
      </c>
    </row>
    <row r="398" spans="1:13" x14ac:dyDescent="0.3">
      <c r="A398" s="1" t="s">
        <v>1171</v>
      </c>
      <c r="B398" s="1" t="s">
        <v>164</v>
      </c>
      <c r="C398" s="1">
        <v>26</v>
      </c>
      <c r="D398" s="1" t="s">
        <v>18</v>
      </c>
      <c r="E398" s="1">
        <v>520000</v>
      </c>
      <c r="F398" s="7">
        <v>8.5000000000000006E-2</v>
      </c>
      <c r="G398" s="1">
        <v>240</v>
      </c>
      <c r="H398" s="1" t="s">
        <v>1172</v>
      </c>
      <c r="I398" s="8">
        <f t="shared" si="13"/>
        <v>4512.6808135007768</v>
      </c>
      <c r="J398" s="8">
        <f t="shared" si="12"/>
        <v>1083043.3952401865</v>
      </c>
      <c r="K398" s="1" t="s">
        <v>201</v>
      </c>
      <c r="L398" s="1">
        <v>553</v>
      </c>
      <c r="M398" s="1" t="s">
        <v>20</v>
      </c>
    </row>
    <row r="399" spans="1:13" x14ac:dyDescent="0.3">
      <c r="A399" s="1" t="s">
        <v>1173</v>
      </c>
      <c r="B399" s="1" t="s">
        <v>1174</v>
      </c>
      <c r="C399" s="1">
        <v>52</v>
      </c>
      <c r="D399" s="1" t="s">
        <v>37</v>
      </c>
      <c r="E399" s="1">
        <v>3690000</v>
      </c>
      <c r="F399" s="7">
        <v>0.11</v>
      </c>
      <c r="G399" s="1">
        <v>24</v>
      </c>
      <c r="H399" s="1" t="s">
        <v>1175</v>
      </c>
      <c r="I399" s="8">
        <f t="shared" si="13"/>
        <v>171982.9229451775</v>
      </c>
      <c r="J399" s="8">
        <f t="shared" si="12"/>
        <v>4127590.1506842598</v>
      </c>
      <c r="K399" s="1" t="s">
        <v>39</v>
      </c>
      <c r="L399" s="1">
        <v>898</v>
      </c>
      <c r="M399" s="1" t="s">
        <v>16</v>
      </c>
    </row>
    <row r="400" spans="1:13" x14ac:dyDescent="0.3">
      <c r="A400" s="1" t="s">
        <v>1176</v>
      </c>
      <c r="B400" s="1" t="s">
        <v>1177</v>
      </c>
      <c r="C400" s="1">
        <v>50</v>
      </c>
      <c r="D400" s="1" t="s">
        <v>15</v>
      </c>
      <c r="E400" s="1">
        <v>1690000</v>
      </c>
      <c r="F400" s="7">
        <v>7.4999999999999997E-2</v>
      </c>
      <c r="G400" s="1">
        <v>240</v>
      </c>
      <c r="H400" s="1" t="s">
        <v>1178</v>
      </c>
      <c r="I400" s="8">
        <f t="shared" si="13"/>
        <v>13614.524971025543</v>
      </c>
      <c r="J400" s="8">
        <f t="shared" si="12"/>
        <v>3267485.9930461305</v>
      </c>
      <c r="K400" s="1" t="s">
        <v>115</v>
      </c>
      <c r="L400" s="1">
        <v>759</v>
      </c>
      <c r="M400" s="1" t="s">
        <v>312</v>
      </c>
    </row>
    <row r="401" spans="1:13" x14ac:dyDescent="0.3">
      <c r="A401" s="1" t="s">
        <v>1179</v>
      </c>
      <c r="B401" s="1" t="s">
        <v>1180</v>
      </c>
      <c r="C401" s="1">
        <v>55</v>
      </c>
      <c r="D401" s="1" t="s">
        <v>23</v>
      </c>
      <c r="E401" s="1">
        <v>3590000</v>
      </c>
      <c r="F401" s="7">
        <v>0.08</v>
      </c>
      <c r="G401" s="1">
        <v>36</v>
      </c>
      <c r="H401" s="1" t="s">
        <v>1181</v>
      </c>
      <c r="I401" s="8">
        <f t="shared" si="13"/>
        <v>112497.55200653676</v>
      </c>
      <c r="J401" s="8">
        <f t="shared" si="12"/>
        <v>4049911.8722353233</v>
      </c>
      <c r="K401" s="1" t="s">
        <v>75</v>
      </c>
      <c r="L401" s="1">
        <v>710</v>
      </c>
      <c r="M401" s="1" t="s">
        <v>20</v>
      </c>
    </row>
    <row r="402" spans="1:13" x14ac:dyDescent="0.3">
      <c r="A402" s="1" t="s">
        <v>1182</v>
      </c>
      <c r="B402" s="1" t="s">
        <v>1183</v>
      </c>
      <c r="C402" s="1">
        <v>60</v>
      </c>
      <c r="D402" s="1" t="s">
        <v>27</v>
      </c>
      <c r="E402" s="1">
        <v>880000</v>
      </c>
      <c r="F402" s="7">
        <v>7.4999999999999997E-2</v>
      </c>
      <c r="G402" s="1">
        <v>120</v>
      </c>
      <c r="H402" s="1" t="s">
        <v>1184</v>
      </c>
      <c r="I402" s="8">
        <f t="shared" si="13"/>
        <v>10445.755683955171</v>
      </c>
      <c r="J402" s="8">
        <f t="shared" si="12"/>
        <v>1253490.6820746204</v>
      </c>
      <c r="K402" s="1" t="s">
        <v>90</v>
      </c>
      <c r="L402" s="1">
        <v>565</v>
      </c>
      <c r="M402" s="1" t="s">
        <v>20</v>
      </c>
    </row>
    <row r="403" spans="1:13" x14ac:dyDescent="0.3">
      <c r="A403" s="1" t="s">
        <v>1185</v>
      </c>
      <c r="B403" s="1" t="s">
        <v>1186</v>
      </c>
      <c r="C403" s="1">
        <v>36</v>
      </c>
      <c r="D403" s="1" t="s">
        <v>32</v>
      </c>
      <c r="E403" s="1">
        <v>250000</v>
      </c>
      <c r="F403" s="7">
        <v>0.09</v>
      </c>
      <c r="G403" s="1">
        <v>240</v>
      </c>
      <c r="H403" s="1" t="s">
        <v>1187</v>
      </c>
      <c r="I403" s="8">
        <f t="shared" si="13"/>
        <v>2249.3148896254329</v>
      </c>
      <c r="J403" s="8">
        <f t="shared" si="12"/>
        <v>539835.57351010386</v>
      </c>
      <c r="K403" s="1" t="s">
        <v>316</v>
      </c>
      <c r="L403" s="1">
        <v>657</v>
      </c>
      <c r="M403" s="1" t="s">
        <v>16</v>
      </c>
    </row>
    <row r="404" spans="1:13" x14ac:dyDescent="0.3">
      <c r="A404" s="1" t="s">
        <v>1188</v>
      </c>
      <c r="B404" s="1" t="s">
        <v>1189</v>
      </c>
      <c r="C404" s="1">
        <v>33</v>
      </c>
      <c r="D404" s="1" t="s">
        <v>15</v>
      </c>
      <c r="E404" s="1">
        <v>860000</v>
      </c>
      <c r="F404" s="7">
        <v>0.12</v>
      </c>
      <c r="G404" s="1">
        <v>240</v>
      </c>
      <c r="H404" s="1" t="s">
        <v>1190</v>
      </c>
      <c r="I404" s="8">
        <f t="shared" si="13"/>
        <v>9469.3407486986453</v>
      </c>
      <c r="J404" s="8">
        <f t="shared" si="12"/>
        <v>2272641.7796876747</v>
      </c>
      <c r="K404" s="1" t="s">
        <v>159</v>
      </c>
      <c r="L404" s="1">
        <v>860</v>
      </c>
      <c r="M404" s="1" t="s">
        <v>16</v>
      </c>
    </row>
    <row r="405" spans="1:13" x14ac:dyDescent="0.3">
      <c r="A405" s="1" t="s">
        <v>1191</v>
      </c>
      <c r="B405" s="1" t="s">
        <v>1192</v>
      </c>
      <c r="C405" s="1">
        <v>62</v>
      </c>
      <c r="D405" s="1" t="s">
        <v>42</v>
      </c>
      <c r="E405" s="1">
        <v>1060000</v>
      </c>
      <c r="F405" s="7">
        <v>0.09</v>
      </c>
      <c r="G405" s="1">
        <v>120</v>
      </c>
      <c r="H405" s="1" t="s">
        <v>1193</v>
      </c>
      <c r="I405" s="8">
        <f t="shared" si="13"/>
        <v>13427.632017526446</v>
      </c>
      <c r="J405" s="8">
        <f t="shared" si="12"/>
        <v>1611315.8421031735</v>
      </c>
      <c r="K405" s="1" t="s">
        <v>29</v>
      </c>
      <c r="L405" s="1">
        <v>776</v>
      </c>
      <c r="M405" s="1" t="s">
        <v>20</v>
      </c>
    </row>
    <row r="406" spans="1:13" x14ac:dyDescent="0.3">
      <c r="A406" s="1" t="s">
        <v>1194</v>
      </c>
      <c r="B406" s="1" t="s">
        <v>1195</v>
      </c>
      <c r="C406" s="1">
        <v>50</v>
      </c>
      <c r="D406" s="1" t="s">
        <v>42</v>
      </c>
      <c r="E406" s="1">
        <v>520000</v>
      </c>
      <c r="F406" s="7">
        <v>7.4999999999999997E-2</v>
      </c>
      <c r="G406" s="1">
        <v>24</v>
      </c>
      <c r="H406" s="1" t="s">
        <v>1196</v>
      </c>
      <c r="I406" s="8">
        <f t="shared" si="13"/>
        <v>23399.788178844756</v>
      </c>
      <c r="J406" s="8">
        <f t="shared" si="12"/>
        <v>561594.91629227414</v>
      </c>
      <c r="K406" s="1" t="s">
        <v>34</v>
      </c>
      <c r="L406" s="1">
        <v>719</v>
      </c>
      <c r="M406" s="1" t="s">
        <v>16</v>
      </c>
    </row>
    <row r="407" spans="1:13" x14ac:dyDescent="0.3">
      <c r="A407" s="1" t="s">
        <v>1197</v>
      </c>
      <c r="B407" s="1" t="s">
        <v>1053</v>
      </c>
      <c r="C407" s="1">
        <v>39</v>
      </c>
      <c r="D407" s="1" t="s">
        <v>32</v>
      </c>
      <c r="E407" s="1">
        <v>100000</v>
      </c>
      <c r="F407" s="7">
        <v>0.115</v>
      </c>
      <c r="G407" s="1">
        <v>84</v>
      </c>
      <c r="H407" s="1" t="s">
        <v>1198</v>
      </c>
      <c r="I407" s="8">
        <f t="shared" si="13"/>
        <v>1738.6460820240134</v>
      </c>
      <c r="J407" s="8">
        <f t="shared" si="12"/>
        <v>146046.27089001713</v>
      </c>
      <c r="K407" s="1" t="s">
        <v>48</v>
      </c>
      <c r="L407" s="1">
        <v>583</v>
      </c>
      <c r="M407" s="1" t="s">
        <v>20</v>
      </c>
    </row>
    <row r="408" spans="1:13" x14ac:dyDescent="0.3">
      <c r="A408" s="1" t="s">
        <v>1199</v>
      </c>
      <c r="B408" s="1" t="s">
        <v>1200</v>
      </c>
      <c r="C408" s="1">
        <v>37</v>
      </c>
      <c r="D408" s="1" t="s">
        <v>37</v>
      </c>
      <c r="E408" s="1">
        <v>540000</v>
      </c>
      <c r="F408" s="7">
        <v>0.11</v>
      </c>
      <c r="G408" s="1">
        <v>48</v>
      </c>
      <c r="H408" s="1" t="s">
        <v>1201</v>
      </c>
      <c r="I408" s="8">
        <f t="shared" si="13"/>
        <v>13956.582210184519</v>
      </c>
      <c r="J408" s="8">
        <f t="shared" si="12"/>
        <v>669915.9460888569</v>
      </c>
      <c r="K408" s="1" t="s">
        <v>132</v>
      </c>
      <c r="L408" s="1">
        <v>800</v>
      </c>
      <c r="M408" s="1" t="s">
        <v>312</v>
      </c>
    </row>
    <row r="409" spans="1:13" x14ac:dyDescent="0.3">
      <c r="A409" s="1" t="s">
        <v>1202</v>
      </c>
      <c r="B409" s="1" t="s">
        <v>1203</v>
      </c>
      <c r="C409" s="1">
        <v>39</v>
      </c>
      <c r="D409" s="1" t="s">
        <v>27</v>
      </c>
      <c r="E409" s="1">
        <v>420000</v>
      </c>
      <c r="F409" s="7">
        <v>7.4999999999999997E-2</v>
      </c>
      <c r="G409" s="1">
        <v>48</v>
      </c>
      <c r="H409" s="1" t="s">
        <v>1204</v>
      </c>
      <c r="I409" s="8">
        <f t="shared" si="13"/>
        <v>10155.138813847117</v>
      </c>
      <c r="J409" s="8">
        <f t="shared" si="12"/>
        <v>487446.66306466167</v>
      </c>
      <c r="K409" s="1" t="s">
        <v>44</v>
      </c>
      <c r="L409" s="1">
        <v>796</v>
      </c>
      <c r="M409" s="1" t="s">
        <v>312</v>
      </c>
    </row>
    <row r="410" spans="1:13" x14ac:dyDescent="0.3">
      <c r="A410" s="1" t="s">
        <v>1205</v>
      </c>
      <c r="B410" s="1" t="s">
        <v>1206</v>
      </c>
      <c r="C410" s="1">
        <v>48</v>
      </c>
      <c r="D410" s="1" t="s">
        <v>23</v>
      </c>
      <c r="E410" s="1">
        <v>8460000</v>
      </c>
      <c r="F410" s="7">
        <v>0.1</v>
      </c>
      <c r="G410" s="1">
        <v>84</v>
      </c>
      <c r="H410" s="1" t="s">
        <v>1207</v>
      </c>
      <c r="I410" s="8">
        <f t="shared" si="13"/>
        <v>140446.01686745477</v>
      </c>
      <c r="J410" s="8">
        <f t="shared" si="12"/>
        <v>11797465.416866202</v>
      </c>
      <c r="K410" s="1" t="s">
        <v>34</v>
      </c>
      <c r="L410" s="1">
        <v>818</v>
      </c>
      <c r="M410" s="1" t="s">
        <v>20</v>
      </c>
    </row>
    <row r="411" spans="1:13" x14ac:dyDescent="0.3">
      <c r="A411" s="1" t="s">
        <v>1208</v>
      </c>
      <c r="B411" s="1" t="s">
        <v>1209</v>
      </c>
      <c r="C411" s="1">
        <v>46</v>
      </c>
      <c r="D411" s="1" t="s">
        <v>18</v>
      </c>
      <c r="E411" s="1">
        <v>950000</v>
      </c>
      <c r="F411" s="7">
        <v>0.12</v>
      </c>
      <c r="G411" s="1">
        <v>84</v>
      </c>
      <c r="H411" s="1" t="s">
        <v>1210</v>
      </c>
      <c r="I411" s="8">
        <f t="shared" si="13"/>
        <v>16770.096157220127</v>
      </c>
      <c r="J411" s="8">
        <f t="shared" si="12"/>
        <v>1408688.0772064906</v>
      </c>
      <c r="K411" s="1" t="s">
        <v>56</v>
      </c>
      <c r="L411" s="1">
        <v>690</v>
      </c>
      <c r="M411" s="1" t="s">
        <v>16</v>
      </c>
    </row>
    <row r="412" spans="1:13" x14ac:dyDescent="0.3">
      <c r="A412" s="1" t="s">
        <v>1211</v>
      </c>
      <c r="B412" s="1" t="s">
        <v>1212</v>
      </c>
      <c r="C412" s="1">
        <v>57</v>
      </c>
      <c r="D412" s="1" t="s">
        <v>18</v>
      </c>
      <c r="E412" s="1">
        <v>1800000</v>
      </c>
      <c r="F412" s="7">
        <v>0.09</v>
      </c>
      <c r="G412" s="1">
        <v>84</v>
      </c>
      <c r="H412" s="1" t="s">
        <v>751</v>
      </c>
      <c r="I412" s="8">
        <f t="shared" si="13"/>
        <v>28960.34086806939</v>
      </c>
      <c r="J412" s="8">
        <f t="shared" si="12"/>
        <v>2432668.6329178289</v>
      </c>
      <c r="K412" s="1" t="s">
        <v>201</v>
      </c>
      <c r="L412" s="1">
        <v>823</v>
      </c>
      <c r="M412" s="1" t="s">
        <v>16</v>
      </c>
    </row>
    <row r="413" spans="1:13" x14ac:dyDescent="0.3">
      <c r="A413" s="1" t="s">
        <v>1213</v>
      </c>
      <c r="B413" s="1" t="s">
        <v>1214</v>
      </c>
      <c r="C413" s="1">
        <v>46</v>
      </c>
      <c r="D413" s="1" t="s">
        <v>37</v>
      </c>
      <c r="E413" s="1">
        <v>2760000</v>
      </c>
      <c r="F413" s="7">
        <v>8.5000000000000006E-2</v>
      </c>
      <c r="G413" s="1">
        <v>60</v>
      </c>
      <c r="H413" s="1" t="s">
        <v>1215</v>
      </c>
      <c r="I413" s="8">
        <f t="shared" si="13"/>
        <v>56625.62646266145</v>
      </c>
      <c r="J413" s="8">
        <f t="shared" si="12"/>
        <v>3397537.5877596871</v>
      </c>
      <c r="K413" s="1" t="s">
        <v>64</v>
      </c>
      <c r="L413" s="1">
        <v>645</v>
      </c>
      <c r="M413" s="1" t="s">
        <v>60</v>
      </c>
    </row>
    <row r="414" spans="1:13" x14ac:dyDescent="0.3">
      <c r="A414" s="1" t="s">
        <v>1216</v>
      </c>
      <c r="B414" s="1" t="s">
        <v>66</v>
      </c>
      <c r="C414" s="1">
        <v>43</v>
      </c>
      <c r="D414" s="1" t="s">
        <v>32</v>
      </c>
      <c r="E414" s="1">
        <v>100000</v>
      </c>
      <c r="F414" s="7">
        <v>0.1</v>
      </c>
      <c r="G414" s="1">
        <v>48</v>
      </c>
      <c r="H414" s="1" t="s">
        <v>1217</v>
      </c>
      <c r="I414" s="8">
        <f t="shared" si="13"/>
        <v>2536.2583434747189</v>
      </c>
      <c r="J414" s="8">
        <f t="shared" si="12"/>
        <v>121740.4004867865</v>
      </c>
      <c r="K414" s="1" t="s">
        <v>212</v>
      </c>
      <c r="L414" s="1">
        <v>776</v>
      </c>
      <c r="M414" s="1" t="s">
        <v>16</v>
      </c>
    </row>
    <row r="415" spans="1:13" x14ac:dyDescent="0.3">
      <c r="A415" s="1" t="s">
        <v>1218</v>
      </c>
      <c r="B415" s="1" t="s">
        <v>1219</v>
      </c>
      <c r="C415" s="1">
        <v>29</v>
      </c>
      <c r="D415" s="1" t="s">
        <v>37</v>
      </c>
      <c r="E415" s="1">
        <v>1610000</v>
      </c>
      <c r="F415" s="7">
        <v>0.13</v>
      </c>
      <c r="G415" s="1">
        <v>240</v>
      </c>
      <c r="H415" s="1" t="s">
        <v>1220</v>
      </c>
      <c r="I415" s="8">
        <f t="shared" si="13"/>
        <v>18862.368951580687</v>
      </c>
      <c r="J415" s="8">
        <f t="shared" si="12"/>
        <v>4526968.5483793654</v>
      </c>
      <c r="K415" s="1" t="s">
        <v>68</v>
      </c>
      <c r="L415" s="1">
        <v>588</v>
      </c>
      <c r="M415" s="1" t="s">
        <v>16</v>
      </c>
    </row>
    <row r="416" spans="1:13" x14ac:dyDescent="0.3">
      <c r="A416" s="1" t="s">
        <v>1221</v>
      </c>
      <c r="B416" s="1" t="s">
        <v>1222</v>
      </c>
      <c r="C416" s="1">
        <v>32</v>
      </c>
      <c r="D416" s="1" t="s">
        <v>23</v>
      </c>
      <c r="E416" s="1">
        <v>2460000</v>
      </c>
      <c r="F416" s="7">
        <v>8.5000000000000006E-2</v>
      </c>
      <c r="G416" s="1">
        <v>180</v>
      </c>
      <c r="H416" s="1" t="s">
        <v>1223</v>
      </c>
      <c r="I416" s="8">
        <f t="shared" si="13"/>
        <v>24224.593124969597</v>
      </c>
      <c r="J416" s="8">
        <f t="shared" si="12"/>
        <v>4360426.7624945277</v>
      </c>
      <c r="K416" s="1" t="s">
        <v>366</v>
      </c>
      <c r="L416" s="1">
        <v>851</v>
      </c>
      <c r="M416" s="1" t="s">
        <v>20</v>
      </c>
    </row>
    <row r="417" spans="1:13" x14ac:dyDescent="0.3">
      <c r="A417" s="1" t="s">
        <v>1224</v>
      </c>
      <c r="B417" s="1" t="s">
        <v>401</v>
      </c>
      <c r="C417" s="1">
        <v>21</v>
      </c>
      <c r="D417" s="1" t="s">
        <v>18</v>
      </c>
      <c r="E417" s="1">
        <v>590000</v>
      </c>
      <c r="F417" s="7">
        <v>0.1</v>
      </c>
      <c r="G417" s="1">
        <v>240</v>
      </c>
      <c r="H417" s="1" t="s">
        <v>1225</v>
      </c>
      <c r="I417" s="8">
        <f t="shared" si="13"/>
        <v>5693.6277059366457</v>
      </c>
      <c r="J417" s="8">
        <f t="shared" si="12"/>
        <v>1366470.6494247951</v>
      </c>
      <c r="K417" s="1" t="s">
        <v>44</v>
      </c>
      <c r="L417" s="1">
        <v>578</v>
      </c>
      <c r="M417" s="1" t="s">
        <v>312</v>
      </c>
    </row>
    <row r="418" spans="1:13" x14ac:dyDescent="0.3">
      <c r="A418" s="1" t="s">
        <v>1226</v>
      </c>
      <c r="B418" s="1" t="s">
        <v>1227</v>
      </c>
      <c r="C418" s="1">
        <v>21</v>
      </c>
      <c r="D418" s="1" t="s">
        <v>23</v>
      </c>
      <c r="E418" s="1">
        <v>8230000</v>
      </c>
      <c r="F418" s="7">
        <v>7.4999999999999997E-2</v>
      </c>
      <c r="G418" s="1">
        <v>12</v>
      </c>
      <c r="H418" s="1" t="s">
        <v>1129</v>
      </c>
      <c r="I418" s="8">
        <f t="shared" si="13"/>
        <v>714013.54096690135</v>
      </c>
      <c r="J418" s="8">
        <f t="shared" si="12"/>
        <v>8568162.4916028157</v>
      </c>
      <c r="K418" s="1" t="s">
        <v>44</v>
      </c>
      <c r="L418" s="1">
        <v>867</v>
      </c>
      <c r="M418" s="1" t="s">
        <v>16</v>
      </c>
    </row>
    <row r="419" spans="1:13" x14ac:dyDescent="0.3">
      <c r="A419" s="1" t="s">
        <v>1228</v>
      </c>
      <c r="B419" s="1" t="s">
        <v>1229</v>
      </c>
      <c r="C419" s="1">
        <v>54</v>
      </c>
      <c r="D419" s="1" t="s">
        <v>42</v>
      </c>
      <c r="E419" s="1">
        <v>1240000</v>
      </c>
      <c r="F419" s="7">
        <v>7.4999999999999997E-2</v>
      </c>
      <c r="G419" s="1">
        <v>24</v>
      </c>
      <c r="H419" s="1" t="s">
        <v>407</v>
      </c>
      <c r="I419" s="8">
        <f t="shared" si="13"/>
        <v>55799.494888014422</v>
      </c>
      <c r="J419" s="8">
        <f t="shared" si="12"/>
        <v>1339187.8773123461</v>
      </c>
      <c r="K419" s="1" t="s">
        <v>64</v>
      </c>
      <c r="L419" s="1">
        <v>794</v>
      </c>
      <c r="M419" s="1" t="s">
        <v>20</v>
      </c>
    </row>
    <row r="420" spans="1:13" x14ac:dyDescent="0.3">
      <c r="A420" s="1" t="s">
        <v>1230</v>
      </c>
      <c r="B420" s="1" t="s">
        <v>453</v>
      </c>
      <c r="C420" s="1">
        <v>52</v>
      </c>
      <c r="D420" s="1" t="s">
        <v>37</v>
      </c>
      <c r="E420" s="1">
        <v>4800000</v>
      </c>
      <c r="F420" s="7">
        <v>8.5000000000000006E-2</v>
      </c>
      <c r="G420" s="1">
        <v>84</v>
      </c>
      <c r="H420" s="1" t="s">
        <v>1231</v>
      </c>
      <c r="I420" s="8">
        <f t="shared" si="13"/>
        <v>76015.130098275346</v>
      </c>
      <c r="J420" s="8">
        <f t="shared" si="12"/>
        <v>6385270.9282551287</v>
      </c>
      <c r="K420" s="1" t="s">
        <v>39</v>
      </c>
      <c r="L420" s="1">
        <v>785</v>
      </c>
      <c r="M420" s="1" t="s">
        <v>20</v>
      </c>
    </row>
    <row r="421" spans="1:13" x14ac:dyDescent="0.3">
      <c r="A421" s="1" t="s">
        <v>1232</v>
      </c>
      <c r="B421" s="1" t="s">
        <v>1233</v>
      </c>
      <c r="C421" s="1">
        <v>45</v>
      </c>
      <c r="D421" s="1" t="s">
        <v>18</v>
      </c>
      <c r="E421" s="1">
        <v>1060000</v>
      </c>
      <c r="F421" s="7">
        <v>0.12</v>
      </c>
      <c r="G421" s="1">
        <v>180</v>
      </c>
      <c r="H421" s="1" t="s">
        <v>1234</v>
      </c>
      <c r="I421" s="8">
        <f t="shared" si="13"/>
        <v>12721.781458170044</v>
      </c>
      <c r="J421" s="8">
        <f t="shared" si="12"/>
        <v>2289920.662470608</v>
      </c>
      <c r="K421" s="1" t="s">
        <v>82</v>
      </c>
      <c r="L421" s="1">
        <v>734</v>
      </c>
      <c r="M421" s="1" t="s">
        <v>16</v>
      </c>
    </row>
    <row r="422" spans="1:13" x14ac:dyDescent="0.3">
      <c r="A422" s="1" t="s">
        <v>1235</v>
      </c>
      <c r="B422" s="1" t="s">
        <v>1236</v>
      </c>
      <c r="C422" s="1">
        <v>60</v>
      </c>
      <c r="D422" s="1" t="s">
        <v>15</v>
      </c>
      <c r="E422" s="1">
        <v>420000</v>
      </c>
      <c r="F422" s="7">
        <v>0.13</v>
      </c>
      <c r="G422" s="1">
        <v>48</v>
      </c>
      <c r="H422" s="1" t="s">
        <v>1237</v>
      </c>
      <c r="I422" s="8">
        <f t="shared" si="13"/>
        <v>11267.548275381256</v>
      </c>
      <c r="J422" s="8">
        <f t="shared" si="12"/>
        <v>540842.3172183003</v>
      </c>
      <c r="K422" s="1" t="s">
        <v>21</v>
      </c>
      <c r="L422" s="1">
        <v>821</v>
      </c>
      <c r="M422" s="1" t="s">
        <v>16</v>
      </c>
    </row>
    <row r="423" spans="1:13" x14ac:dyDescent="0.3">
      <c r="A423" s="1" t="s">
        <v>1238</v>
      </c>
      <c r="B423" s="1" t="s">
        <v>759</v>
      </c>
      <c r="C423" s="1">
        <v>21</v>
      </c>
      <c r="D423" s="1" t="s">
        <v>18</v>
      </c>
      <c r="E423" s="1">
        <v>260000</v>
      </c>
      <c r="F423" s="7">
        <v>8.5000000000000006E-2</v>
      </c>
      <c r="G423" s="1">
        <v>48</v>
      </c>
      <c r="H423" s="1" t="s">
        <v>1239</v>
      </c>
      <c r="I423" s="8">
        <f t="shared" si="13"/>
        <v>6408.5588732972838</v>
      </c>
      <c r="J423" s="8">
        <f t="shared" si="12"/>
        <v>307610.82591826963</v>
      </c>
      <c r="K423" s="1" t="s">
        <v>64</v>
      </c>
      <c r="L423" s="1">
        <v>785</v>
      </c>
      <c r="M423" s="1" t="s">
        <v>16</v>
      </c>
    </row>
    <row r="424" spans="1:13" x14ac:dyDescent="0.3">
      <c r="A424" s="1" t="s">
        <v>1240</v>
      </c>
      <c r="B424" s="1" t="s">
        <v>1241</v>
      </c>
      <c r="C424" s="1">
        <v>36</v>
      </c>
      <c r="D424" s="1" t="s">
        <v>15</v>
      </c>
      <c r="E424" s="1">
        <v>390000</v>
      </c>
      <c r="F424" s="7">
        <v>0.08</v>
      </c>
      <c r="G424" s="1">
        <v>12</v>
      </c>
      <c r="H424" s="1" t="s">
        <v>685</v>
      </c>
      <c r="I424" s="8">
        <f t="shared" si="13"/>
        <v>33925.48734331422</v>
      </c>
      <c r="J424" s="8">
        <f t="shared" si="12"/>
        <v>407105.84811977064</v>
      </c>
      <c r="K424" s="1" t="s">
        <v>151</v>
      </c>
      <c r="L424" s="1">
        <v>788</v>
      </c>
      <c r="M424" s="1" t="s">
        <v>20</v>
      </c>
    </row>
    <row r="425" spans="1:13" x14ac:dyDescent="0.3">
      <c r="A425" s="1" t="s">
        <v>1242</v>
      </c>
      <c r="B425" s="1" t="s">
        <v>1243</v>
      </c>
      <c r="C425" s="1">
        <v>59</v>
      </c>
      <c r="D425" s="1" t="s">
        <v>37</v>
      </c>
      <c r="E425" s="1">
        <v>3470000</v>
      </c>
      <c r="F425" s="7">
        <v>0.115</v>
      </c>
      <c r="G425" s="1">
        <v>84</v>
      </c>
      <c r="H425" s="1" t="s">
        <v>1244</v>
      </c>
      <c r="I425" s="8">
        <f t="shared" si="13"/>
        <v>60331.019046233254</v>
      </c>
      <c r="J425" s="8">
        <f t="shared" si="12"/>
        <v>5067805.5998835936</v>
      </c>
      <c r="K425" s="1" t="s">
        <v>366</v>
      </c>
      <c r="L425" s="1">
        <v>815</v>
      </c>
      <c r="M425" s="1" t="s">
        <v>16</v>
      </c>
    </row>
    <row r="426" spans="1:13" x14ac:dyDescent="0.3">
      <c r="A426" s="1" t="s">
        <v>1245</v>
      </c>
      <c r="B426" s="1" t="s">
        <v>287</v>
      </c>
      <c r="C426" s="1">
        <v>25</v>
      </c>
      <c r="D426" s="1" t="s">
        <v>23</v>
      </c>
      <c r="E426" s="1">
        <v>2560000</v>
      </c>
      <c r="F426" s="7">
        <v>0.1</v>
      </c>
      <c r="G426" s="1">
        <v>120</v>
      </c>
      <c r="H426" s="1" t="s">
        <v>1246</v>
      </c>
      <c r="I426" s="8">
        <f t="shared" si="13"/>
        <v>33830.588641730981</v>
      </c>
      <c r="J426" s="8">
        <f t="shared" si="12"/>
        <v>4059670.637007718</v>
      </c>
      <c r="K426" s="1" t="s">
        <v>44</v>
      </c>
      <c r="L426" s="1">
        <v>889</v>
      </c>
      <c r="M426" s="1" t="s">
        <v>20</v>
      </c>
    </row>
    <row r="427" spans="1:13" x14ac:dyDescent="0.3">
      <c r="A427" s="1" t="s">
        <v>1247</v>
      </c>
      <c r="B427" s="1" t="s">
        <v>1001</v>
      </c>
      <c r="C427" s="1">
        <v>42</v>
      </c>
      <c r="D427" s="1" t="s">
        <v>27</v>
      </c>
      <c r="E427" s="1">
        <v>730000</v>
      </c>
      <c r="F427" s="7">
        <v>0.08</v>
      </c>
      <c r="G427" s="1">
        <v>24</v>
      </c>
      <c r="H427" s="1" t="s">
        <v>1248</v>
      </c>
      <c r="I427" s="8">
        <f t="shared" si="13"/>
        <v>33015.922763014431</v>
      </c>
      <c r="J427" s="8">
        <f t="shared" si="12"/>
        <v>792382.14631234633</v>
      </c>
      <c r="K427" s="1" t="s">
        <v>56</v>
      </c>
      <c r="L427" s="1">
        <v>614</v>
      </c>
      <c r="M427" s="1" t="s">
        <v>16</v>
      </c>
    </row>
    <row r="428" spans="1:13" x14ac:dyDescent="0.3">
      <c r="A428" s="1" t="s">
        <v>1249</v>
      </c>
      <c r="B428" s="1" t="s">
        <v>684</v>
      </c>
      <c r="C428" s="1">
        <v>49</v>
      </c>
      <c r="D428" s="1" t="s">
        <v>23</v>
      </c>
      <c r="E428" s="1">
        <v>6440000</v>
      </c>
      <c r="F428" s="7">
        <v>0.1</v>
      </c>
      <c r="G428" s="1">
        <v>120</v>
      </c>
      <c r="H428" s="1" t="s">
        <v>1250</v>
      </c>
      <c r="I428" s="8">
        <f t="shared" si="13"/>
        <v>85105.074551854501</v>
      </c>
      <c r="J428" s="8">
        <f t="shared" si="12"/>
        <v>10212608.94622254</v>
      </c>
      <c r="K428" s="1" t="s">
        <v>136</v>
      </c>
      <c r="L428" s="1">
        <v>726</v>
      </c>
      <c r="M428" s="1" t="s">
        <v>20</v>
      </c>
    </row>
    <row r="429" spans="1:13" x14ac:dyDescent="0.3">
      <c r="A429" s="1" t="s">
        <v>1251</v>
      </c>
      <c r="B429" s="1" t="s">
        <v>73</v>
      </c>
      <c r="C429" s="1">
        <v>23</v>
      </c>
      <c r="D429" s="1" t="s">
        <v>23</v>
      </c>
      <c r="E429" s="1">
        <v>7460000</v>
      </c>
      <c r="F429" s="7">
        <v>0.13</v>
      </c>
      <c r="G429" s="1">
        <v>60</v>
      </c>
      <c r="H429" s="1" t="s">
        <v>1252</v>
      </c>
      <c r="I429" s="8">
        <f t="shared" si="13"/>
        <v>169737.92490991121</v>
      </c>
      <c r="J429" s="8">
        <f t="shared" si="12"/>
        <v>10184275.494594673</v>
      </c>
      <c r="K429" s="1" t="s">
        <v>115</v>
      </c>
      <c r="L429" s="1">
        <v>552</v>
      </c>
      <c r="M429" s="1" t="s">
        <v>16</v>
      </c>
    </row>
    <row r="430" spans="1:13" x14ac:dyDescent="0.3">
      <c r="A430" s="1" t="s">
        <v>1253</v>
      </c>
      <c r="B430" s="1" t="s">
        <v>1254</v>
      </c>
      <c r="C430" s="1">
        <v>32</v>
      </c>
      <c r="D430" s="1" t="s">
        <v>27</v>
      </c>
      <c r="E430" s="1">
        <v>110000</v>
      </c>
      <c r="F430" s="7">
        <v>0.125</v>
      </c>
      <c r="G430" s="1">
        <v>240</v>
      </c>
      <c r="H430" s="1" t="s">
        <v>724</v>
      </c>
      <c r="I430" s="8">
        <f t="shared" si="13"/>
        <v>1249.7546046858063</v>
      </c>
      <c r="J430" s="8">
        <f t="shared" si="12"/>
        <v>299941.10512459348</v>
      </c>
      <c r="K430" s="1" t="s">
        <v>119</v>
      </c>
      <c r="L430" s="1">
        <v>691</v>
      </c>
      <c r="M430" s="1" t="s">
        <v>312</v>
      </c>
    </row>
    <row r="431" spans="1:13" x14ac:dyDescent="0.3">
      <c r="A431" s="1" t="s">
        <v>1255</v>
      </c>
      <c r="B431" s="1" t="s">
        <v>1007</v>
      </c>
      <c r="C431" s="1">
        <v>46</v>
      </c>
      <c r="D431" s="1" t="s">
        <v>32</v>
      </c>
      <c r="E431" s="1">
        <v>200000</v>
      </c>
      <c r="F431" s="7">
        <v>0.105</v>
      </c>
      <c r="G431" s="1">
        <v>60</v>
      </c>
      <c r="H431" s="1" t="s">
        <v>139</v>
      </c>
      <c r="I431" s="8">
        <f t="shared" si="13"/>
        <v>4298.7800756234919</v>
      </c>
      <c r="J431" s="8">
        <f t="shared" si="12"/>
        <v>257926.80453740951</v>
      </c>
      <c r="K431" s="1" t="s">
        <v>75</v>
      </c>
      <c r="L431" s="1">
        <v>707</v>
      </c>
      <c r="M431" s="1" t="s">
        <v>20</v>
      </c>
    </row>
    <row r="432" spans="1:13" x14ac:dyDescent="0.3">
      <c r="A432" s="1" t="s">
        <v>1256</v>
      </c>
      <c r="B432" s="1" t="s">
        <v>1257</v>
      </c>
      <c r="C432" s="1">
        <v>36</v>
      </c>
      <c r="D432" s="1" t="s">
        <v>23</v>
      </c>
      <c r="E432" s="1">
        <v>7940000</v>
      </c>
      <c r="F432" s="7">
        <v>0.12</v>
      </c>
      <c r="G432" s="1">
        <v>12</v>
      </c>
      <c r="H432" s="1" t="s">
        <v>582</v>
      </c>
      <c r="I432" s="8">
        <f t="shared" si="13"/>
        <v>705459.38210603304</v>
      </c>
      <c r="J432" s="8">
        <f t="shared" si="12"/>
        <v>8465512.585272396</v>
      </c>
      <c r="K432" s="1" t="s">
        <v>29</v>
      </c>
      <c r="L432" s="1">
        <v>873</v>
      </c>
      <c r="M432" s="1" t="s">
        <v>16</v>
      </c>
    </row>
    <row r="433" spans="1:13" x14ac:dyDescent="0.3">
      <c r="A433" s="1" t="s">
        <v>1258</v>
      </c>
      <c r="B433" s="1" t="s">
        <v>1259</v>
      </c>
      <c r="C433" s="1">
        <v>57</v>
      </c>
      <c r="D433" s="1" t="s">
        <v>27</v>
      </c>
      <c r="E433" s="1">
        <v>510000</v>
      </c>
      <c r="F433" s="7">
        <v>0.08</v>
      </c>
      <c r="G433" s="1">
        <v>240</v>
      </c>
      <c r="H433" s="1" t="s">
        <v>1260</v>
      </c>
      <c r="I433" s="8">
        <f t="shared" si="13"/>
        <v>4265.8443518666609</v>
      </c>
      <c r="J433" s="8">
        <f t="shared" si="12"/>
        <v>1023802.6444479986</v>
      </c>
      <c r="K433" s="1" t="s">
        <v>316</v>
      </c>
      <c r="L433" s="1">
        <v>695</v>
      </c>
      <c r="M433" s="1" t="s">
        <v>16</v>
      </c>
    </row>
    <row r="434" spans="1:13" x14ac:dyDescent="0.3">
      <c r="A434" s="1" t="s">
        <v>1261</v>
      </c>
      <c r="B434" s="1" t="s">
        <v>1262</v>
      </c>
      <c r="C434" s="1">
        <v>42</v>
      </c>
      <c r="D434" s="1" t="s">
        <v>37</v>
      </c>
      <c r="E434" s="1">
        <v>1210000</v>
      </c>
      <c r="F434" s="7">
        <v>0.1</v>
      </c>
      <c r="G434" s="1">
        <v>84</v>
      </c>
      <c r="H434" s="1" t="s">
        <v>1263</v>
      </c>
      <c r="I434" s="8">
        <f t="shared" si="13"/>
        <v>20087.432672531948</v>
      </c>
      <c r="J434" s="8">
        <f t="shared" si="12"/>
        <v>1687344.3444926837</v>
      </c>
      <c r="K434" s="1" t="s">
        <v>226</v>
      </c>
      <c r="L434" s="1">
        <v>842</v>
      </c>
      <c r="M434" s="1" t="s">
        <v>60</v>
      </c>
    </row>
    <row r="435" spans="1:13" x14ac:dyDescent="0.3">
      <c r="A435" s="1" t="s">
        <v>1264</v>
      </c>
      <c r="B435" s="1" t="s">
        <v>1265</v>
      </c>
      <c r="C435" s="1">
        <v>49</v>
      </c>
      <c r="D435" s="1" t="s">
        <v>27</v>
      </c>
      <c r="E435" s="1">
        <v>860000</v>
      </c>
      <c r="F435" s="7">
        <v>9.5000000000000001E-2</v>
      </c>
      <c r="G435" s="1">
        <v>240</v>
      </c>
      <c r="H435" s="1" t="s">
        <v>1266</v>
      </c>
      <c r="I435" s="8">
        <f t="shared" si="13"/>
        <v>8016.3282153682558</v>
      </c>
      <c r="J435" s="8">
        <f t="shared" si="12"/>
        <v>1923918.7716883814</v>
      </c>
      <c r="K435" s="1" t="s">
        <v>143</v>
      </c>
      <c r="L435" s="1">
        <v>702</v>
      </c>
      <c r="M435" s="1" t="s">
        <v>20</v>
      </c>
    </row>
    <row r="436" spans="1:13" x14ac:dyDescent="0.3">
      <c r="A436" s="1" t="s">
        <v>1267</v>
      </c>
      <c r="B436" s="1" t="s">
        <v>1122</v>
      </c>
      <c r="C436" s="1">
        <v>34</v>
      </c>
      <c r="D436" s="1" t="s">
        <v>18</v>
      </c>
      <c r="E436" s="1">
        <v>1370000</v>
      </c>
      <c r="F436" s="7">
        <v>0.1</v>
      </c>
      <c r="G436" s="1">
        <v>240</v>
      </c>
      <c r="H436" s="1" t="s">
        <v>1268</v>
      </c>
      <c r="I436" s="8">
        <f t="shared" si="13"/>
        <v>13220.796537513907</v>
      </c>
      <c r="J436" s="8">
        <f t="shared" si="12"/>
        <v>3172991.1690033376</v>
      </c>
      <c r="K436" s="1" t="s">
        <v>159</v>
      </c>
      <c r="L436" s="1">
        <v>742</v>
      </c>
      <c r="M436" s="1" t="s">
        <v>20</v>
      </c>
    </row>
    <row r="437" spans="1:13" x14ac:dyDescent="0.3">
      <c r="A437" s="1" t="s">
        <v>1269</v>
      </c>
      <c r="B437" s="1" t="s">
        <v>1270</v>
      </c>
      <c r="C437" s="1">
        <v>48</v>
      </c>
      <c r="D437" s="1" t="s">
        <v>15</v>
      </c>
      <c r="E437" s="1">
        <v>710000</v>
      </c>
      <c r="F437" s="7">
        <v>8.5000000000000006E-2</v>
      </c>
      <c r="G437" s="1">
        <v>180</v>
      </c>
      <c r="H437" s="1" t="s">
        <v>1271</v>
      </c>
      <c r="I437" s="8">
        <f t="shared" si="13"/>
        <v>6991.6508612717125</v>
      </c>
      <c r="J437" s="8">
        <f t="shared" si="12"/>
        <v>1258497.1550289083</v>
      </c>
      <c r="K437" s="1" t="s">
        <v>187</v>
      </c>
      <c r="L437" s="1">
        <v>622</v>
      </c>
      <c r="M437" s="1" t="s">
        <v>20</v>
      </c>
    </row>
    <row r="438" spans="1:13" x14ac:dyDescent="0.3">
      <c r="A438" s="1" t="s">
        <v>1272</v>
      </c>
      <c r="B438" s="1" t="s">
        <v>1273</v>
      </c>
      <c r="C438" s="1">
        <v>25</v>
      </c>
      <c r="D438" s="1" t="s">
        <v>27</v>
      </c>
      <c r="E438" s="1">
        <v>700000</v>
      </c>
      <c r="F438" s="7">
        <v>8.5000000000000006E-2</v>
      </c>
      <c r="G438" s="1">
        <v>180</v>
      </c>
      <c r="H438" s="1" t="s">
        <v>1274</v>
      </c>
      <c r="I438" s="8">
        <f t="shared" si="13"/>
        <v>6893.176905479153</v>
      </c>
      <c r="J438" s="8">
        <f t="shared" si="12"/>
        <v>1240771.8429862475</v>
      </c>
      <c r="K438" s="1" t="s">
        <v>136</v>
      </c>
      <c r="L438" s="1">
        <v>854</v>
      </c>
      <c r="M438" s="1" t="s">
        <v>16</v>
      </c>
    </row>
    <row r="439" spans="1:13" x14ac:dyDescent="0.3">
      <c r="A439" s="1" t="s">
        <v>1275</v>
      </c>
      <c r="B439" s="1" t="s">
        <v>432</v>
      </c>
      <c r="C439" s="1">
        <v>50</v>
      </c>
      <c r="D439" s="1" t="s">
        <v>23</v>
      </c>
      <c r="E439" s="1">
        <v>9740000</v>
      </c>
      <c r="F439" s="7">
        <v>0.13</v>
      </c>
      <c r="G439" s="1">
        <v>12</v>
      </c>
      <c r="H439" s="1" t="s">
        <v>1276</v>
      </c>
      <c r="I439" s="8">
        <f t="shared" si="13"/>
        <v>869950.26543243497</v>
      </c>
      <c r="J439" s="8">
        <f t="shared" si="12"/>
        <v>10439403.185189219</v>
      </c>
      <c r="K439" s="1" t="s">
        <v>29</v>
      </c>
      <c r="L439" s="1">
        <v>893</v>
      </c>
      <c r="M439" s="1" t="s">
        <v>16</v>
      </c>
    </row>
    <row r="440" spans="1:13" x14ac:dyDescent="0.3">
      <c r="A440" s="1" t="s">
        <v>1277</v>
      </c>
      <c r="B440" s="1" t="s">
        <v>1278</v>
      </c>
      <c r="C440" s="1">
        <v>25</v>
      </c>
      <c r="D440" s="1" t="s">
        <v>32</v>
      </c>
      <c r="E440" s="1">
        <v>140000</v>
      </c>
      <c r="F440" s="7">
        <v>0.105</v>
      </c>
      <c r="G440" s="1">
        <v>60</v>
      </c>
      <c r="H440" s="1" t="s">
        <v>1279</v>
      </c>
      <c r="I440" s="8">
        <f t="shared" si="13"/>
        <v>3009.1460529364444</v>
      </c>
      <c r="J440" s="8">
        <f t="shared" si="12"/>
        <v>180548.76317618668</v>
      </c>
      <c r="K440" s="1" t="s">
        <v>187</v>
      </c>
      <c r="L440" s="1">
        <v>689</v>
      </c>
      <c r="M440" s="1" t="s">
        <v>16</v>
      </c>
    </row>
    <row r="441" spans="1:13" x14ac:dyDescent="0.3">
      <c r="A441" s="1" t="s">
        <v>1280</v>
      </c>
      <c r="B441" s="1" t="s">
        <v>1281</v>
      </c>
      <c r="C441" s="1">
        <v>32</v>
      </c>
      <c r="D441" s="1" t="s">
        <v>37</v>
      </c>
      <c r="E441" s="1">
        <v>3690000</v>
      </c>
      <c r="F441" s="7">
        <v>0.125</v>
      </c>
      <c r="G441" s="1">
        <v>48</v>
      </c>
      <c r="H441" s="1" t="s">
        <v>1282</v>
      </c>
      <c r="I441" s="8">
        <f t="shared" si="13"/>
        <v>98080.195910635666</v>
      </c>
      <c r="J441" s="8">
        <f t="shared" si="12"/>
        <v>4707849.4037105124</v>
      </c>
      <c r="K441" s="1" t="s">
        <v>326</v>
      </c>
      <c r="L441" s="1">
        <v>736</v>
      </c>
      <c r="M441" s="1" t="s">
        <v>16</v>
      </c>
    </row>
    <row r="442" spans="1:13" x14ac:dyDescent="0.3">
      <c r="A442" s="1" t="s">
        <v>1283</v>
      </c>
      <c r="B442" s="1" t="s">
        <v>1284</v>
      </c>
      <c r="C442" s="1">
        <v>36</v>
      </c>
      <c r="D442" s="1" t="s">
        <v>27</v>
      </c>
      <c r="E442" s="1">
        <v>280000</v>
      </c>
      <c r="F442" s="7">
        <v>0.11</v>
      </c>
      <c r="G442" s="1">
        <v>84</v>
      </c>
      <c r="H442" s="1" t="s">
        <v>1285</v>
      </c>
      <c r="I442" s="8">
        <f t="shared" si="13"/>
        <v>4794.2822017716526</v>
      </c>
      <c r="J442" s="8">
        <f t="shared" si="12"/>
        <v>402719.70494881883</v>
      </c>
      <c r="K442" s="1" t="s">
        <v>34</v>
      </c>
      <c r="L442" s="1">
        <v>842</v>
      </c>
      <c r="M442" s="1" t="s">
        <v>312</v>
      </c>
    </row>
    <row r="443" spans="1:13" x14ac:dyDescent="0.3">
      <c r="A443" s="1" t="s">
        <v>1286</v>
      </c>
      <c r="B443" s="1" t="s">
        <v>1287</v>
      </c>
      <c r="C443" s="1">
        <v>46</v>
      </c>
      <c r="D443" s="1" t="s">
        <v>23</v>
      </c>
      <c r="E443" s="1">
        <v>3330000</v>
      </c>
      <c r="F443" s="7">
        <v>0.125</v>
      </c>
      <c r="G443" s="1">
        <v>240</v>
      </c>
      <c r="H443" s="1" t="s">
        <v>1288</v>
      </c>
      <c r="I443" s="8">
        <f t="shared" si="13"/>
        <v>37833.480305488498</v>
      </c>
      <c r="J443" s="8">
        <f t="shared" si="12"/>
        <v>9080035.2733172402</v>
      </c>
      <c r="K443" s="1" t="s">
        <v>147</v>
      </c>
      <c r="L443" s="1">
        <v>610</v>
      </c>
      <c r="M443" s="1" t="s">
        <v>20</v>
      </c>
    </row>
    <row r="444" spans="1:13" x14ac:dyDescent="0.3">
      <c r="A444" s="1" t="s">
        <v>1289</v>
      </c>
      <c r="B444" s="1" t="s">
        <v>1290</v>
      </c>
      <c r="C444" s="1">
        <v>46</v>
      </c>
      <c r="D444" s="1" t="s">
        <v>32</v>
      </c>
      <c r="E444" s="1">
        <v>190000</v>
      </c>
      <c r="F444" s="7">
        <v>0.1</v>
      </c>
      <c r="G444" s="1">
        <v>24</v>
      </c>
      <c r="H444" s="1" t="s">
        <v>1291</v>
      </c>
      <c r="I444" s="8">
        <f t="shared" si="13"/>
        <v>8767.5360041281365</v>
      </c>
      <c r="J444" s="8">
        <f t="shared" si="12"/>
        <v>210420.86409907526</v>
      </c>
      <c r="K444" s="1" t="s">
        <v>56</v>
      </c>
      <c r="L444" s="1">
        <v>747</v>
      </c>
      <c r="M444" s="1" t="s">
        <v>20</v>
      </c>
    </row>
    <row r="445" spans="1:13" x14ac:dyDescent="0.3">
      <c r="A445" s="1" t="s">
        <v>1292</v>
      </c>
      <c r="B445" s="1" t="s">
        <v>1293</v>
      </c>
      <c r="C445" s="1">
        <v>41</v>
      </c>
      <c r="D445" s="1" t="s">
        <v>27</v>
      </c>
      <c r="E445" s="1">
        <v>420000</v>
      </c>
      <c r="F445" s="7">
        <v>8.5000000000000006E-2</v>
      </c>
      <c r="G445" s="1">
        <v>24</v>
      </c>
      <c r="H445" s="1" t="s">
        <v>1294</v>
      </c>
      <c r="I445" s="8">
        <f t="shared" si="13"/>
        <v>19091.383450182137</v>
      </c>
      <c r="J445" s="8">
        <f t="shared" si="12"/>
        <v>458193.20280437125</v>
      </c>
      <c r="K445" s="1" t="s">
        <v>155</v>
      </c>
      <c r="L445" s="1">
        <v>844</v>
      </c>
      <c r="M445" s="1" t="s">
        <v>16</v>
      </c>
    </row>
    <row r="446" spans="1:13" x14ac:dyDescent="0.3">
      <c r="A446" s="1" t="s">
        <v>1295</v>
      </c>
      <c r="B446" s="1" t="s">
        <v>1195</v>
      </c>
      <c r="C446" s="1">
        <v>59</v>
      </c>
      <c r="D446" s="1" t="s">
        <v>37</v>
      </c>
      <c r="E446" s="1">
        <v>2750000</v>
      </c>
      <c r="F446" s="7">
        <v>0.13</v>
      </c>
      <c r="G446" s="1">
        <v>36</v>
      </c>
      <c r="H446" s="1" t="s">
        <v>1296</v>
      </c>
      <c r="I446" s="8">
        <f t="shared" si="13"/>
        <v>92658.36800905237</v>
      </c>
      <c r="J446" s="8">
        <f t="shared" si="12"/>
        <v>3335701.2483258853</v>
      </c>
      <c r="K446" s="1" t="s">
        <v>115</v>
      </c>
      <c r="L446" s="1">
        <v>868</v>
      </c>
      <c r="M446" s="1" t="s">
        <v>16</v>
      </c>
    </row>
    <row r="447" spans="1:13" x14ac:dyDescent="0.3">
      <c r="A447" s="1" t="s">
        <v>1297</v>
      </c>
      <c r="B447" s="1" t="s">
        <v>234</v>
      </c>
      <c r="C447" s="1">
        <v>56</v>
      </c>
      <c r="D447" s="1" t="s">
        <v>37</v>
      </c>
      <c r="E447" s="1">
        <v>4640000</v>
      </c>
      <c r="F447" s="7">
        <v>0.115</v>
      </c>
      <c r="G447" s="1">
        <v>240</v>
      </c>
      <c r="H447" s="1" t="s">
        <v>1298</v>
      </c>
      <c r="I447" s="8">
        <f t="shared" si="13"/>
        <v>49482.334902196664</v>
      </c>
      <c r="J447" s="8">
        <f t="shared" si="12"/>
        <v>11875760.3765272</v>
      </c>
      <c r="K447" s="1" t="s">
        <v>64</v>
      </c>
      <c r="L447" s="1">
        <v>851</v>
      </c>
      <c r="M447" s="1" t="s">
        <v>20</v>
      </c>
    </row>
    <row r="448" spans="1:13" x14ac:dyDescent="0.3">
      <c r="A448" s="1" t="s">
        <v>1299</v>
      </c>
      <c r="B448" s="1" t="s">
        <v>507</v>
      </c>
      <c r="C448" s="1">
        <v>53</v>
      </c>
      <c r="D448" s="1" t="s">
        <v>15</v>
      </c>
      <c r="E448" s="1">
        <v>510000</v>
      </c>
      <c r="F448" s="7">
        <v>0.13</v>
      </c>
      <c r="G448" s="1">
        <v>240</v>
      </c>
      <c r="H448" s="1" t="s">
        <v>1300</v>
      </c>
      <c r="I448" s="8">
        <f t="shared" si="13"/>
        <v>5975.0361275193472</v>
      </c>
      <c r="J448" s="8">
        <f t="shared" si="12"/>
        <v>1434008.6706046434</v>
      </c>
      <c r="K448" s="1" t="s">
        <v>326</v>
      </c>
      <c r="L448" s="1">
        <v>893</v>
      </c>
      <c r="M448" s="1" t="s">
        <v>60</v>
      </c>
    </row>
    <row r="449" spans="1:13" x14ac:dyDescent="0.3">
      <c r="A449" s="1" t="s">
        <v>1301</v>
      </c>
      <c r="B449" s="1" t="s">
        <v>1302</v>
      </c>
      <c r="C449" s="1">
        <v>50</v>
      </c>
      <c r="D449" s="1" t="s">
        <v>37</v>
      </c>
      <c r="E449" s="1">
        <v>1030000</v>
      </c>
      <c r="F449" s="7">
        <v>0.12</v>
      </c>
      <c r="G449" s="1">
        <v>12</v>
      </c>
      <c r="H449" s="1" t="s">
        <v>1303</v>
      </c>
      <c r="I449" s="8">
        <f t="shared" si="13"/>
        <v>91514.252338691935</v>
      </c>
      <c r="J449" s="8">
        <f t="shared" si="12"/>
        <v>1098171.0280643031</v>
      </c>
      <c r="K449" s="1" t="s">
        <v>29</v>
      </c>
      <c r="L449" s="1">
        <v>560</v>
      </c>
      <c r="M449" s="1" t="s">
        <v>16</v>
      </c>
    </row>
    <row r="450" spans="1:13" x14ac:dyDescent="0.3">
      <c r="A450" s="1" t="s">
        <v>1304</v>
      </c>
      <c r="B450" s="1" t="s">
        <v>1305</v>
      </c>
      <c r="C450" s="1">
        <v>57</v>
      </c>
      <c r="D450" s="1" t="s">
        <v>32</v>
      </c>
      <c r="E450" s="1">
        <v>140000</v>
      </c>
      <c r="F450" s="7">
        <v>0.1</v>
      </c>
      <c r="G450" s="1">
        <v>24</v>
      </c>
      <c r="H450" s="1" t="s">
        <v>1306</v>
      </c>
      <c r="I450" s="8">
        <f t="shared" si="13"/>
        <v>6460.2896872523106</v>
      </c>
      <c r="J450" s="8">
        <f t="shared" si="12"/>
        <v>155046.95249405544</v>
      </c>
      <c r="K450" s="1" t="s">
        <v>94</v>
      </c>
      <c r="L450" s="1">
        <v>611</v>
      </c>
      <c r="M450" s="1" t="s">
        <v>16</v>
      </c>
    </row>
    <row r="451" spans="1:13" x14ac:dyDescent="0.3">
      <c r="A451" s="1" t="s">
        <v>1307</v>
      </c>
      <c r="B451" s="1" t="s">
        <v>1308</v>
      </c>
      <c r="C451" s="1">
        <v>43</v>
      </c>
      <c r="D451" s="1" t="s">
        <v>23</v>
      </c>
      <c r="E451" s="1">
        <v>8290000</v>
      </c>
      <c r="F451" s="7">
        <v>0.09</v>
      </c>
      <c r="G451" s="1">
        <v>48</v>
      </c>
      <c r="H451" s="1" t="s">
        <v>1309</v>
      </c>
      <c r="I451" s="8">
        <f t="shared" si="13"/>
        <v>206297.00127991461</v>
      </c>
      <c r="J451" s="8">
        <f t="shared" si="12"/>
        <v>9902256.0614359006</v>
      </c>
      <c r="K451" s="1" t="s">
        <v>222</v>
      </c>
      <c r="L451" s="1">
        <v>882</v>
      </c>
      <c r="M451" s="1" t="s">
        <v>16</v>
      </c>
    </row>
    <row r="452" spans="1:13" x14ac:dyDescent="0.3">
      <c r="A452" s="1" t="s">
        <v>1310</v>
      </c>
      <c r="B452" s="1" t="s">
        <v>1311</v>
      </c>
      <c r="C452" s="1">
        <v>30</v>
      </c>
      <c r="D452" s="1" t="s">
        <v>37</v>
      </c>
      <c r="E452" s="1">
        <v>2810000</v>
      </c>
      <c r="F452" s="7">
        <v>0.125</v>
      </c>
      <c r="G452" s="1">
        <v>48</v>
      </c>
      <c r="H452" s="1" t="s">
        <v>1051</v>
      </c>
      <c r="I452" s="8">
        <f t="shared" si="13"/>
        <v>74689.796885877033</v>
      </c>
      <c r="J452" s="8">
        <f t="shared" ref="J452:J515" si="14">(I452*G452)</f>
        <v>3585110.2505220976</v>
      </c>
      <c r="K452" s="1" t="s">
        <v>201</v>
      </c>
      <c r="L452" s="1">
        <v>775</v>
      </c>
      <c r="M452" s="1" t="s">
        <v>60</v>
      </c>
    </row>
    <row r="453" spans="1:13" x14ac:dyDescent="0.3">
      <c r="A453" s="1" t="s">
        <v>1312</v>
      </c>
      <c r="B453" s="1" t="s">
        <v>1111</v>
      </c>
      <c r="C453" s="1">
        <v>25</v>
      </c>
      <c r="D453" s="1" t="s">
        <v>37</v>
      </c>
      <c r="E453" s="1">
        <v>4030000</v>
      </c>
      <c r="F453" s="7">
        <v>0.12</v>
      </c>
      <c r="G453" s="1">
        <v>120</v>
      </c>
      <c r="H453" s="1" t="s">
        <v>1313</v>
      </c>
      <c r="I453" s="8">
        <f t="shared" ref="I453:I516" si="15">PMT(F453/12,G453, -E453)</f>
        <v>57818.79220624271</v>
      </c>
      <c r="J453" s="8">
        <f t="shared" si="14"/>
        <v>6938255.0647491254</v>
      </c>
      <c r="K453" s="1" t="s">
        <v>191</v>
      </c>
      <c r="L453" s="1">
        <v>702</v>
      </c>
      <c r="M453" s="1" t="s">
        <v>16</v>
      </c>
    </row>
    <row r="454" spans="1:13" x14ac:dyDescent="0.3">
      <c r="A454" s="1" t="s">
        <v>1314</v>
      </c>
      <c r="B454" s="1" t="s">
        <v>1018</v>
      </c>
      <c r="C454" s="1">
        <v>56</v>
      </c>
      <c r="D454" s="1" t="s">
        <v>23</v>
      </c>
      <c r="E454" s="1">
        <v>6030000</v>
      </c>
      <c r="F454" s="7">
        <v>8.5000000000000006E-2</v>
      </c>
      <c r="G454" s="1">
        <v>24</v>
      </c>
      <c r="H454" s="1" t="s">
        <v>1315</v>
      </c>
      <c r="I454" s="8">
        <f t="shared" si="15"/>
        <v>274097.71953475778</v>
      </c>
      <c r="J454" s="8">
        <f t="shared" si="14"/>
        <v>6578345.2688341867</v>
      </c>
      <c r="K454" s="1" t="s">
        <v>25</v>
      </c>
      <c r="L454" s="1">
        <v>748</v>
      </c>
      <c r="M454" s="1" t="s">
        <v>16</v>
      </c>
    </row>
    <row r="455" spans="1:13" x14ac:dyDescent="0.3">
      <c r="A455" s="1" t="s">
        <v>1316</v>
      </c>
      <c r="B455" s="1" t="s">
        <v>866</v>
      </c>
      <c r="C455" s="1">
        <v>54</v>
      </c>
      <c r="D455" s="1" t="s">
        <v>23</v>
      </c>
      <c r="E455" s="1">
        <v>9120000</v>
      </c>
      <c r="F455" s="7">
        <v>0.105</v>
      </c>
      <c r="G455" s="1">
        <v>48</v>
      </c>
      <c r="H455" s="1" t="s">
        <v>1317</v>
      </c>
      <c r="I455" s="8">
        <f t="shared" si="15"/>
        <v>233502.82333736477</v>
      </c>
      <c r="J455" s="8">
        <f t="shared" si="14"/>
        <v>11208135.52019351</v>
      </c>
      <c r="K455" s="1" t="s">
        <v>104</v>
      </c>
      <c r="L455" s="1">
        <v>601</v>
      </c>
      <c r="M455" s="1" t="s">
        <v>16</v>
      </c>
    </row>
    <row r="456" spans="1:13" x14ac:dyDescent="0.3">
      <c r="A456" s="1" t="s">
        <v>1318</v>
      </c>
      <c r="B456" s="1" t="s">
        <v>1319</v>
      </c>
      <c r="C456" s="1">
        <v>51</v>
      </c>
      <c r="D456" s="1" t="s">
        <v>32</v>
      </c>
      <c r="E456" s="1">
        <v>460000</v>
      </c>
      <c r="F456" s="7">
        <v>9.5000000000000001E-2</v>
      </c>
      <c r="G456" s="1">
        <v>240</v>
      </c>
      <c r="H456" s="1" t="s">
        <v>1320</v>
      </c>
      <c r="I456" s="8">
        <f t="shared" si="15"/>
        <v>4287.803464034183</v>
      </c>
      <c r="J456" s="8">
        <f t="shared" si="14"/>
        <v>1029072.831368204</v>
      </c>
      <c r="K456" s="1" t="s">
        <v>249</v>
      </c>
      <c r="L456" s="1">
        <v>809</v>
      </c>
      <c r="M456" s="1" t="s">
        <v>20</v>
      </c>
    </row>
    <row r="457" spans="1:13" x14ac:dyDescent="0.3">
      <c r="A457" s="1" t="s">
        <v>1321</v>
      </c>
      <c r="B457" s="1" t="s">
        <v>1322</v>
      </c>
      <c r="C457" s="1">
        <v>30</v>
      </c>
      <c r="D457" s="1" t="s">
        <v>37</v>
      </c>
      <c r="E457" s="1">
        <v>1150000</v>
      </c>
      <c r="F457" s="7">
        <v>0.13</v>
      </c>
      <c r="G457" s="1">
        <v>120</v>
      </c>
      <c r="H457" s="1" t="s">
        <v>1323</v>
      </c>
      <c r="I457" s="8">
        <f t="shared" si="15"/>
        <v>17170.735097380857</v>
      </c>
      <c r="J457" s="8">
        <f t="shared" si="14"/>
        <v>2060488.2116857029</v>
      </c>
      <c r="K457" s="1" t="s">
        <v>64</v>
      </c>
      <c r="L457" s="1">
        <v>608</v>
      </c>
      <c r="M457" s="1" t="s">
        <v>16</v>
      </c>
    </row>
    <row r="458" spans="1:13" x14ac:dyDescent="0.3">
      <c r="A458" s="1" t="s">
        <v>1324</v>
      </c>
      <c r="B458" s="1" t="s">
        <v>368</v>
      </c>
      <c r="C458" s="1">
        <v>39</v>
      </c>
      <c r="D458" s="1" t="s">
        <v>32</v>
      </c>
      <c r="E458" s="1">
        <v>240000</v>
      </c>
      <c r="F458" s="7">
        <v>0.13</v>
      </c>
      <c r="G458" s="1">
        <v>24</v>
      </c>
      <c r="H458" s="1" t="s">
        <v>1325</v>
      </c>
      <c r="I458" s="8">
        <f t="shared" si="15"/>
        <v>11410.037421228244</v>
      </c>
      <c r="J458" s="8">
        <f t="shared" si="14"/>
        <v>273840.89810947783</v>
      </c>
      <c r="K458" s="1" t="s">
        <v>56</v>
      </c>
      <c r="L458" s="1">
        <v>621</v>
      </c>
      <c r="M458" s="1" t="s">
        <v>16</v>
      </c>
    </row>
    <row r="459" spans="1:13" x14ac:dyDescent="0.3">
      <c r="A459" s="1" t="s">
        <v>1326</v>
      </c>
      <c r="B459" s="1" t="s">
        <v>1327</v>
      </c>
      <c r="C459" s="1">
        <v>52</v>
      </c>
      <c r="D459" s="1" t="s">
        <v>37</v>
      </c>
      <c r="E459" s="1">
        <v>2610000</v>
      </c>
      <c r="F459" s="7">
        <v>9.5000000000000001E-2</v>
      </c>
      <c r="G459" s="1">
        <v>36</v>
      </c>
      <c r="H459" s="1" t="s">
        <v>1328</v>
      </c>
      <c r="I459" s="8">
        <f t="shared" si="15"/>
        <v>83605.998823440197</v>
      </c>
      <c r="J459" s="8">
        <f t="shared" si="14"/>
        <v>3009815.957643847</v>
      </c>
      <c r="K459" s="1" t="s">
        <v>29</v>
      </c>
      <c r="L459" s="1">
        <v>697</v>
      </c>
      <c r="M459" s="1" t="s">
        <v>20</v>
      </c>
    </row>
    <row r="460" spans="1:13" x14ac:dyDescent="0.3">
      <c r="A460" s="1" t="s">
        <v>1329</v>
      </c>
      <c r="B460" s="1" t="s">
        <v>1330</v>
      </c>
      <c r="C460" s="1">
        <v>21</v>
      </c>
      <c r="D460" s="1" t="s">
        <v>27</v>
      </c>
      <c r="E460" s="1">
        <v>360000</v>
      </c>
      <c r="F460" s="7">
        <v>8.5000000000000006E-2</v>
      </c>
      <c r="G460" s="1">
        <v>12</v>
      </c>
      <c r="H460" s="1" t="s">
        <v>1331</v>
      </c>
      <c r="I460" s="8">
        <f t="shared" si="15"/>
        <v>31399.121685633381</v>
      </c>
      <c r="J460" s="8">
        <f t="shared" si="14"/>
        <v>376789.46022760059</v>
      </c>
      <c r="K460" s="1" t="s">
        <v>205</v>
      </c>
      <c r="L460" s="1">
        <v>898</v>
      </c>
      <c r="M460" s="1" t="s">
        <v>16</v>
      </c>
    </row>
    <row r="461" spans="1:13" x14ac:dyDescent="0.3">
      <c r="A461" s="1" t="s">
        <v>1332</v>
      </c>
      <c r="B461" s="1" t="s">
        <v>1333</v>
      </c>
      <c r="C461" s="1">
        <v>25</v>
      </c>
      <c r="D461" s="1" t="s">
        <v>18</v>
      </c>
      <c r="E461" s="1">
        <v>1710000</v>
      </c>
      <c r="F461" s="7">
        <v>8.5000000000000006E-2</v>
      </c>
      <c r="G461" s="1">
        <v>180</v>
      </c>
      <c r="H461" s="1" t="s">
        <v>1334</v>
      </c>
      <c r="I461" s="8">
        <f t="shared" si="15"/>
        <v>16839.046440527647</v>
      </c>
      <c r="J461" s="8">
        <f t="shared" si="14"/>
        <v>3031028.3592949766</v>
      </c>
      <c r="K461" s="1" t="s">
        <v>187</v>
      </c>
      <c r="L461" s="1">
        <v>612</v>
      </c>
      <c r="M461" s="1" t="s">
        <v>20</v>
      </c>
    </row>
    <row r="462" spans="1:13" x14ac:dyDescent="0.3">
      <c r="A462" s="1" t="s">
        <v>1335</v>
      </c>
      <c r="B462" s="1" t="s">
        <v>1336</v>
      </c>
      <c r="C462" s="1">
        <v>24</v>
      </c>
      <c r="D462" s="1" t="s">
        <v>37</v>
      </c>
      <c r="E462" s="1">
        <v>4660000</v>
      </c>
      <c r="F462" s="7">
        <v>0.13</v>
      </c>
      <c r="G462" s="1">
        <v>84</v>
      </c>
      <c r="H462" s="1" t="s">
        <v>1337</v>
      </c>
      <c r="I462" s="8">
        <f t="shared" si="15"/>
        <v>84774.549205294636</v>
      </c>
      <c r="J462" s="8">
        <f t="shared" si="14"/>
        <v>7121062.1332447492</v>
      </c>
      <c r="K462" s="1" t="s">
        <v>226</v>
      </c>
      <c r="L462" s="1">
        <v>859</v>
      </c>
      <c r="M462" s="1" t="s">
        <v>16</v>
      </c>
    </row>
    <row r="463" spans="1:13" x14ac:dyDescent="0.3">
      <c r="A463" s="1" t="s">
        <v>1338</v>
      </c>
      <c r="B463" s="1" t="s">
        <v>1339</v>
      </c>
      <c r="C463" s="1">
        <v>36</v>
      </c>
      <c r="D463" s="1" t="s">
        <v>15</v>
      </c>
      <c r="E463" s="1">
        <v>1450000</v>
      </c>
      <c r="F463" s="7">
        <v>7.4999999999999997E-2</v>
      </c>
      <c r="G463" s="1">
        <v>12</v>
      </c>
      <c r="H463" s="1" t="s">
        <v>1340</v>
      </c>
      <c r="I463" s="8">
        <f t="shared" si="15"/>
        <v>125798.25448384046</v>
      </c>
      <c r="J463" s="8">
        <f t="shared" si="14"/>
        <v>1509579.0538060856</v>
      </c>
      <c r="K463" s="1" t="s">
        <v>191</v>
      </c>
      <c r="L463" s="1">
        <v>792</v>
      </c>
      <c r="M463" s="1" t="s">
        <v>20</v>
      </c>
    </row>
    <row r="464" spans="1:13" x14ac:dyDescent="0.3">
      <c r="A464" s="1" t="s">
        <v>1341</v>
      </c>
      <c r="B464" s="1" t="s">
        <v>1342</v>
      </c>
      <c r="C464" s="1">
        <v>44</v>
      </c>
      <c r="D464" s="1" t="s">
        <v>18</v>
      </c>
      <c r="E464" s="1">
        <v>1490000</v>
      </c>
      <c r="F464" s="7">
        <v>0.13</v>
      </c>
      <c r="G464" s="1">
        <v>24</v>
      </c>
      <c r="H464" s="1" t="s">
        <v>1343</v>
      </c>
      <c r="I464" s="8">
        <f t="shared" si="15"/>
        <v>70837.315656792009</v>
      </c>
      <c r="J464" s="8">
        <f t="shared" si="14"/>
        <v>1700095.5757630081</v>
      </c>
      <c r="K464" s="1" t="s">
        <v>39</v>
      </c>
      <c r="L464" s="1">
        <v>879</v>
      </c>
      <c r="M464" s="1" t="s">
        <v>60</v>
      </c>
    </row>
    <row r="465" spans="1:13" x14ac:dyDescent="0.3">
      <c r="A465" s="1" t="s">
        <v>1344</v>
      </c>
      <c r="B465" s="1" t="s">
        <v>1345</v>
      </c>
      <c r="C465" s="1">
        <v>36</v>
      </c>
      <c r="D465" s="1" t="s">
        <v>18</v>
      </c>
      <c r="E465" s="1">
        <v>610000</v>
      </c>
      <c r="F465" s="7">
        <v>0.12</v>
      </c>
      <c r="G465" s="1">
        <v>24</v>
      </c>
      <c r="H465" s="1" t="s">
        <v>375</v>
      </c>
      <c r="I465" s="8">
        <f t="shared" si="15"/>
        <v>28714.818056191467</v>
      </c>
      <c r="J465" s="8">
        <f t="shared" si="14"/>
        <v>689155.63334859523</v>
      </c>
      <c r="K465" s="1" t="s">
        <v>104</v>
      </c>
      <c r="L465" s="1">
        <v>656</v>
      </c>
      <c r="M465" s="1" t="s">
        <v>16</v>
      </c>
    </row>
    <row r="466" spans="1:13" x14ac:dyDescent="0.3">
      <c r="A466" s="1" t="s">
        <v>1346</v>
      </c>
      <c r="B466" s="1" t="s">
        <v>1347</v>
      </c>
      <c r="C466" s="1">
        <v>22</v>
      </c>
      <c r="D466" s="1" t="s">
        <v>15</v>
      </c>
      <c r="E466" s="1">
        <v>1160000</v>
      </c>
      <c r="F466" s="7">
        <v>0.105</v>
      </c>
      <c r="G466" s="1">
        <v>12</v>
      </c>
      <c r="H466" s="1" t="s">
        <v>1348</v>
      </c>
      <c r="I466" s="8">
        <f t="shared" si="15"/>
        <v>102252.37935732535</v>
      </c>
      <c r="J466" s="8">
        <f t="shared" si="14"/>
        <v>1227028.5522879041</v>
      </c>
      <c r="K466" s="1" t="s">
        <v>52</v>
      </c>
      <c r="L466" s="1">
        <v>775</v>
      </c>
      <c r="M466" s="1" t="s">
        <v>16</v>
      </c>
    </row>
    <row r="467" spans="1:13" x14ac:dyDescent="0.3">
      <c r="A467" s="1" t="s">
        <v>1349</v>
      </c>
      <c r="B467" s="1" t="s">
        <v>854</v>
      </c>
      <c r="C467" s="1">
        <v>48</v>
      </c>
      <c r="D467" s="1" t="s">
        <v>15</v>
      </c>
      <c r="E467" s="1">
        <v>420000</v>
      </c>
      <c r="F467" s="7">
        <v>0.12</v>
      </c>
      <c r="G467" s="1">
        <v>36</v>
      </c>
      <c r="H467" s="1" t="s">
        <v>1350</v>
      </c>
      <c r="I467" s="8">
        <f t="shared" si="15"/>
        <v>13950.010121397499</v>
      </c>
      <c r="J467" s="8">
        <f t="shared" si="14"/>
        <v>502200.36437030998</v>
      </c>
      <c r="K467" s="1" t="s">
        <v>25</v>
      </c>
      <c r="L467" s="1">
        <v>862</v>
      </c>
      <c r="M467" s="1" t="s">
        <v>16</v>
      </c>
    </row>
    <row r="468" spans="1:13" x14ac:dyDescent="0.3">
      <c r="A468" s="1" t="s">
        <v>1351</v>
      </c>
      <c r="B468" s="1" t="s">
        <v>287</v>
      </c>
      <c r="C468" s="1">
        <v>52</v>
      </c>
      <c r="D468" s="1" t="s">
        <v>15</v>
      </c>
      <c r="E468" s="1">
        <v>480000</v>
      </c>
      <c r="F468" s="7">
        <v>7.4999999999999997E-2</v>
      </c>
      <c r="G468" s="1">
        <v>60</v>
      </c>
      <c r="H468" s="1" t="s">
        <v>1352</v>
      </c>
      <c r="I468" s="8">
        <f t="shared" si="15"/>
        <v>9618.2153258994076</v>
      </c>
      <c r="J468" s="8">
        <f t="shared" si="14"/>
        <v>577092.9195539644</v>
      </c>
      <c r="K468" s="1" t="s">
        <v>226</v>
      </c>
      <c r="L468" s="1">
        <v>767</v>
      </c>
      <c r="M468" s="1" t="s">
        <v>60</v>
      </c>
    </row>
    <row r="469" spans="1:13" x14ac:dyDescent="0.3">
      <c r="A469" s="1" t="s">
        <v>1353</v>
      </c>
      <c r="B469" s="1" t="s">
        <v>1354</v>
      </c>
      <c r="C469" s="1">
        <v>47</v>
      </c>
      <c r="D469" s="1" t="s">
        <v>32</v>
      </c>
      <c r="E469" s="1">
        <v>210000</v>
      </c>
      <c r="F469" s="7">
        <v>8.5000000000000006E-2</v>
      </c>
      <c r="G469" s="1">
        <v>240</v>
      </c>
      <c r="H469" s="1" t="s">
        <v>154</v>
      </c>
      <c r="I469" s="8">
        <f t="shared" si="15"/>
        <v>1822.4287900676213</v>
      </c>
      <c r="J469" s="8">
        <f t="shared" si="14"/>
        <v>437382.90961622912</v>
      </c>
      <c r="K469" s="1" t="s">
        <v>191</v>
      </c>
      <c r="L469" s="1">
        <v>790</v>
      </c>
      <c r="M469" s="1" t="s">
        <v>16</v>
      </c>
    </row>
    <row r="470" spans="1:13" x14ac:dyDescent="0.3">
      <c r="A470" s="1" t="s">
        <v>1355</v>
      </c>
      <c r="B470" s="1" t="s">
        <v>1356</v>
      </c>
      <c r="C470" s="1">
        <v>40</v>
      </c>
      <c r="D470" s="1" t="s">
        <v>18</v>
      </c>
      <c r="E470" s="1">
        <v>210000</v>
      </c>
      <c r="F470" s="7">
        <v>0.12</v>
      </c>
      <c r="G470" s="1">
        <v>24</v>
      </c>
      <c r="H470" s="1" t="s">
        <v>1357</v>
      </c>
      <c r="I470" s="8">
        <f t="shared" si="15"/>
        <v>9885.4291668855876</v>
      </c>
      <c r="J470" s="8">
        <f t="shared" si="14"/>
        <v>237250.3000052541</v>
      </c>
      <c r="K470" s="1" t="s">
        <v>136</v>
      </c>
      <c r="L470" s="1">
        <v>808</v>
      </c>
      <c r="M470" s="1" t="s">
        <v>16</v>
      </c>
    </row>
    <row r="471" spans="1:13" x14ac:dyDescent="0.3">
      <c r="A471" s="1" t="s">
        <v>1358</v>
      </c>
      <c r="B471" s="1" t="s">
        <v>1359</v>
      </c>
      <c r="C471" s="1">
        <v>44</v>
      </c>
      <c r="D471" s="1" t="s">
        <v>37</v>
      </c>
      <c r="E471" s="1">
        <v>3820000</v>
      </c>
      <c r="F471" s="7">
        <v>0.1</v>
      </c>
      <c r="G471" s="1">
        <v>48</v>
      </c>
      <c r="H471" s="1" t="s">
        <v>1360</v>
      </c>
      <c r="I471" s="8">
        <f t="shared" si="15"/>
        <v>96885.068720734256</v>
      </c>
      <c r="J471" s="8">
        <f t="shared" si="14"/>
        <v>4650483.2985952441</v>
      </c>
      <c r="K471" s="1" t="s">
        <v>25</v>
      </c>
      <c r="L471" s="1">
        <v>811</v>
      </c>
      <c r="M471" s="1" t="s">
        <v>312</v>
      </c>
    </row>
    <row r="472" spans="1:13" x14ac:dyDescent="0.3">
      <c r="A472" s="1" t="s">
        <v>1361</v>
      </c>
      <c r="B472" s="1" t="s">
        <v>1362</v>
      </c>
      <c r="C472" s="1">
        <v>32</v>
      </c>
      <c r="D472" s="1" t="s">
        <v>27</v>
      </c>
      <c r="E472" s="1">
        <v>450000</v>
      </c>
      <c r="F472" s="7">
        <v>0.12</v>
      </c>
      <c r="G472" s="1">
        <v>60</v>
      </c>
      <c r="H472" s="1" t="s">
        <v>1363</v>
      </c>
      <c r="I472" s="8">
        <f t="shared" si="15"/>
        <v>10010.001458205797</v>
      </c>
      <c r="J472" s="8">
        <f t="shared" si="14"/>
        <v>600600.08749234781</v>
      </c>
      <c r="K472" s="1" t="s">
        <v>44</v>
      </c>
      <c r="L472" s="1">
        <v>554</v>
      </c>
      <c r="M472" s="1" t="s">
        <v>20</v>
      </c>
    </row>
    <row r="473" spans="1:13" x14ac:dyDescent="0.3">
      <c r="A473" s="1" t="s">
        <v>1364</v>
      </c>
      <c r="B473" s="1" t="s">
        <v>1365</v>
      </c>
      <c r="C473" s="1">
        <v>55</v>
      </c>
      <c r="D473" s="1" t="s">
        <v>32</v>
      </c>
      <c r="E473" s="1">
        <v>490000</v>
      </c>
      <c r="F473" s="7">
        <v>0.09</v>
      </c>
      <c r="G473" s="1">
        <v>120</v>
      </c>
      <c r="H473" s="1" t="s">
        <v>1366</v>
      </c>
      <c r="I473" s="8">
        <f t="shared" si="15"/>
        <v>6207.1129137622247</v>
      </c>
      <c r="J473" s="8">
        <f t="shared" si="14"/>
        <v>744853.54965146701</v>
      </c>
      <c r="K473" s="1" t="s">
        <v>68</v>
      </c>
      <c r="L473" s="1">
        <v>810</v>
      </c>
      <c r="M473" s="1" t="s">
        <v>16</v>
      </c>
    </row>
    <row r="474" spans="1:13" x14ac:dyDescent="0.3">
      <c r="A474" s="1" t="s">
        <v>1367</v>
      </c>
      <c r="B474" s="1" t="s">
        <v>1368</v>
      </c>
      <c r="C474" s="1">
        <v>53</v>
      </c>
      <c r="D474" s="1" t="s">
        <v>23</v>
      </c>
      <c r="E474" s="1">
        <v>7370000</v>
      </c>
      <c r="F474" s="7">
        <v>0.125</v>
      </c>
      <c r="G474" s="1">
        <v>120</v>
      </c>
      <c r="H474" s="1" t="s">
        <v>1369</v>
      </c>
      <c r="I474" s="8">
        <f t="shared" si="15"/>
        <v>107879.23631200702</v>
      </c>
      <c r="J474" s="8">
        <f t="shared" si="14"/>
        <v>12945508.357440842</v>
      </c>
      <c r="K474" s="1" t="s">
        <v>104</v>
      </c>
      <c r="L474" s="1">
        <v>603</v>
      </c>
      <c r="M474" s="1" t="s">
        <v>16</v>
      </c>
    </row>
    <row r="475" spans="1:13" x14ac:dyDescent="0.3">
      <c r="A475" s="1" t="s">
        <v>1370</v>
      </c>
      <c r="B475" s="1" t="s">
        <v>537</v>
      </c>
      <c r="C475" s="1">
        <v>53</v>
      </c>
      <c r="D475" s="1" t="s">
        <v>18</v>
      </c>
      <c r="E475" s="1">
        <v>1890000</v>
      </c>
      <c r="F475" s="7">
        <v>0.12</v>
      </c>
      <c r="G475" s="1">
        <v>180</v>
      </c>
      <c r="H475" s="1" t="s">
        <v>1371</v>
      </c>
      <c r="I475" s="8">
        <f t="shared" si="15"/>
        <v>22683.176373529608</v>
      </c>
      <c r="J475" s="8">
        <f t="shared" si="14"/>
        <v>4082971.7472353294</v>
      </c>
      <c r="K475" s="1" t="s">
        <v>366</v>
      </c>
      <c r="L475" s="1">
        <v>596</v>
      </c>
      <c r="M475" s="1" t="s">
        <v>20</v>
      </c>
    </row>
    <row r="476" spans="1:13" x14ac:dyDescent="0.3">
      <c r="A476" s="1" t="s">
        <v>1372</v>
      </c>
      <c r="B476" s="1" t="s">
        <v>1373</v>
      </c>
      <c r="C476" s="1">
        <v>63</v>
      </c>
      <c r="D476" s="1" t="s">
        <v>37</v>
      </c>
      <c r="E476" s="1">
        <v>3260000</v>
      </c>
      <c r="F476" s="7">
        <v>0.08</v>
      </c>
      <c r="G476" s="1">
        <v>120</v>
      </c>
      <c r="H476" s="1" t="s">
        <v>1374</v>
      </c>
      <c r="I476" s="8">
        <f t="shared" si="15"/>
        <v>39552.795759846362</v>
      </c>
      <c r="J476" s="8">
        <f t="shared" si="14"/>
        <v>4746335.4911815636</v>
      </c>
      <c r="K476" s="1" t="s">
        <v>226</v>
      </c>
      <c r="L476" s="1">
        <v>764</v>
      </c>
      <c r="M476" s="1" t="s">
        <v>16</v>
      </c>
    </row>
    <row r="477" spans="1:13" x14ac:dyDescent="0.3">
      <c r="A477" s="1" t="s">
        <v>1375</v>
      </c>
      <c r="B477" s="1" t="s">
        <v>1376</v>
      </c>
      <c r="C477" s="1">
        <v>57</v>
      </c>
      <c r="D477" s="1" t="s">
        <v>42</v>
      </c>
      <c r="E477" s="1">
        <v>1220000</v>
      </c>
      <c r="F477" s="7">
        <v>0.11</v>
      </c>
      <c r="G477" s="1">
        <v>120</v>
      </c>
      <c r="H477" s="1" t="s">
        <v>1377</v>
      </c>
      <c r="I477" s="8">
        <f t="shared" si="15"/>
        <v>16805.501377614546</v>
      </c>
      <c r="J477" s="8">
        <f t="shared" si="14"/>
        <v>2016660.1653137456</v>
      </c>
      <c r="K477" s="1" t="s">
        <v>226</v>
      </c>
      <c r="L477" s="1">
        <v>726</v>
      </c>
      <c r="M477" s="1" t="s">
        <v>20</v>
      </c>
    </row>
    <row r="478" spans="1:13" x14ac:dyDescent="0.3">
      <c r="A478" s="1" t="s">
        <v>1378</v>
      </c>
      <c r="B478" s="1" t="s">
        <v>1379</v>
      </c>
      <c r="C478" s="1">
        <v>32</v>
      </c>
      <c r="D478" s="1" t="s">
        <v>37</v>
      </c>
      <c r="E478" s="1">
        <v>3310000</v>
      </c>
      <c r="F478" s="7">
        <v>8.5000000000000006E-2</v>
      </c>
      <c r="G478" s="1">
        <v>84</v>
      </c>
      <c r="H478" s="1" t="s">
        <v>1380</v>
      </c>
      <c r="I478" s="8">
        <f t="shared" si="15"/>
        <v>52418.766796935699</v>
      </c>
      <c r="J478" s="8">
        <f t="shared" si="14"/>
        <v>4403176.4109425992</v>
      </c>
      <c r="K478" s="1" t="s">
        <v>34</v>
      </c>
      <c r="L478" s="1">
        <v>558</v>
      </c>
      <c r="M478" s="1" t="s">
        <v>16</v>
      </c>
    </row>
    <row r="479" spans="1:13" x14ac:dyDescent="0.3">
      <c r="A479" s="1" t="s">
        <v>1381</v>
      </c>
      <c r="B479" s="1" t="s">
        <v>435</v>
      </c>
      <c r="C479" s="1">
        <v>23</v>
      </c>
      <c r="D479" s="1" t="s">
        <v>32</v>
      </c>
      <c r="E479" s="1">
        <v>280000</v>
      </c>
      <c r="F479" s="7">
        <v>0.1</v>
      </c>
      <c r="G479" s="1">
        <v>12</v>
      </c>
      <c r="H479" s="1" t="s">
        <v>1382</v>
      </c>
      <c r="I479" s="8">
        <f t="shared" si="15"/>
        <v>24616.448424402686</v>
      </c>
      <c r="J479" s="8">
        <f t="shared" si="14"/>
        <v>295397.38109283225</v>
      </c>
      <c r="K479" s="1" t="s">
        <v>90</v>
      </c>
      <c r="L479" s="1">
        <v>648</v>
      </c>
      <c r="M479" s="1" t="s">
        <v>20</v>
      </c>
    </row>
    <row r="480" spans="1:13" x14ac:dyDescent="0.3">
      <c r="A480" s="1" t="s">
        <v>1383</v>
      </c>
      <c r="B480" s="1" t="s">
        <v>687</v>
      </c>
      <c r="C480" s="1">
        <v>21</v>
      </c>
      <c r="D480" s="1" t="s">
        <v>15</v>
      </c>
      <c r="E480" s="1">
        <v>1910000</v>
      </c>
      <c r="F480" s="7">
        <v>0.13</v>
      </c>
      <c r="G480" s="1">
        <v>120</v>
      </c>
      <c r="H480" s="1" t="s">
        <v>1384</v>
      </c>
      <c r="I480" s="8">
        <f t="shared" si="15"/>
        <v>28518.351335649946</v>
      </c>
      <c r="J480" s="8">
        <f t="shared" si="14"/>
        <v>3422202.1602779934</v>
      </c>
      <c r="K480" s="1" t="s">
        <v>39</v>
      </c>
      <c r="L480" s="1">
        <v>569</v>
      </c>
      <c r="M480" s="1" t="s">
        <v>20</v>
      </c>
    </row>
    <row r="481" spans="1:13" x14ac:dyDescent="0.3">
      <c r="A481" s="1" t="s">
        <v>1385</v>
      </c>
      <c r="B481" s="1" t="s">
        <v>970</v>
      </c>
      <c r="C481" s="1">
        <v>53</v>
      </c>
      <c r="D481" s="1" t="s">
        <v>42</v>
      </c>
      <c r="E481" s="1">
        <v>590000</v>
      </c>
      <c r="F481" s="7">
        <v>0.08</v>
      </c>
      <c r="G481" s="1">
        <v>24</v>
      </c>
      <c r="H481" s="1" t="s">
        <v>1386</v>
      </c>
      <c r="I481" s="8">
        <f t="shared" si="15"/>
        <v>26684.101959148651</v>
      </c>
      <c r="J481" s="8">
        <f t="shared" si="14"/>
        <v>640418.4470195676</v>
      </c>
      <c r="K481" s="1" t="s">
        <v>119</v>
      </c>
      <c r="L481" s="1">
        <v>790</v>
      </c>
      <c r="M481" s="1" t="s">
        <v>16</v>
      </c>
    </row>
    <row r="482" spans="1:13" x14ac:dyDescent="0.3">
      <c r="A482" s="1" t="s">
        <v>1387</v>
      </c>
      <c r="B482" s="1" t="s">
        <v>1388</v>
      </c>
      <c r="C482" s="1">
        <v>60</v>
      </c>
      <c r="D482" s="1" t="s">
        <v>32</v>
      </c>
      <c r="E482" s="1">
        <v>210000</v>
      </c>
      <c r="F482" s="7">
        <v>0.09</v>
      </c>
      <c r="G482" s="1">
        <v>240</v>
      </c>
      <c r="H482" s="1" t="s">
        <v>1389</v>
      </c>
      <c r="I482" s="8">
        <f t="shared" si="15"/>
        <v>1889.4245072853632</v>
      </c>
      <c r="J482" s="8">
        <f t="shared" si="14"/>
        <v>453461.88174848718</v>
      </c>
      <c r="K482" s="1" t="s">
        <v>56</v>
      </c>
      <c r="L482" s="1">
        <v>610</v>
      </c>
      <c r="M482" s="1" t="s">
        <v>16</v>
      </c>
    </row>
    <row r="483" spans="1:13" x14ac:dyDescent="0.3">
      <c r="A483" s="1" t="s">
        <v>1390</v>
      </c>
      <c r="B483" s="1" t="s">
        <v>693</v>
      </c>
      <c r="C483" s="1">
        <v>30</v>
      </c>
      <c r="D483" s="1" t="s">
        <v>37</v>
      </c>
      <c r="E483" s="1">
        <v>3190000</v>
      </c>
      <c r="F483" s="7">
        <v>0.1</v>
      </c>
      <c r="G483" s="1">
        <v>12</v>
      </c>
      <c r="H483" s="1" t="s">
        <v>1391</v>
      </c>
      <c r="I483" s="8">
        <f t="shared" si="15"/>
        <v>280451.68026373064</v>
      </c>
      <c r="J483" s="8">
        <f t="shared" si="14"/>
        <v>3365420.1631647674</v>
      </c>
      <c r="K483" s="1" t="s">
        <v>366</v>
      </c>
      <c r="L483" s="1">
        <v>727</v>
      </c>
      <c r="M483" s="1" t="s">
        <v>16</v>
      </c>
    </row>
    <row r="484" spans="1:13" x14ac:dyDescent="0.3">
      <c r="A484" s="1" t="s">
        <v>1392</v>
      </c>
      <c r="B484" s="1" t="s">
        <v>1229</v>
      </c>
      <c r="C484" s="1">
        <v>63</v>
      </c>
      <c r="D484" s="1" t="s">
        <v>27</v>
      </c>
      <c r="E484" s="1">
        <v>730000</v>
      </c>
      <c r="F484" s="7">
        <v>0.1</v>
      </c>
      <c r="G484" s="1">
        <v>24</v>
      </c>
      <c r="H484" s="1" t="s">
        <v>1393</v>
      </c>
      <c r="I484" s="8">
        <f t="shared" si="15"/>
        <v>33685.79622638705</v>
      </c>
      <c r="J484" s="8">
        <f t="shared" si="14"/>
        <v>808459.10943328915</v>
      </c>
      <c r="K484" s="1" t="s">
        <v>155</v>
      </c>
      <c r="L484" s="1">
        <v>887</v>
      </c>
      <c r="M484" s="1" t="s">
        <v>16</v>
      </c>
    </row>
    <row r="485" spans="1:13" x14ac:dyDescent="0.3">
      <c r="A485" s="1" t="s">
        <v>1394</v>
      </c>
      <c r="B485" s="1" t="s">
        <v>1395</v>
      </c>
      <c r="C485" s="1">
        <v>64</v>
      </c>
      <c r="D485" s="1" t="s">
        <v>32</v>
      </c>
      <c r="E485" s="1">
        <v>410000</v>
      </c>
      <c r="F485" s="7">
        <v>8.5000000000000006E-2</v>
      </c>
      <c r="G485" s="1">
        <v>12</v>
      </c>
      <c r="H485" s="1" t="s">
        <v>1396</v>
      </c>
      <c r="I485" s="8">
        <f t="shared" si="15"/>
        <v>35760.110808638019</v>
      </c>
      <c r="J485" s="8">
        <f t="shared" si="14"/>
        <v>429121.32970365626</v>
      </c>
      <c r="K485" s="1" t="s">
        <v>159</v>
      </c>
      <c r="L485" s="1">
        <v>611</v>
      </c>
      <c r="M485" s="1" t="s">
        <v>20</v>
      </c>
    </row>
    <row r="486" spans="1:13" x14ac:dyDescent="0.3">
      <c r="A486" s="1" t="s">
        <v>1397</v>
      </c>
      <c r="B486" s="1" t="s">
        <v>1398</v>
      </c>
      <c r="C486" s="1">
        <v>49</v>
      </c>
      <c r="D486" s="1" t="s">
        <v>27</v>
      </c>
      <c r="E486" s="1">
        <v>310000</v>
      </c>
      <c r="F486" s="7">
        <v>0.125</v>
      </c>
      <c r="G486" s="1">
        <v>24</v>
      </c>
      <c r="H486" s="1" t="s">
        <v>1399</v>
      </c>
      <c r="I486" s="8">
        <f t="shared" si="15"/>
        <v>14665.265553004851</v>
      </c>
      <c r="J486" s="8">
        <f t="shared" si="14"/>
        <v>351966.37327211641</v>
      </c>
      <c r="K486" s="1" t="s">
        <v>222</v>
      </c>
      <c r="L486" s="1">
        <v>694</v>
      </c>
      <c r="M486" s="1" t="s">
        <v>20</v>
      </c>
    </row>
    <row r="487" spans="1:13" x14ac:dyDescent="0.3">
      <c r="A487" s="1" t="s">
        <v>1400</v>
      </c>
      <c r="B487" s="1" t="s">
        <v>1001</v>
      </c>
      <c r="C487" s="1">
        <v>33</v>
      </c>
      <c r="D487" s="1" t="s">
        <v>42</v>
      </c>
      <c r="E487" s="1">
        <v>1300000</v>
      </c>
      <c r="F487" s="7">
        <v>0.08</v>
      </c>
      <c r="G487" s="1">
        <v>84</v>
      </c>
      <c r="H487" s="1" t="s">
        <v>1401</v>
      </c>
      <c r="I487" s="8">
        <f t="shared" si="15"/>
        <v>20262.078723470404</v>
      </c>
      <c r="J487" s="8">
        <f t="shared" si="14"/>
        <v>1702014.6127715139</v>
      </c>
      <c r="K487" s="1" t="s">
        <v>159</v>
      </c>
      <c r="L487" s="1">
        <v>765</v>
      </c>
      <c r="M487" s="1" t="s">
        <v>20</v>
      </c>
    </row>
    <row r="488" spans="1:13" x14ac:dyDescent="0.3">
      <c r="A488" s="1" t="s">
        <v>1402</v>
      </c>
      <c r="B488" s="1" t="s">
        <v>1403</v>
      </c>
      <c r="C488" s="1">
        <v>32</v>
      </c>
      <c r="D488" s="1" t="s">
        <v>23</v>
      </c>
      <c r="E488" s="1">
        <v>6270000</v>
      </c>
      <c r="F488" s="7">
        <v>0.13</v>
      </c>
      <c r="G488" s="1">
        <v>240</v>
      </c>
      <c r="H488" s="1" t="s">
        <v>1404</v>
      </c>
      <c r="I488" s="8">
        <f t="shared" si="15"/>
        <v>73457.79709714964</v>
      </c>
      <c r="J488" s="8">
        <f t="shared" si="14"/>
        <v>17629871.303315915</v>
      </c>
      <c r="K488" s="1" t="s">
        <v>52</v>
      </c>
      <c r="L488" s="1">
        <v>552</v>
      </c>
      <c r="M488" s="1" t="s">
        <v>16</v>
      </c>
    </row>
    <row r="489" spans="1:13" x14ac:dyDescent="0.3">
      <c r="A489" s="1" t="s">
        <v>1405</v>
      </c>
      <c r="B489" s="1" t="s">
        <v>1119</v>
      </c>
      <c r="C489" s="1">
        <v>51</v>
      </c>
      <c r="D489" s="1" t="s">
        <v>18</v>
      </c>
      <c r="E489" s="1">
        <v>570000</v>
      </c>
      <c r="F489" s="7">
        <v>0.125</v>
      </c>
      <c r="G489" s="1">
        <v>24</v>
      </c>
      <c r="H489" s="1" t="s">
        <v>1406</v>
      </c>
      <c r="I489" s="8">
        <f t="shared" si="15"/>
        <v>26965.165694234722</v>
      </c>
      <c r="J489" s="8">
        <f t="shared" si="14"/>
        <v>647163.97666163335</v>
      </c>
      <c r="K489" s="1" t="s">
        <v>94</v>
      </c>
      <c r="L489" s="1">
        <v>709</v>
      </c>
      <c r="M489" s="1" t="s">
        <v>20</v>
      </c>
    </row>
    <row r="490" spans="1:13" x14ac:dyDescent="0.3">
      <c r="A490" s="1" t="s">
        <v>1407</v>
      </c>
      <c r="B490" s="1" t="s">
        <v>1408</v>
      </c>
      <c r="C490" s="1">
        <v>22</v>
      </c>
      <c r="D490" s="1" t="s">
        <v>18</v>
      </c>
      <c r="E490" s="1">
        <v>1040000</v>
      </c>
      <c r="F490" s="7">
        <v>0.125</v>
      </c>
      <c r="G490" s="1">
        <v>60</v>
      </c>
      <c r="H490" s="1" t="s">
        <v>1409</v>
      </c>
      <c r="I490" s="8">
        <f t="shared" si="15"/>
        <v>23397.855754432472</v>
      </c>
      <c r="J490" s="8">
        <f t="shared" si="14"/>
        <v>1403871.3452659482</v>
      </c>
      <c r="K490" s="1" t="s">
        <v>75</v>
      </c>
      <c r="L490" s="1">
        <v>776</v>
      </c>
      <c r="M490" s="1" t="s">
        <v>16</v>
      </c>
    </row>
    <row r="491" spans="1:13" x14ac:dyDescent="0.3">
      <c r="A491" s="1" t="s">
        <v>1410</v>
      </c>
      <c r="B491" s="1" t="s">
        <v>269</v>
      </c>
      <c r="C491" s="1">
        <v>55</v>
      </c>
      <c r="D491" s="1" t="s">
        <v>32</v>
      </c>
      <c r="E491" s="1">
        <v>220000</v>
      </c>
      <c r="F491" s="7">
        <v>0.13</v>
      </c>
      <c r="G491" s="1">
        <v>60</v>
      </c>
      <c r="H491" s="1" t="s">
        <v>1411</v>
      </c>
      <c r="I491" s="8">
        <f t="shared" si="15"/>
        <v>5005.6760697292848</v>
      </c>
      <c r="J491" s="8">
        <f t="shared" si="14"/>
        <v>300340.56418375706</v>
      </c>
      <c r="K491" s="1" t="s">
        <v>159</v>
      </c>
      <c r="L491" s="1">
        <v>818</v>
      </c>
      <c r="M491" s="1" t="s">
        <v>16</v>
      </c>
    </row>
    <row r="492" spans="1:13" x14ac:dyDescent="0.3">
      <c r="A492" s="1" t="s">
        <v>1412</v>
      </c>
      <c r="B492" s="1" t="s">
        <v>254</v>
      </c>
      <c r="C492" s="1">
        <v>43</v>
      </c>
      <c r="D492" s="1" t="s">
        <v>42</v>
      </c>
      <c r="E492" s="1">
        <v>910000</v>
      </c>
      <c r="F492" s="7">
        <v>0.1</v>
      </c>
      <c r="G492" s="1">
        <v>24</v>
      </c>
      <c r="H492" s="1" t="s">
        <v>1413</v>
      </c>
      <c r="I492" s="8">
        <f t="shared" si="15"/>
        <v>41991.882967140024</v>
      </c>
      <c r="J492" s="8">
        <f t="shared" si="14"/>
        <v>1007805.1912113605</v>
      </c>
      <c r="K492" s="1" t="s">
        <v>151</v>
      </c>
      <c r="L492" s="1">
        <v>669</v>
      </c>
      <c r="M492" s="1" t="s">
        <v>60</v>
      </c>
    </row>
    <row r="493" spans="1:13" x14ac:dyDescent="0.3">
      <c r="A493" s="1" t="s">
        <v>1414</v>
      </c>
      <c r="B493" s="1" t="s">
        <v>1415</v>
      </c>
      <c r="C493" s="1">
        <v>37</v>
      </c>
      <c r="D493" s="1" t="s">
        <v>27</v>
      </c>
      <c r="E493" s="1">
        <v>870000</v>
      </c>
      <c r="F493" s="7">
        <v>0.11</v>
      </c>
      <c r="G493" s="1">
        <v>60</v>
      </c>
      <c r="H493" s="1" t="s">
        <v>1416</v>
      </c>
      <c r="I493" s="8">
        <f t="shared" si="15"/>
        <v>18915.90807319968</v>
      </c>
      <c r="J493" s="8">
        <f t="shared" si="14"/>
        <v>1134954.4843919808</v>
      </c>
      <c r="K493" s="1" t="s">
        <v>25</v>
      </c>
      <c r="L493" s="1">
        <v>638</v>
      </c>
      <c r="M493" s="1" t="s">
        <v>16</v>
      </c>
    </row>
    <row r="494" spans="1:13" x14ac:dyDescent="0.3">
      <c r="A494" s="1" t="s">
        <v>1417</v>
      </c>
      <c r="B494" s="1" t="s">
        <v>1418</v>
      </c>
      <c r="C494" s="1">
        <v>46</v>
      </c>
      <c r="D494" s="1" t="s">
        <v>42</v>
      </c>
      <c r="E494" s="1">
        <v>1330000</v>
      </c>
      <c r="F494" s="7">
        <v>7.4999999999999997E-2</v>
      </c>
      <c r="G494" s="1">
        <v>180</v>
      </c>
      <c r="H494" s="1" t="s">
        <v>1016</v>
      </c>
      <c r="I494" s="8">
        <f t="shared" si="15"/>
        <v>12329.264388036418</v>
      </c>
      <c r="J494" s="8">
        <f t="shared" si="14"/>
        <v>2219267.5898465551</v>
      </c>
      <c r="K494" s="1" t="s">
        <v>151</v>
      </c>
      <c r="L494" s="1">
        <v>878</v>
      </c>
      <c r="M494" s="1" t="s">
        <v>60</v>
      </c>
    </row>
    <row r="495" spans="1:13" x14ac:dyDescent="0.3">
      <c r="A495" s="1" t="s">
        <v>1419</v>
      </c>
      <c r="B495" s="1" t="s">
        <v>1420</v>
      </c>
      <c r="C495" s="1">
        <v>28</v>
      </c>
      <c r="D495" s="1" t="s">
        <v>15</v>
      </c>
      <c r="E495" s="1">
        <v>1410000</v>
      </c>
      <c r="F495" s="7">
        <v>9.5000000000000001E-2</v>
      </c>
      <c r="G495" s="1">
        <v>120</v>
      </c>
      <c r="H495" s="1" t="s">
        <v>1421</v>
      </c>
      <c r="I495" s="8">
        <f t="shared" si="15"/>
        <v>18245.05561606956</v>
      </c>
      <c r="J495" s="8">
        <f t="shared" si="14"/>
        <v>2189406.673928347</v>
      </c>
      <c r="K495" s="1" t="s">
        <v>56</v>
      </c>
      <c r="L495" s="1">
        <v>617</v>
      </c>
      <c r="M495" s="1" t="s">
        <v>16</v>
      </c>
    </row>
    <row r="496" spans="1:13" x14ac:dyDescent="0.3">
      <c r="A496" s="1" t="s">
        <v>1422</v>
      </c>
      <c r="B496" s="1" t="s">
        <v>884</v>
      </c>
      <c r="C496" s="1">
        <v>49</v>
      </c>
      <c r="D496" s="1" t="s">
        <v>32</v>
      </c>
      <c r="E496" s="1">
        <v>460000</v>
      </c>
      <c r="F496" s="7">
        <v>0.09</v>
      </c>
      <c r="G496" s="1">
        <v>120</v>
      </c>
      <c r="H496" s="1" t="s">
        <v>676</v>
      </c>
      <c r="I496" s="8">
        <f t="shared" si="15"/>
        <v>5827.0855925114756</v>
      </c>
      <c r="J496" s="8">
        <f t="shared" si="14"/>
        <v>699250.27110137709</v>
      </c>
      <c r="K496" s="1" t="s">
        <v>136</v>
      </c>
      <c r="L496" s="1">
        <v>647</v>
      </c>
      <c r="M496" s="1" t="s">
        <v>20</v>
      </c>
    </row>
    <row r="497" spans="1:13" x14ac:dyDescent="0.3">
      <c r="A497" s="1" t="s">
        <v>1423</v>
      </c>
      <c r="B497" s="1" t="s">
        <v>1424</v>
      </c>
      <c r="C497" s="1">
        <v>46</v>
      </c>
      <c r="D497" s="1" t="s">
        <v>15</v>
      </c>
      <c r="E497" s="1">
        <v>710000</v>
      </c>
      <c r="F497" s="7">
        <v>0.09</v>
      </c>
      <c r="G497" s="1">
        <v>12</v>
      </c>
      <c r="H497" s="1" t="s">
        <v>1425</v>
      </c>
      <c r="I497" s="8">
        <f t="shared" si="15"/>
        <v>62090.548506644212</v>
      </c>
      <c r="J497" s="8">
        <f t="shared" si="14"/>
        <v>745086.58207973058</v>
      </c>
      <c r="K497" s="1" t="s">
        <v>191</v>
      </c>
      <c r="L497" s="1">
        <v>816</v>
      </c>
      <c r="M497" s="1" t="s">
        <v>312</v>
      </c>
    </row>
    <row r="498" spans="1:13" x14ac:dyDescent="0.3">
      <c r="A498" s="1" t="s">
        <v>1426</v>
      </c>
      <c r="B498" s="1" t="s">
        <v>1427</v>
      </c>
      <c r="C498" s="1">
        <v>30</v>
      </c>
      <c r="D498" s="1" t="s">
        <v>23</v>
      </c>
      <c r="E498" s="1">
        <v>6470000</v>
      </c>
      <c r="F498" s="7">
        <v>0.13</v>
      </c>
      <c r="G498" s="1">
        <v>180</v>
      </c>
      <c r="H498" s="1" t="s">
        <v>1070</v>
      </c>
      <c r="I498" s="8">
        <f t="shared" si="15"/>
        <v>81861.168222948778</v>
      </c>
      <c r="J498" s="8">
        <f t="shared" si="14"/>
        <v>14735010.280130779</v>
      </c>
      <c r="K498" s="1" t="s">
        <v>222</v>
      </c>
      <c r="L498" s="1">
        <v>654</v>
      </c>
      <c r="M498" s="1" t="s">
        <v>20</v>
      </c>
    </row>
    <row r="499" spans="1:13" x14ac:dyDescent="0.3">
      <c r="A499" s="1" t="s">
        <v>1428</v>
      </c>
      <c r="B499" s="1" t="s">
        <v>742</v>
      </c>
      <c r="C499" s="1">
        <v>46</v>
      </c>
      <c r="D499" s="1" t="s">
        <v>42</v>
      </c>
      <c r="E499" s="1">
        <v>1090000</v>
      </c>
      <c r="F499" s="7">
        <v>0.08</v>
      </c>
      <c r="G499" s="1">
        <v>36</v>
      </c>
      <c r="H499" s="1" t="s">
        <v>1429</v>
      </c>
      <c r="I499" s="8">
        <f t="shared" si="15"/>
        <v>34156.638352959621</v>
      </c>
      <c r="J499" s="8">
        <f t="shared" si="14"/>
        <v>1229638.9807065465</v>
      </c>
      <c r="K499" s="1" t="s">
        <v>147</v>
      </c>
      <c r="L499" s="1">
        <v>872</v>
      </c>
      <c r="M499" s="1" t="s">
        <v>16</v>
      </c>
    </row>
    <row r="500" spans="1:13" x14ac:dyDescent="0.3">
      <c r="A500" s="1" t="s">
        <v>1430</v>
      </c>
      <c r="B500" s="1" t="s">
        <v>1206</v>
      </c>
      <c r="C500" s="1">
        <v>54</v>
      </c>
      <c r="D500" s="1" t="s">
        <v>42</v>
      </c>
      <c r="E500" s="1">
        <v>890000</v>
      </c>
      <c r="F500" s="7">
        <v>0.1</v>
      </c>
      <c r="G500" s="1">
        <v>240</v>
      </c>
      <c r="H500" s="1" t="s">
        <v>1431</v>
      </c>
      <c r="I500" s="8">
        <f t="shared" si="15"/>
        <v>8588.6926411586701</v>
      </c>
      <c r="J500" s="8">
        <f t="shared" si="14"/>
        <v>2061286.2338780807</v>
      </c>
      <c r="K500" s="1" t="s">
        <v>64</v>
      </c>
      <c r="L500" s="1">
        <v>672</v>
      </c>
      <c r="M500" s="1" t="s">
        <v>60</v>
      </c>
    </row>
    <row r="501" spans="1:13" x14ac:dyDescent="0.3">
      <c r="A501" s="1" t="s">
        <v>1432</v>
      </c>
      <c r="B501" s="1" t="s">
        <v>1433</v>
      </c>
      <c r="C501" s="1">
        <v>61</v>
      </c>
      <c r="D501" s="1" t="s">
        <v>42</v>
      </c>
      <c r="E501" s="1">
        <v>1120000</v>
      </c>
      <c r="F501" s="7">
        <v>9.5000000000000001E-2</v>
      </c>
      <c r="G501" s="1">
        <v>48</v>
      </c>
      <c r="H501" s="1" t="s">
        <v>1434</v>
      </c>
      <c r="I501" s="8">
        <f t="shared" si="15"/>
        <v>28137.913071447991</v>
      </c>
      <c r="J501" s="8">
        <f t="shared" si="14"/>
        <v>1350619.8274295037</v>
      </c>
      <c r="K501" s="1" t="s">
        <v>44</v>
      </c>
      <c r="L501" s="1">
        <v>578</v>
      </c>
      <c r="M501" s="1" t="s">
        <v>20</v>
      </c>
    </row>
    <row r="502" spans="1:13" x14ac:dyDescent="0.3">
      <c r="A502" s="1" t="s">
        <v>1435</v>
      </c>
      <c r="B502" s="1" t="s">
        <v>1436</v>
      </c>
      <c r="C502" s="1">
        <v>27</v>
      </c>
      <c r="D502" s="1" t="s">
        <v>42</v>
      </c>
      <c r="E502" s="1">
        <v>1070000</v>
      </c>
      <c r="F502" s="7">
        <v>0.08</v>
      </c>
      <c r="G502" s="1">
        <v>36</v>
      </c>
      <c r="H502" s="1" t="s">
        <v>938</v>
      </c>
      <c r="I502" s="8">
        <f t="shared" si="15"/>
        <v>33529.911043731008</v>
      </c>
      <c r="J502" s="8">
        <f t="shared" si="14"/>
        <v>1207076.7975743164</v>
      </c>
      <c r="K502" s="1" t="s">
        <v>366</v>
      </c>
      <c r="L502" s="1">
        <v>686</v>
      </c>
      <c r="M502" s="1" t="s">
        <v>312</v>
      </c>
    </row>
    <row r="503" spans="1:13" x14ac:dyDescent="0.3">
      <c r="A503" s="1" t="s">
        <v>1437</v>
      </c>
      <c r="B503" s="1" t="s">
        <v>1438</v>
      </c>
      <c r="C503" s="1">
        <v>24</v>
      </c>
      <c r="D503" s="1" t="s">
        <v>23</v>
      </c>
      <c r="E503" s="1">
        <v>2910000</v>
      </c>
      <c r="F503" s="7">
        <v>0.13</v>
      </c>
      <c r="G503" s="1">
        <v>120</v>
      </c>
      <c r="H503" s="1" t="s">
        <v>1439</v>
      </c>
      <c r="I503" s="8">
        <f t="shared" si="15"/>
        <v>43449.425333372434</v>
      </c>
      <c r="J503" s="8">
        <f t="shared" si="14"/>
        <v>5213931.040004692</v>
      </c>
      <c r="K503" s="1" t="s">
        <v>143</v>
      </c>
      <c r="L503" s="1">
        <v>744</v>
      </c>
      <c r="M503" s="1" t="s">
        <v>16</v>
      </c>
    </row>
    <row r="504" spans="1:13" x14ac:dyDescent="0.3">
      <c r="A504" s="1" t="s">
        <v>1440</v>
      </c>
      <c r="B504" s="1" t="s">
        <v>1441</v>
      </c>
      <c r="C504" s="1">
        <v>31</v>
      </c>
      <c r="D504" s="1" t="s">
        <v>27</v>
      </c>
      <c r="E504" s="1">
        <v>690000</v>
      </c>
      <c r="F504" s="7">
        <v>7.4999999999999997E-2</v>
      </c>
      <c r="G504" s="1">
        <v>240</v>
      </c>
      <c r="H504" s="1" t="s">
        <v>1442</v>
      </c>
      <c r="I504" s="8">
        <f t="shared" si="15"/>
        <v>5558.5930355074697</v>
      </c>
      <c r="J504" s="8">
        <f t="shared" si="14"/>
        <v>1334062.3285217928</v>
      </c>
      <c r="K504" s="1" t="s">
        <v>39</v>
      </c>
      <c r="L504" s="1">
        <v>775</v>
      </c>
      <c r="M504" s="1" t="s">
        <v>60</v>
      </c>
    </row>
    <row r="505" spans="1:13" x14ac:dyDescent="0.3">
      <c r="A505" s="1" t="s">
        <v>1443</v>
      </c>
      <c r="B505" s="1" t="s">
        <v>41</v>
      </c>
      <c r="C505" s="1">
        <v>49</v>
      </c>
      <c r="D505" s="1" t="s">
        <v>37</v>
      </c>
      <c r="E505" s="1">
        <v>2180000</v>
      </c>
      <c r="F505" s="7">
        <v>7.4999999999999997E-2</v>
      </c>
      <c r="G505" s="1">
        <v>60</v>
      </c>
      <c r="H505" s="1" t="s">
        <v>1444</v>
      </c>
      <c r="I505" s="8">
        <f t="shared" si="15"/>
        <v>43682.727938459808</v>
      </c>
      <c r="J505" s="8">
        <f t="shared" si="14"/>
        <v>2620963.6763075884</v>
      </c>
      <c r="K505" s="1" t="s">
        <v>147</v>
      </c>
      <c r="L505" s="1">
        <v>881</v>
      </c>
      <c r="M505" s="1" t="s">
        <v>60</v>
      </c>
    </row>
    <row r="506" spans="1:13" x14ac:dyDescent="0.3">
      <c r="A506" s="1" t="s">
        <v>1445</v>
      </c>
      <c r="B506" s="1" t="s">
        <v>1189</v>
      </c>
      <c r="C506" s="1">
        <v>56</v>
      </c>
      <c r="D506" s="1" t="s">
        <v>23</v>
      </c>
      <c r="E506" s="1">
        <v>4020000</v>
      </c>
      <c r="F506" s="7">
        <v>0.105</v>
      </c>
      <c r="G506" s="1">
        <v>36</v>
      </c>
      <c r="H506" s="1" t="s">
        <v>1446</v>
      </c>
      <c r="I506" s="8">
        <f t="shared" si="15"/>
        <v>130659.82288884145</v>
      </c>
      <c r="J506" s="8">
        <f t="shared" si="14"/>
        <v>4703753.6239982918</v>
      </c>
      <c r="K506" s="1" t="s">
        <v>136</v>
      </c>
      <c r="L506" s="1">
        <v>719</v>
      </c>
      <c r="M506" s="1" t="s">
        <v>16</v>
      </c>
    </row>
    <row r="507" spans="1:13" x14ac:dyDescent="0.3">
      <c r="A507" s="1" t="s">
        <v>1447</v>
      </c>
      <c r="B507" s="1" t="s">
        <v>1448</v>
      </c>
      <c r="C507" s="1">
        <v>45</v>
      </c>
      <c r="D507" s="1" t="s">
        <v>27</v>
      </c>
      <c r="E507" s="1">
        <v>810000</v>
      </c>
      <c r="F507" s="7">
        <v>0.11</v>
      </c>
      <c r="G507" s="1">
        <v>60</v>
      </c>
      <c r="H507" s="1" t="s">
        <v>1449</v>
      </c>
      <c r="I507" s="8">
        <f t="shared" si="15"/>
        <v>17611.36268884108</v>
      </c>
      <c r="J507" s="8">
        <f t="shared" si="14"/>
        <v>1056681.7613304649</v>
      </c>
      <c r="K507" s="1" t="s">
        <v>316</v>
      </c>
      <c r="L507" s="1">
        <v>558</v>
      </c>
      <c r="M507" s="1" t="s">
        <v>16</v>
      </c>
    </row>
    <row r="508" spans="1:13" x14ac:dyDescent="0.3">
      <c r="A508" s="1" t="s">
        <v>1450</v>
      </c>
      <c r="B508" s="1" t="s">
        <v>1451</v>
      </c>
      <c r="C508" s="1">
        <v>41</v>
      </c>
      <c r="D508" s="1" t="s">
        <v>18</v>
      </c>
      <c r="E508" s="1">
        <v>1810000</v>
      </c>
      <c r="F508" s="7">
        <v>0.13</v>
      </c>
      <c r="G508" s="1">
        <v>84</v>
      </c>
      <c r="H508" s="1" t="s">
        <v>1452</v>
      </c>
      <c r="I508" s="8">
        <f t="shared" si="15"/>
        <v>32927.453661283966</v>
      </c>
      <c r="J508" s="8">
        <f t="shared" si="14"/>
        <v>2765906.1075478531</v>
      </c>
      <c r="K508" s="1" t="s">
        <v>147</v>
      </c>
      <c r="L508" s="1">
        <v>589</v>
      </c>
      <c r="M508" s="1" t="s">
        <v>16</v>
      </c>
    </row>
    <row r="509" spans="1:13" x14ac:dyDescent="0.3">
      <c r="A509" s="1" t="s">
        <v>1453</v>
      </c>
      <c r="B509" s="1" t="s">
        <v>959</v>
      </c>
      <c r="C509" s="1">
        <v>56</v>
      </c>
      <c r="D509" s="1" t="s">
        <v>32</v>
      </c>
      <c r="E509" s="1">
        <v>340000</v>
      </c>
      <c r="F509" s="7">
        <v>0.105</v>
      </c>
      <c r="G509" s="1">
        <v>12</v>
      </c>
      <c r="H509" s="1" t="s">
        <v>1454</v>
      </c>
      <c r="I509" s="8">
        <f t="shared" si="15"/>
        <v>29970.524984043641</v>
      </c>
      <c r="J509" s="8">
        <f t="shared" si="14"/>
        <v>359646.29980852368</v>
      </c>
      <c r="K509" s="1" t="s">
        <v>249</v>
      </c>
      <c r="L509" s="1">
        <v>574</v>
      </c>
      <c r="M509" s="1" t="s">
        <v>20</v>
      </c>
    </row>
    <row r="510" spans="1:13" x14ac:dyDescent="0.3">
      <c r="A510" s="1" t="s">
        <v>1455</v>
      </c>
      <c r="B510" s="1" t="s">
        <v>1456</v>
      </c>
      <c r="C510" s="1">
        <v>30</v>
      </c>
      <c r="D510" s="1" t="s">
        <v>27</v>
      </c>
      <c r="E510" s="1">
        <v>130000</v>
      </c>
      <c r="F510" s="7">
        <v>8.5000000000000006E-2</v>
      </c>
      <c r="G510" s="1">
        <v>240</v>
      </c>
      <c r="H510" s="1" t="s">
        <v>1457</v>
      </c>
      <c r="I510" s="8">
        <f t="shared" si="15"/>
        <v>1128.1702033751942</v>
      </c>
      <c r="J510" s="8">
        <f t="shared" si="14"/>
        <v>270760.84881004662</v>
      </c>
      <c r="K510" s="1" t="s">
        <v>44</v>
      </c>
      <c r="L510" s="1">
        <v>810</v>
      </c>
      <c r="M510" s="1" t="s">
        <v>16</v>
      </c>
    </row>
    <row r="511" spans="1:13" x14ac:dyDescent="0.3">
      <c r="A511" s="1" t="s">
        <v>1458</v>
      </c>
      <c r="B511" s="1" t="s">
        <v>1459</v>
      </c>
      <c r="C511" s="1">
        <v>57</v>
      </c>
      <c r="D511" s="1" t="s">
        <v>32</v>
      </c>
      <c r="E511" s="1">
        <v>430000</v>
      </c>
      <c r="F511" s="7">
        <v>0.105</v>
      </c>
      <c r="G511" s="1">
        <v>240</v>
      </c>
      <c r="H511" s="1" t="s">
        <v>380</v>
      </c>
      <c r="I511" s="8">
        <f t="shared" si="15"/>
        <v>4293.0335139688286</v>
      </c>
      <c r="J511" s="8">
        <f t="shared" si="14"/>
        <v>1030328.0433525189</v>
      </c>
      <c r="K511" s="1" t="s">
        <v>90</v>
      </c>
      <c r="L511" s="1">
        <v>775</v>
      </c>
      <c r="M511" s="1" t="s">
        <v>20</v>
      </c>
    </row>
    <row r="512" spans="1:13" x14ac:dyDescent="0.3">
      <c r="A512" s="1" t="s">
        <v>1460</v>
      </c>
      <c r="B512" s="1" t="s">
        <v>1461</v>
      </c>
      <c r="C512" s="1">
        <v>29</v>
      </c>
      <c r="D512" s="1" t="s">
        <v>18</v>
      </c>
      <c r="E512" s="1">
        <v>1170000</v>
      </c>
      <c r="F512" s="7">
        <v>0.11</v>
      </c>
      <c r="G512" s="1">
        <v>36</v>
      </c>
      <c r="H512" s="1" t="s">
        <v>1462</v>
      </c>
      <c r="I512" s="8">
        <f t="shared" si="15"/>
        <v>38304.29902689239</v>
      </c>
      <c r="J512" s="8">
        <f t="shared" si="14"/>
        <v>1378954.7649681261</v>
      </c>
      <c r="K512" s="1" t="s">
        <v>205</v>
      </c>
      <c r="L512" s="1">
        <v>673</v>
      </c>
      <c r="M512" s="1" t="s">
        <v>20</v>
      </c>
    </row>
    <row r="513" spans="1:13" x14ac:dyDescent="0.3">
      <c r="A513" s="1" t="s">
        <v>1463</v>
      </c>
      <c r="B513" s="1" t="s">
        <v>182</v>
      </c>
      <c r="C513" s="1">
        <v>44</v>
      </c>
      <c r="D513" s="1" t="s">
        <v>27</v>
      </c>
      <c r="E513" s="1">
        <v>840000</v>
      </c>
      <c r="F513" s="7">
        <v>0.105</v>
      </c>
      <c r="G513" s="1">
        <v>24</v>
      </c>
      <c r="H513" s="1" t="s">
        <v>1464</v>
      </c>
      <c r="I513" s="8">
        <f t="shared" si="15"/>
        <v>38955.874977072184</v>
      </c>
      <c r="J513" s="8">
        <f t="shared" si="14"/>
        <v>934940.99944973248</v>
      </c>
      <c r="K513" s="1" t="s">
        <v>205</v>
      </c>
      <c r="L513" s="1">
        <v>587</v>
      </c>
      <c r="M513" s="1" t="s">
        <v>20</v>
      </c>
    </row>
    <row r="514" spans="1:13" x14ac:dyDescent="0.3">
      <c r="A514" s="1" t="s">
        <v>1465</v>
      </c>
      <c r="B514" s="1" t="s">
        <v>1466</v>
      </c>
      <c r="C514" s="1">
        <v>55</v>
      </c>
      <c r="D514" s="1" t="s">
        <v>42</v>
      </c>
      <c r="E514" s="1">
        <v>740000</v>
      </c>
      <c r="F514" s="7">
        <v>0.1</v>
      </c>
      <c r="G514" s="1">
        <v>12</v>
      </c>
      <c r="H514" s="1" t="s">
        <v>1467</v>
      </c>
      <c r="I514" s="8">
        <f t="shared" si="15"/>
        <v>65057.756550207094</v>
      </c>
      <c r="J514" s="8">
        <f t="shared" si="14"/>
        <v>780693.07860248513</v>
      </c>
      <c r="K514" s="1" t="s">
        <v>64</v>
      </c>
      <c r="L514" s="1">
        <v>877</v>
      </c>
      <c r="M514" s="1" t="s">
        <v>20</v>
      </c>
    </row>
    <row r="515" spans="1:13" x14ac:dyDescent="0.3">
      <c r="A515" s="1" t="s">
        <v>1468</v>
      </c>
      <c r="B515" s="1" t="s">
        <v>1469</v>
      </c>
      <c r="C515" s="1">
        <v>55</v>
      </c>
      <c r="D515" s="1" t="s">
        <v>23</v>
      </c>
      <c r="E515" s="1">
        <v>8360000</v>
      </c>
      <c r="F515" s="7">
        <v>0.115</v>
      </c>
      <c r="G515" s="1">
        <v>12</v>
      </c>
      <c r="H515" s="1" t="s">
        <v>1470</v>
      </c>
      <c r="I515" s="8">
        <f t="shared" si="15"/>
        <v>740821.85031636071</v>
      </c>
      <c r="J515" s="8">
        <f t="shared" si="14"/>
        <v>8889862.203796329</v>
      </c>
      <c r="K515" s="1" t="s">
        <v>226</v>
      </c>
      <c r="L515" s="1">
        <v>800</v>
      </c>
      <c r="M515" s="1" t="s">
        <v>16</v>
      </c>
    </row>
    <row r="516" spans="1:13" x14ac:dyDescent="0.3">
      <c r="A516" s="1" t="s">
        <v>1471</v>
      </c>
      <c r="B516" s="1" t="s">
        <v>1472</v>
      </c>
      <c r="C516" s="1">
        <v>56</v>
      </c>
      <c r="D516" s="1" t="s">
        <v>18</v>
      </c>
      <c r="E516" s="1">
        <v>1870000</v>
      </c>
      <c r="F516" s="7">
        <v>0.105</v>
      </c>
      <c r="G516" s="1">
        <v>120</v>
      </c>
      <c r="H516" s="1" t="s">
        <v>1473</v>
      </c>
      <c r="I516" s="8">
        <f t="shared" si="15"/>
        <v>25232.844397027286</v>
      </c>
      <c r="J516" s="8">
        <f t="shared" ref="J516:J579" si="16">(I516*G516)</f>
        <v>3027941.3276432743</v>
      </c>
      <c r="K516" s="1" t="s">
        <v>56</v>
      </c>
      <c r="L516" s="1">
        <v>725</v>
      </c>
      <c r="M516" s="1" t="s">
        <v>16</v>
      </c>
    </row>
    <row r="517" spans="1:13" x14ac:dyDescent="0.3">
      <c r="A517" s="1" t="s">
        <v>1474</v>
      </c>
      <c r="B517" s="1" t="s">
        <v>1475</v>
      </c>
      <c r="C517" s="1">
        <v>38</v>
      </c>
      <c r="D517" s="1" t="s">
        <v>27</v>
      </c>
      <c r="E517" s="1">
        <v>410000</v>
      </c>
      <c r="F517" s="7">
        <v>0.08</v>
      </c>
      <c r="G517" s="1">
        <v>240</v>
      </c>
      <c r="H517" s="1" t="s">
        <v>1476</v>
      </c>
      <c r="I517" s="8">
        <f t="shared" ref="I517:I580" si="17">PMT(F517/12,G517, -E517)</f>
        <v>3429.4042828731976</v>
      </c>
      <c r="J517" s="8">
        <f t="shared" si="16"/>
        <v>823057.02788956743</v>
      </c>
      <c r="K517" s="1" t="s">
        <v>366</v>
      </c>
      <c r="L517" s="1">
        <v>639</v>
      </c>
      <c r="M517" s="1" t="s">
        <v>20</v>
      </c>
    </row>
    <row r="518" spans="1:13" x14ac:dyDescent="0.3">
      <c r="A518" s="1" t="s">
        <v>1477</v>
      </c>
      <c r="B518" s="1" t="s">
        <v>1478</v>
      </c>
      <c r="C518" s="1">
        <v>59</v>
      </c>
      <c r="D518" s="1" t="s">
        <v>37</v>
      </c>
      <c r="E518" s="1">
        <v>1080000</v>
      </c>
      <c r="F518" s="7">
        <v>0.11</v>
      </c>
      <c r="G518" s="1">
        <v>240</v>
      </c>
      <c r="H518" s="1" t="s">
        <v>1479</v>
      </c>
      <c r="I518" s="8">
        <f t="shared" si="17"/>
        <v>11147.634637661413</v>
      </c>
      <c r="J518" s="8">
        <f t="shared" si="16"/>
        <v>2675432.3130387389</v>
      </c>
      <c r="K518" s="1" t="s">
        <v>25</v>
      </c>
      <c r="L518" s="1">
        <v>586</v>
      </c>
      <c r="M518" s="1" t="s">
        <v>16</v>
      </c>
    </row>
    <row r="519" spans="1:13" x14ac:dyDescent="0.3">
      <c r="A519" s="1" t="s">
        <v>1480</v>
      </c>
      <c r="B519" s="1" t="s">
        <v>1481</v>
      </c>
      <c r="C519" s="1">
        <v>52</v>
      </c>
      <c r="D519" s="1" t="s">
        <v>37</v>
      </c>
      <c r="E519" s="1">
        <v>3930000</v>
      </c>
      <c r="F519" s="7">
        <v>0.12</v>
      </c>
      <c r="G519" s="1">
        <v>24</v>
      </c>
      <c r="H519" s="1" t="s">
        <v>535</v>
      </c>
      <c r="I519" s="8">
        <f t="shared" si="17"/>
        <v>184998.7458374303</v>
      </c>
      <c r="J519" s="8">
        <f t="shared" si="16"/>
        <v>4439969.9000983275</v>
      </c>
      <c r="K519" s="1" t="s">
        <v>222</v>
      </c>
      <c r="L519" s="1">
        <v>865</v>
      </c>
      <c r="M519" s="1" t="s">
        <v>20</v>
      </c>
    </row>
    <row r="520" spans="1:13" x14ac:dyDescent="0.3">
      <c r="A520" s="1" t="s">
        <v>1482</v>
      </c>
      <c r="B520" s="1" t="s">
        <v>1388</v>
      </c>
      <c r="C520" s="1">
        <v>44</v>
      </c>
      <c r="D520" s="1" t="s">
        <v>15</v>
      </c>
      <c r="E520" s="1">
        <v>1610000</v>
      </c>
      <c r="F520" s="7">
        <v>0.125</v>
      </c>
      <c r="G520" s="1">
        <v>60</v>
      </c>
      <c r="H520" s="1" t="s">
        <v>1483</v>
      </c>
      <c r="I520" s="8">
        <f t="shared" si="17"/>
        <v>36221.680542919501</v>
      </c>
      <c r="J520" s="8">
        <f t="shared" si="16"/>
        <v>2173300.8325751699</v>
      </c>
      <c r="K520" s="1" t="s">
        <v>226</v>
      </c>
      <c r="L520" s="1">
        <v>725</v>
      </c>
      <c r="M520" s="1" t="s">
        <v>20</v>
      </c>
    </row>
    <row r="521" spans="1:13" x14ac:dyDescent="0.3">
      <c r="A521" s="1" t="s">
        <v>1484</v>
      </c>
      <c r="B521" s="1" t="s">
        <v>1485</v>
      </c>
      <c r="C521" s="1">
        <v>43</v>
      </c>
      <c r="D521" s="1" t="s">
        <v>27</v>
      </c>
      <c r="E521" s="1">
        <v>620000</v>
      </c>
      <c r="F521" s="7">
        <v>0.125</v>
      </c>
      <c r="G521" s="1">
        <v>48</v>
      </c>
      <c r="H521" s="1" t="s">
        <v>876</v>
      </c>
      <c r="I521" s="8">
        <f t="shared" si="17"/>
        <v>16479.599312898135</v>
      </c>
      <c r="J521" s="8">
        <f t="shared" si="16"/>
        <v>791020.7670191105</v>
      </c>
      <c r="K521" s="1" t="s">
        <v>326</v>
      </c>
      <c r="L521" s="1">
        <v>833</v>
      </c>
      <c r="M521" s="1" t="s">
        <v>20</v>
      </c>
    </row>
    <row r="522" spans="1:13" x14ac:dyDescent="0.3">
      <c r="A522" s="1" t="s">
        <v>1486</v>
      </c>
      <c r="B522" s="1" t="s">
        <v>1487</v>
      </c>
      <c r="C522" s="1">
        <v>52</v>
      </c>
      <c r="D522" s="1" t="s">
        <v>23</v>
      </c>
      <c r="E522" s="1">
        <v>3340000</v>
      </c>
      <c r="F522" s="7">
        <v>0.09</v>
      </c>
      <c r="G522" s="1">
        <v>84</v>
      </c>
      <c r="H522" s="1" t="s">
        <v>1488</v>
      </c>
      <c r="I522" s="8">
        <f t="shared" si="17"/>
        <v>53737.521388528759</v>
      </c>
      <c r="J522" s="8">
        <f t="shared" si="16"/>
        <v>4513951.7966364156</v>
      </c>
      <c r="K522" s="1" t="s">
        <v>75</v>
      </c>
      <c r="L522" s="1">
        <v>630</v>
      </c>
      <c r="M522" s="1" t="s">
        <v>16</v>
      </c>
    </row>
    <row r="523" spans="1:13" x14ac:dyDescent="0.3">
      <c r="A523" s="1" t="s">
        <v>1489</v>
      </c>
      <c r="B523" s="1" t="s">
        <v>110</v>
      </c>
      <c r="C523" s="1">
        <v>57</v>
      </c>
      <c r="D523" s="1" t="s">
        <v>42</v>
      </c>
      <c r="E523" s="1">
        <v>940000</v>
      </c>
      <c r="F523" s="7">
        <v>8.5000000000000006E-2</v>
      </c>
      <c r="G523" s="1">
        <v>48</v>
      </c>
      <c r="H523" s="1" t="s">
        <v>1490</v>
      </c>
      <c r="I523" s="8">
        <f t="shared" si="17"/>
        <v>23169.405157305566</v>
      </c>
      <c r="J523" s="8">
        <f t="shared" si="16"/>
        <v>1112131.4475506672</v>
      </c>
      <c r="K523" s="1" t="s">
        <v>205</v>
      </c>
      <c r="L523" s="1">
        <v>663</v>
      </c>
      <c r="M523" s="1" t="s">
        <v>16</v>
      </c>
    </row>
    <row r="524" spans="1:13" x14ac:dyDescent="0.3">
      <c r="A524" s="1" t="s">
        <v>1491</v>
      </c>
      <c r="B524" s="1" t="s">
        <v>1492</v>
      </c>
      <c r="C524" s="1">
        <v>32</v>
      </c>
      <c r="D524" s="1" t="s">
        <v>15</v>
      </c>
      <c r="E524" s="1">
        <v>710000</v>
      </c>
      <c r="F524" s="7">
        <v>0.11</v>
      </c>
      <c r="G524" s="1">
        <v>120</v>
      </c>
      <c r="H524" s="1" t="s">
        <v>1493</v>
      </c>
      <c r="I524" s="8">
        <f t="shared" si="17"/>
        <v>9780.2508017264972</v>
      </c>
      <c r="J524" s="8">
        <f t="shared" si="16"/>
        <v>1173630.0962071796</v>
      </c>
      <c r="K524" s="1" t="s">
        <v>159</v>
      </c>
      <c r="L524" s="1">
        <v>589</v>
      </c>
      <c r="M524" s="1" t="s">
        <v>16</v>
      </c>
    </row>
    <row r="525" spans="1:13" x14ac:dyDescent="0.3">
      <c r="A525" s="1" t="s">
        <v>1494</v>
      </c>
      <c r="B525" s="1" t="s">
        <v>1495</v>
      </c>
      <c r="C525" s="1">
        <v>33</v>
      </c>
      <c r="D525" s="1" t="s">
        <v>27</v>
      </c>
      <c r="E525" s="1">
        <v>360000</v>
      </c>
      <c r="F525" s="7">
        <v>0.08</v>
      </c>
      <c r="G525" s="1">
        <v>240</v>
      </c>
      <c r="H525" s="1" t="s">
        <v>968</v>
      </c>
      <c r="I525" s="8">
        <f t="shared" si="17"/>
        <v>3011.1842483764663</v>
      </c>
      <c r="J525" s="8">
        <f t="shared" si="16"/>
        <v>722684.21961035195</v>
      </c>
      <c r="K525" s="1" t="s">
        <v>136</v>
      </c>
      <c r="L525" s="1">
        <v>850</v>
      </c>
      <c r="M525" s="1" t="s">
        <v>16</v>
      </c>
    </row>
    <row r="526" spans="1:13" x14ac:dyDescent="0.3">
      <c r="A526" s="1" t="s">
        <v>1496</v>
      </c>
      <c r="B526" s="1" t="s">
        <v>1427</v>
      </c>
      <c r="C526" s="1">
        <v>43</v>
      </c>
      <c r="D526" s="1" t="s">
        <v>42</v>
      </c>
      <c r="E526" s="1">
        <v>620000</v>
      </c>
      <c r="F526" s="7">
        <v>7.4999999999999997E-2</v>
      </c>
      <c r="G526" s="1">
        <v>36</v>
      </c>
      <c r="H526" s="1" t="s">
        <v>1497</v>
      </c>
      <c r="I526" s="8">
        <f t="shared" si="17"/>
        <v>19285.855259606989</v>
      </c>
      <c r="J526" s="8">
        <f t="shared" si="16"/>
        <v>694290.78934585163</v>
      </c>
      <c r="K526" s="1" t="s">
        <v>212</v>
      </c>
      <c r="L526" s="1">
        <v>773</v>
      </c>
      <c r="M526" s="1" t="s">
        <v>16</v>
      </c>
    </row>
    <row r="527" spans="1:13" x14ac:dyDescent="0.3">
      <c r="A527" s="1" t="s">
        <v>1498</v>
      </c>
      <c r="B527" s="1" t="s">
        <v>1499</v>
      </c>
      <c r="C527" s="1">
        <v>45</v>
      </c>
      <c r="D527" s="1" t="s">
        <v>23</v>
      </c>
      <c r="E527" s="1">
        <v>8100000</v>
      </c>
      <c r="F527" s="7">
        <v>9.5000000000000001E-2</v>
      </c>
      <c r="G527" s="1">
        <v>36</v>
      </c>
      <c r="H527" s="1" t="s">
        <v>565</v>
      </c>
      <c r="I527" s="8">
        <f t="shared" si="17"/>
        <v>259466.89290033167</v>
      </c>
      <c r="J527" s="8">
        <f t="shared" si="16"/>
        <v>9340808.1444119401</v>
      </c>
      <c r="K527" s="1" t="s">
        <v>44</v>
      </c>
      <c r="L527" s="1">
        <v>867</v>
      </c>
      <c r="M527" s="1" t="s">
        <v>16</v>
      </c>
    </row>
    <row r="528" spans="1:13" x14ac:dyDescent="0.3">
      <c r="A528" s="1" t="s">
        <v>1500</v>
      </c>
      <c r="B528" s="1" t="s">
        <v>745</v>
      </c>
      <c r="C528" s="1">
        <v>55</v>
      </c>
      <c r="D528" s="1" t="s">
        <v>23</v>
      </c>
      <c r="E528" s="1">
        <v>7320000</v>
      </c>
      <c r="F528" s="7">
        <v>7.4999999999999997E-2</v>
      </c>
      <c r="G528" s="1">
        <v>36</v>
      </c>
      <c r="H528" s="1" t="s">
        <v>1501</v>
      </c>
      <c r="I528" s="8">
        <f t="shared" si="17"/>
        <v>227697.51693600512</v>
      </c>
      <c r="J528" s="8">
        <f t="shared" si="16"/>
        <v>8197110.6096961843</v>
      </c>
      <c r="K528" s="1" t="s">
        <v>68</v>
      </c>
      <c r="L528" s="1">
        <v>898</v>
      </c>
      <c r="M528" s="1" t="s">
        <v>16</v>
      </c>
    </row>
    <row r="529" spans="1:13" x14ac:dyDescent="0.3">
      <c r="A529" s="1" t="s">
        <v>1502</v>
      </c>
      <c r="B529" s="1" t="s">
        <v>1503</v>
      </c>
      <c r="C529" s="1">
        <v>61</v>
      </c>
      <c r="D529" s="1" t="s">
        <v>15</v>
      </c>
      <c r="E529" s="1">
        <v>360000</v>
      </c>
      <c r="F529" s="7">
        <v>0.1</v>
      </c>
      <c r="G529" s="1">
        <v>48</v>
      </c>
      <c r="H529" s="1" t="s">
        <v>618</v>
      </c>
      <c r="I529" s="8">
        <f t="shared" si="17"/>
        <v>9130.5300365089879</v>
      </c>
      <c r="J529" s="8">
        <f t="shared" si="16"/>
        <v>438265.44175243145</v>
      </c>
      <c r="K529" s="1" t="s">
        <v>316</v>
      </c>
      <c r="L529" s="1">
        <v>664</v>
      </c>
      <c r="M529" s="1" t="s">
        <v>16</v>
      </c>
    </row>
    <row r="530" spans="1:13" x14ac:dyDescent="0.3">
      <c r="A530" s="1" t="s">
        <v>1504</v>
      </c>
      <c r="B530" s="1" t="s">
        <v>1505</v>
      </c>
      <c r="C530" s="1">
        <v>50</v>
      </c>
      <c r="D530" s="1" t="s">
        <v>15</v>
      </c>
      <c r="E530" s="1">
        <v>1140000</v>
      </c>
      <c r="F530" s="7">
        <v>9.5000000000000001E-2</v>
      </c>
      <c r="G530" s="1">
        <v>60</v>
      </c>
      <c r="H530" s="1" t="s">
        <v>1506</v>
      </c>
      <c r="I530" s="8">
        <f t="shared" si="17"/>
        <v>23942.12189307568</v>
      </c>
      <c r="J530" s="8">
        <f t="shared" si="16"/>
        <v>1436527.3135845407</v>
      </c>
      <c r="K530" s="1" t="s">
        <v>326</v>
      </c>
      <c r="L530" s="1">
        <v>735</v>
      </c>
      <c r="M530" s="1" t="s">
        <v>16</v>
      </c>
    </row>
    <row r="531" spans="1:13" x14ac:dyDescent="0.3">
      <c r="A531" s="1" t="s">
        <v>1507</v>
      </c>
      <c r="B531" s="1" t="s">
        <v>516</v>
      </c>
      <c r="C531" s="1">
        <v>37</v>
      </c>
      <c r="D531" s="1" t="s">
        <v>27</v>
      </c>
      <c r="E531" s="1">
        <v>730000</v>
      </c>
      <c r="F531" s="7">
        <v>0.08</v>
      </c>
      <c r="G531" s="1">
        <v>48</v>
      </c>
      <c r="H531" s="1" t="s">
        <v>1508</v>
      </c>
      <c r="I531" s="8">
        <f t="shared" si="17"/>
        <v>17821.433309296812</v>
      </c>
      <c r="J531" s="8">
        <f t="shared" si="16"/>
        <v>855428.79884624691</v>
      </c>
      <c r="K531" s="1" t="s">
        <v>21</v>
      </c>
      <c r="L531" s="1">
        <v>872</v>
      </c>
      <c r="M531" s="1" t="s">
        <v>60</v>
      </c>
    </row>
    <row r="532" spans="1:13" x14ac:dyDescent="0.3">
      <c r="A532" s="1" t="s">
        <v>1509</v>
      </c>
      <c r="B532" s="1" t="s">
        <v>647</v>
      </c>
      <c r="C532" s="1">
        <v>40</v>
      </c>
      <c r="D532" s="1" t="s">
        <v>42</v>
      </c>
      <c r="E532" s="1">
        <v>1310000</v>
      </c>
      <c r="F532" s="7">
        <v>0.08</v>
      </c>
      <c r="G532" s="1">
        <v>24</v>
      </c>
      <c r="H532" s="1" t="s">
        <v>1510</v>
      </c>
      <c r="I532" s="8">
        <f t="shared" si="17"/>
        <v>59247.751807601242</v>
      </c>
      <c r="J532" s="8">
        <f t="shared" si="16"/>
        <v>1421946.0433824298</v>
      </c>
      <c r="K532" s="1" t="s">
        <v>90</v>
      </c>
      <c r="L532" s="1">
        <v>605</v>
      </c>
      <c r="M532" s="1" t="s">
        <v>20</v>
      </c>
    </row>
    <row r="533" spans="1:13" x14ac:dyDescent="0.3">
      <c r="A533" s="1" t="s">
        <v>1511</v>
      </c>
      <c r="B533" s="1" t="s">
        <v>1512</v>
      </c>
      <c r="C533" s="1">
        <v>45</v>
      </c>
      <c r="D533" s="1" t="s">
        <v>18</v>
      </c>
      <c r="E533" s="1">
        <v>1420000</v>
      </c>
      <c r="F533" s="7">
        <v>0.1</v>
      </c>
      <c r="G533" s="1">
        <v>36</v>
      </c>
      <c r="H533" s="1" t="s">
        <v>1513</v>
      </c>
      <c r="I533" s="8">
        <f t="shared" si="17"/>
        <v>45819.405815249229</v>
      </c>
      <c r="J533" s="8">
        <f t="shared" si="16"/>
        <v>1649498.6093489723</v>
      </c>
      <c r="K533" s="1" t="s">
        <v>366</v>
      </c>
      <c r="L533" s="1">
        <v>589</v>
      </c>
      <c r="M533" s="1" t="s">
        <v>20</v>
      </c>
    </row>
    <row r="534" spans="1:13" x14ac:dyDescent="0.3">
      <c r="A534" s="1" t="s">
        <v>1514</v>
      </c>
      <c r="B534" s="1" t="s">
        <v>1515</v>
      </c>
      <c r="C534" s="1">
        <v>42</v>
      </c>
      <c r="D534" s="1" t="s">
        <v>37</v>
      </c>
      <c r="E534" s="1">
        <v>3860000</v>
      </c>
      <c r="F534" s="7">
        <v>8.5000000000000006E-2</v>
      </c>
      <c r="G534" s="1">
        <v>12</v>
      </c>
      <c r="H534" s="1" t="s">
        <v>1516</v>
      </c>
      <c r="I534" s="8">
        <f t="shared" si="17"/>
        <v>336668.36029595794</v>
      </c>
      <c r="J534" s="8">
        <f t="shared" si="16"/>
        <v>4040020.3235514956</v>
      </c>
      <c r="K534" s="1" t="s">
        <v>86</v>
      </c>
      <c r="L534" s="1">
        <v>589</v>
      </c>
      <c r="M534" s="1" t="s">
        <v>312</v>
      </c>
    </row>
    <row r="535" spans="1:13" x14ac:dyDescent="0.3">
      <c r="A535" s="1" t="s">
        <v>1517</v>
      </c>
      <c r="B535" s="1" t="s">
        <v>975</v>
      </c>
      <c r="C535" s="1">
        <v>33</v>
      </c>
      <c r="D535" s="1" t="s">
        <v>42</v>
      </c>
      <c r="E535" s="1">
        <v>1420000</v>
      </c>
      <c r="F535" s="7">
        <v>0.105</v>
      </c>
      <c r="G535" s="1">
        <v>240</v>
      </c>
      <c r="H535" s="1" t="s">
        <v>1518</v>
      </c>
      <c r="I535" s="8">
        <f t="shared" si="17"/>
        <v>14176.994394966829</v>
      </c>
      <c r="J535" s="8">
        <f t="shared" si="16"/>
        <v>3402478.6547920387</v>
      </c>
      <c r="K535" s="1" t="s">
        <v>147</v>
      </c>
      <c r="L535" s="1">
        <v>896</v>
      </c>
      <c r="M535" s="1" t="s">
        <v>20</v>
      </c>
    </row>
    <row r="536" spans="1:13" x14ac:dyDescent="0.3">
      <c r="A536" s="1" t="s">
        <v>1519</v>
      </c>
      <c r="B536" s="1" t="s">
        <v>1520</v>
      </c>
      <c r="C536" s="1">
        <v>39</v>
      </c>
      <c r="D536" s="1" t="s">
        <v>23</v>
      </c>
      <c r="E536" s="1">
        <v>9500000</v>
      </c>
      <c r="F536" s="7">
        <v>8.5000000000000006E-2</v>
      </c>
      <c r="G536" s="1">
        <v>180</v>
      </c>
      <c r="H536" s="1" t="s">
        <v>1521</v>
      </c>
      <c r="I536" s="8">
        <f t="shared" si="17"/>
        <v>93550.258002931369</v>
      </c>
      <c r="J536" s="8">
        <f t="shared" si="16"/>
        <v>16839046.440527648</v>
      </c>
      <c r="K536" s="1" t="s">
        <v>108</v>
      </c>
      <c r="L536" s="1">
        <v>786</v>
      </c>
      <c r="M536" s="1" t="s">
        <v>20</v>
      </c>
    </row>
    <row r="537" spans="1:13" x14ac:dyDescent="0.3">
      <c r="A537" s="1" t="s">
        <v>1522</v>
      </c>
      <c r="B537" s="1" t="s">
        <v>1523</v>
      </c>
      <c r="C537" s="1">
        <v>56</v>
      </c>
      <c r="D537" s="1" t="s">
        <v>18</v>
      </c>
      <c r="E537" s="1">
        <v>1650000</v>
      </c>
      <c r="F537" s="7">
        <v>0.13</v>
      </c>
      <c r="G537" s="1">
        <v>240</v>
      </c>
      <c r="H537" s="1" t="s">
        <v>1524</v>
      </c>
      <c r="I537" s="8">
        <f t="shared" si="17"/>
        <v>19330.999236092008</v>
      </c>
      <c r="J537" s="8">
        <f t="shared" si="16"/>
        <v>4639439.8166620815</v>
      </c>
      <c r="K537" s="1" t="s">
        <v>75</v>
      </c>
      <c r="L537" s="1">
        <v>838</v>
      </c>
      <c r="M537" s="1" t="s">
        <v>16</v>
      </c>
    </row>
    <row r="538" spans="1:13" x14ac:dyDescent="0.3">
      <c r="A538" s="1" t="s">
        <v>1525</v>
      </c>
      <c r="B538" s="1" t="s">
        <v>1526</v>
      </c>
      <c r="C538" s="1">
        <v>32</v>
      </c>
      <c r="D538" s="1" t="s">
        <v>23</v>
      </c>
      <c r="E538" s="1">
        <v>8020000</v>
      </c>
      <c r="F538" s="7">
        <v>0.08</v>
      </c>
      <c r="G538" s="1">
        <v>24</v>
      </c>
      <c r="H538" s="1" t="s">
        <v>1493</v>
      </c>
      <c r="I538" s="8">
        <f t="shared" si="17"/>
        <v>362722.87747859687</v>
      </c>
      <c r="J538" s="8">
        <f t="shared" si="16"/>
        <v>8705349.0594863258</v>
      </c>
      <c r="K538" s="1" t="s">
        <v>119</v>
      </c>
      <c r="L538" s="1">
        <v>811</v>
      </c>
      <c r="M538" s="1" t="s">
        <v>60</v>
      </c>
    </row>
    <row r="539" spans="1:13" x14ac:dyDescent="0.3">
      <c r="A539" s="1" t="s">
        <v>1527</v>
      </c>
      <c r="B539" s="1" t="s">
        <v>1311</v>
      </c>
      <c r="C539" s="1">
        <v>61</v>
      </c>
      <c r="D539" s="1" t="s">
        <v>18</v>
      </c>
      <c r="E539" s="1">
        <v>1340000</v>
      </c>
      <c r="F539" s="7">
        <v>0.115</v>
      </c>
      <c r="G539" s="1">
        <v>60</v>
      </c>
      <c r="H539" s="1" t="s">
        <v>1528</v>
      </c>
      <c r="I539" s="8">
        <f t="shared" si="17"/>
        <v>29470.093882326331</v>
      </c>
      <c r="J539" s="8">
        <f t="shared" si="16"/>
        <v>1768205.6329395799</v>
      </c>
      <c r="K539" s="1" t="s">
        <v>52</v>
      </c>
      <c r="L539" s="1">
        <v>765</v>
      </c>
      <c r="M539" s="1" t="s">
        <v>16</v>
      </c>
    </row>
    <row r="540" spans="1:13" x14ac:dyDescent="0.3">
      <c r="A540" s="1" t="s">
        <v>1529</v>
      </c>
      <c r="B540" s="1" t="s">
        <v>1530</v>
      </c>
      <c r="C540" s="1">
        <v>39</v>
      </c>
      <c r="D540" s="1" t="s">
        <v>27</v>
      </c>
      <c r="E540" s="1">
        <v>140000</v>
      </c>
      <c r="F540" s="7">
        <v>0.08</v>
      </c>
      <c r="G540" s="1">
        <v>24</v>
      </c>
      <c r="H540" s="1" t="s">
        <v>1531</v>
      </c>
      <c r="I540" s="8">
        <f t="shared" si="17"/>
        <v>6331.8208038657813</v>
      </c>
      <c r="J540" s="8">
        <f t="shared" si="16"/>
        <v>151963.69929277874</v>
      </c>
      <c r="K540" s="1" t="s">
        <v>226</v>
      </c>
      <c r="L540" s="1">
        <v>696</v>
      </c>
      <c r="M540" s="1" t="s">
        <v>20</v>
      </c>
    </row>
    <row r="541" spans="1:13" x14ac:dyDescent="0.3">
      <c r="A541" s="1" t="s">
        <v>1532</v>
      </c>
      <c r="B541" s="1" t="s">
        <v>728</v>
      </c>
      <c r="C541" s="1">
        <v>32</v>
      </c>
      <c r="D541" s="1" t="s">
        <v>37</v>
      </c>
      <c r="E541" s="1">
        <v>3520000</v>
      </c>
      <c r="F541" s="7">
        <v>0.1</v>
      </c>
      <c r="G541" s="1">
        <v>60</v>
      </c>
      <c r="H541" s="1" t="s">
        <v>1533</v>
      </c>
      <c r="I541" s="8">
        <f t="shared" si="17"/>
        <v>74789.597383664324</v>
      </c>
      <c r="J541" s="8">
        <f t="shared" si="16"/>
        <v>4487375.8430198599</v>
      </c>
      <c r="K541" s="1" t="s">
        <v>187</v>
      </c>
      <c r="L541" s="1">
        <v>885</v>
      </c>
      <c r="M541" s="1" t="s">
        <v>60</v>
      </c>
    </row>
    <row r="542" spans="1:13" x14ac:dyDescent="0.3">
      <c r="A542" s="1" t="s">
        <v>1534</v>
      </c>
      <c r="B542" s="1" t="s">
        <v>1330</v>
      </c>
      <c r="C542" s="1">
        <v>29</v>
      </c>
      <c r="D542" s="1" t="s">
        <v>32</v>
      </c>
      <c r="E542" s="1">
        <v>420000</v>
      </c>
      <c r="F542" s="7">
        <v>0.12</v>
      </c>
      <c r="G542" s="1">
        <v>24</v>
      </c>
      <c r="H542" s="1" t="s">
        <v>1535</v>
      </c>
      <c r="I542" s="8">
        <f t="shared" si="17"/>
        <v>19770.858333771175</v>
      </c>
      <c r="J542" s="8">
        <f t="shared" si="16"/>
        <v>474500.60001050821</v>
      </c>
      <c r="K542" s="1" t="s">
        <v>115</v>
      </c>
      <c r="L542" s="1">
        <v>717</v>
      </c>
      <c r="M542" s="1" t="s">
        <v>20</v>
      </c>
    </row>
    <row r="543" spans="1:13" x14ac:dyDescent="0.3">
      <c r="A543" s="1" t="s">
        <v>1536</v>
      </c>
      <c r="B543" s="1" t="s">
        <v>1537</v>
      </c>
      <c r="C543" s="1">
        <v>27</v>
      </c>
      <c r="D543" s="1" t="s">
        <v>27</v>
      </c>
      <c r="E543" s="1">
        <v>950000</v>
      </c>
      <c r="F543" s="7">
        <v>0.12</v>
      </c>
      <c r="G543" s="1">
        <v>48</v>
      </c>
      <c r="H543" s="1" t="s">
        <v>382</v>
      </c>
      <c r="I543" s="8">
        <f t="shared" si="17"/>
        <v>25017.143660331378</v>
      </c>
      <c r="J543" s="8">
        <f t="shared" si="16"/>
        <v>1200822.8956959061</v>
      </c>
      <c r="K543" s="1" t="s">
        <v>52</v>
      </c>
      <c r="L543" s="1">
        <v>641</v>
      </c>
      <c r="M543" s="1" t="s">
        <v>312</v>
      </c>
    </row>
    <row r="544" spans="1:13" x14ac:dyDescent="0.3">
      <c r="A544" s="1" t="s">
        <v>1538</v>
      </c>
      <c r="B544" s="1" t="s">
        <v>1539</v>
      </c>
      <c r="C544" s="1">
        <v>48</v>
      </c>
      <c r="D544" s="1" t="s">
        <v>23</v>
      </c>
      <c r="E544" s="1">
        <v>2430000</v>
      </c>
      <c r="F544" s="7">
        <v>0.11</v>
      </c>
      <c r="G544" s="1">
        <v>180</v>
      </c>
      <c r="H544" s="1" t="s">
        <v>579</v>
      </c>
      <c r="I544" s="8">
        <f t="shared" si="17"/>
        <v>27619.305509712958</v>
      </c>
      <c r="J544" s="8">
        <f t="shared" si="16"/>
        <v>4971474.991748332</v>
      </c>
      <c r="K544" s="1" t="s">
        <v>48</v>
      </c>
      <c r="L544" s="1">
        <v>608</v>
      </c>
      <c r="M544" s="1" t="s">
        <v>60</v>
      </c>
    </row>
    <row r="545" spans="1:13" x14ac:dyDescent="0.3">
      <c r="A545" s="1" t="s">
        <v>1540</v>
      </c>
      <c r="B545" s="1" t="s">
        <v>1424</v>
      </c>
      <c r="C545" s="1">
        <v>34</v>
      </c>
      <c r="D545" s="1" t="s">
        <v>18</v>
      </c>
      <c r="E545" s="1">
        <v>430000</v>
      </c>
      <c r="F545" s="7">
        <v>0.13</v>
      </c>
      <c r="G545" s="1">
        <v>84</v>
      </c>
      <c r="H545" s="1" t="s">
        <v>1541</v>
      </c>
      <c r="I545" s="8">
        <f t="shared" si="17"/>
        <v>7822.5442399735393</v>
      </c>
      <c r="J545" s="8">
        <f t="shared" si="16"/>
        <v>657093.71615777735</v>
      </c>
      <c r="K545" s="1" t="s">
        <v>82</v>
      </c>
      <c r="L545" s="1">
        <v>608</v>
      </c>
      <c r="M545" s="1" t="s">
        <v>20</v>
      </c>
    </row>
    <row r="546" spans="1:13" x14ac:dyDescent="0.3">
      <c r="A546" s="1" t="s">
        <v>1542</v>
      </c>
      <c r="B546" s="1" t="s">
        <v>438</v>
      </c>
      <c r="C546" s="1">
        <v>51</v>
      </c>
      <c r="D546" s="1" t="s">
        <v>23</v>
      </c>
      <c r="E546" s="1">
        <v>5160000</v>
      </c>
      <c r="F546" s="7">
        <v>7.4999999999999997E-2</v>
      </c>
      <c r="G546" s="1">
        <v>84</v>
      </c>
      <c r="H546" s="1" t="s">
        <v>1543</v>
      </c>
      <c r="I546" s="8">
        <f t="shared" si="17"/>
        <v>79145.50340212525</v>
      </c>
      <c r="J546" s="8">
        <f t="shared" si="16"/>
        <v>6648222.2857785206</v>
      </c>
      <c r="K546" s="1" t="s">
        <v>29</v>
      </c>
      <c r="L546" s="1">
        <v>853</v>
      </c>
      <c r="M546" s="1" t="s">
        <v>16</v>
      </c>
    </row>
    <row r="547" spans="1:13" x14ac:dyDescent="0.3">
      <c r="A547" s="1" t="s">
        <v>1544</v>
      </c>
      <c r="B547" s="1" t="s">
        <v>1545</v>
      </c>
      <c r="C547" s="1">
        <v>39</v>
      </c>
      <c r="D547" s="1" t="s">
        <v>42</v>
      </c>
      <c r="E547" s="1">
        <v>1040000</v>
      </c>
      <c r="F547" s="7">
        <v>0.105</v>
      </c>
      <c r="G547" s="1">
        <v>36</v>
      </c>
      <c r="H547" s="1" t="s">
        <v>218</v>
      </c>
      <c r="I547" s="8">
        <f t="shared" si="17"/>
        <v>33802.541244874403</v>
      </c>
      <c r="J547" s="8">
        <f t="shared" si="16"/>
        <v>1216891.4848154786</v>
      </c>
      <c r="K547" s="1" t="s">
        <v>159</v>
      </c>
      <c r="L547" s="1">
        <v>718</v>
      </c>
      <c r="M547" s="1" t="s">
        <v>16</v>
      </c>
    </row>
    <row r="548" spans="1:13" x14ac:dyDescent="0.3">
      <c r="A548" s="1" t="s">
        <v>1546</v>
      </c>
      <c r="B548" s="1" t="s">
        <v>1547</v>
      </c>
      <c r="C548" s="1">
        <v>36</v>
      </c>
      <c r="D548" s="1" t="s">
        <v>37</v>
      </c>
      <c r="E548" s="1">
        <v>1900000</v>
      </c>
      <c r="F548" s="7">
        <v>0.125</v>
      </c>
      <c r="G548" s="1">
        <v>48</v>
      </c>
      <c r="H548" s="1" t="s">
        <v>1548</v>
      </c>
      <c r="I548" s="8">
        <f t="shared" si="17"/>
        <v>50501.997894365253</v>
      </c>
      <c r="J548" s="8">
        <f t="shared" si="16"/>
        <v>2424095.8989295322</v>
      </c>
      <c r="K548" s="1" t="s">
        <v>86</v>
      </c>
      <c r="L548" s="1">
        <v>818</v>
      </c>
      <c r="M548" s="1" t="s">
        <v>60</v>
      </c>
    </row>
    <row r="549" spans="1:13" x14ac:dyDescent="0.3">
      <c r="A549" s="1" t="s">
        <v>1549</v>
      </c>
      <c r="B549" s="1" t="s">
        <v>1149</v>
      </c>
      <c r="C549" s="1">
        <v>25</v>
      </c>
      <c r="D549" s="1" t="s">
        <v>42</v>
      </c>
      <c r="E549" s="1">
        <v>390000</v>
      </c>
      <c r="F549" s="7">
        <v>8.5000000000000006E-2</v>
      </c>
      <c r="G549" s="1">
        <v>24</v>
      </c>
      <c r="H549" s="1" t="s">
        <v>1550</v>
      </c>
      <c r="I549" s="8">
        <f t="shared" si="17"/>
        <v>17727.713203740557</v>
      </c>
      <c r="J549" s="8">
        <f t="shared" si="16"/>
        <v>425465.1168897734</v>
      </c>
      <c r="K549" s="1" t="s">
        <v>86</v>
      </c>
      <c r="L549" s="1">
        <v>594</v>
      </c>
      <c r="M549" s="1" t="s">
        <v>20</v>
      </c>
    </row>
    <row r="550" spans="1:13" x14ac:dyDescent="0.3">
      <c r="A550" s="1" t="s">
        <v>1551</v>
      </c>
      <c r="B550" s="1" t="s">
        <v>1552</v>
      </c>
      <c r="C550" s="1">
        <v>55</v>
      </c>
      <c r="D550" s="1" t="s">
        <v>42</v>
      </c>
      <c r="E550" s="1">
        <v>1480000</v>
      </c>
      <c r="F550" s="7">
        <v>0.12</v>
      </c>
      <c r="G550" s="1">
        <v>60</v>
      </c>
      <c r="H550" s="1" t="s">
        <v>1553</v>
      </c>
      <c r="I550" s="8">
        <f t="shared" si="17"/>
        <v>32921.782573654622</v>
      </c>
      <c r="J550" s="8">
        <f t="shared" si="16"/>
        <v>1975306.9544192774</v>
      </c>
      <c r="K550" s="1" t="s">
        <v>226</v>
      </c>
      <c r="L550" s="1">
        <v>894</v>
      </c>
      <c r="M550" s="1" t="s">
        <v>60</v>
      </c>
    </row>
    <row r="551" spans="1:13" x14ac:dyDescent="0.3">
      <c r="A551" s="1" t="s">
        <v>1554</v>
      </c>
      <c r="B551" s="1" t="s">
        <v>1241</v>
      </c>
      <c r="C551" s="1">
        <v>32</v>
      </c>
      <c r="D551" s="1" t="s">
        <v>27</v>
      </c>
      <c r="E551" s="1">
        <v>780000</v>
      </c>
      <c r="F551" s="7">
        <v>0.105</v>
      </c>
      <c r="G551" s="1">
        <v>24</v>
      </c>
      <c r="H551" s="1" t="s">
        <v>494</v>
      </c>
      <c r="I551" s="8">
        <f t="shared" si="17"/>
        <v>36173.312478709879</v>
      </c>
      <c r="J551" s="8">
        <f t="shared" si="16"/>
        <v>868159.49948903709</v>
      </c>
      <c r="K551" s="1" t="s">
        <v>226</v>
      </c>
      <c r="L551" s="1">
        <v>730</v>
      </c>
      <c r="M551" s="1" t="s">
        <v>16</v>
      </c>
    </row>
    <row r="552" spans="1:13" x14ac:dyDescent="0.3">
      <c r="A552" s="1" t="s">
        <v>1555</v>
      </c>
      <c r="B552" s="1" t="s">
        <v>1438</v>
      </c>
      <c r="C552" s="1">
        <v>45</v>
      </c>
      <c r="D552" s="1" t="s">
        <v>42</v>
      </c>
      <c r="E552" s="1">
        <v>1140000</v>
      </c>
      <c r="F552" s="7">
        <v>8.5000000000000006E-2</v>
      </c>
      <c r="G552" s="1">
        <v>48</v>
      </c>
      <c r="H552" s="1" t="s">
        <v>1556</v>
      </c>
      <c r="I552" s="8">
        <f t="shared" si="17"/>
        <v>28099.065829072708</v>
      </c>
      <c r="J552" s="8">
        <f t="shared" si="16"/>
        <v>1348755.1597954901</v>
      </c>
      <c r="K552" s="1" t="s">
        <v>222</v>
      </c>
      <c r="L552" s="1">
        <v>719</v>
      </c>
      <c r="M552" s="1" t="s">
        <v>16</v>
      </c>
    </row>
    <row r="553" spans="1:13" x14ac:dyDescent="0.3">
      <c r="A553" s="1" t="s">
        <v>1557</v>
      </c>
      <c r="B553" s="1" t="s">
        <v>1558</v>
      </c>
      <c r="C553" s="1">
        <v>41</v>
      </c>
      <c r="D553" s="1" t="s">
        <v>15</v>
      </c>
      <c r="E553" s="1">
        <v>1780000</v>
      </c>
      <c r="F553" s="7">
        <v>7.4999999999999997E-2</v>
      </c>
      <c r="G553" s="1">
        <v>84</v>
      </c>
      <c r="H553" s="1" t="s">
        <v>1559</v>
      </c>
      <c r="I553" s="8">
        <f t="shared" si="17"/>
        <v>27302.131018562584</v>
      </c>
      <c r="J553" s="8">
        <f t="shared" si="16"/>
        <v>2293379.0055592572</v>
      </c>
      <c r="K553" s="1" t="s">
        <v>136</v>
      </c>
      <c r="L553" s="1">
        <v>740</v>
      </c>
      <c r="M553" s="1" t="s">
        <v>60</v>
      </c>
    </row>
    <row r="554" spans="1:13" x14ac:dyDescent="0.3">
      <c r="A554" s="1" t="s">
        <v>1560</v>
      </c>
      <c r="B554" s="1" t="s">
        <v>41</v>
      </c>
      <c r="C554" s="1">
        <v>56</v>
      </c>
      <c r="D554" s="1" t="s">
        <v>15</v>
      </c>
      <c r="E554" s="1">
        <v>900000</v>
      </c>
      <c r="F554" s="7">
        <v>0.08</v>
      </c>
      <c r="G554" s="1">
        <v>180</v>
      </c>
      <c r="H554" s="1" t="s">
        <v>1561</v>
      </c>
      <c r="I554" s="8">
        <f t="shared" si="17"/>
        <v>8600.8687589731635</v>
      </c>
      <c r="J554" s="8">
        <f t="shared" si="16"/>
        <v>1548156.3766151695</v>
      </c>
      <c r="K554" s="1" t="s">
        <v>90</v>
      </c>
      <c r="L554" s="1">
        <v>704</v>
      </c>
      <c r="M554" s="1" t="s">
        <v>20</v>
      </c>
    </row>
    <row r="555" spans="1:13" x14ac:dyDescent="0.3">
      <c r="A555" s="1" t="s">
        <v>1562</v>
      </c>
      <c r="B555" s="1" t="s">
        <v>254</v>
      </c>
      <c r="C555" s="1">
        <v>43</v>
      </c>
      <c r="D555" s="1" t="s">
        <v>42</v>
      </c>
      <c r="E555" s="1">
        <v>1200000</v>
      </c>
      <c r="F555" s="7">
        <v>0.1</v>
      </c>
      <c r="G555" s="1">
        <v>180</v>
      </c>
      <c r="H555" s="1" t="s">
        <v>1563</v>
      </c>
      <c r="I555" s="8">
        <f t="shared" si="17"/>
        <v>12895.261412497395</v>
      </c>
      <c r="J555" s="8">
        <f t="shared" si="16"/>
        <v>2321147.0542495311</v>
      </c>
      <c r="K555" s="1" t="s">
        <v>90</v>
      </c>
      <c r="L555" s="1">
        <v>737</v>
      </c>
      <c r="M555" s="1" t="s">
        <v>16</v>
      </c>
    </row>
    <row r="556" spans="1:13" x14ac:dyDescent="0.3">
      <c r="A556" s="1" t="s">
        <v>1564</v>
      </c>
      <c r="B556" s="1" t="s">
        <v>1565</v>
      </c>
      <c r="C556" s="1">
        <v>36</v>
      </c>
      <c r="D556" s="1" t="s">
        <v>37</v>
      </c>
      <c r="E556" s="1">
        <v>1390000</v>
      </c>
      <c r="F556" s="7">
        <v>0.09</v>
      </c>
      <c r="G556" s="1">
        <v>84</v>
      </c>
      <c r="H556" s="1" t="s">
        <v>1566</v>
      </c>
      <c r="I556" s="8">
        <f t="shared" si="17"/>
        <v>22363.818781453585</v>
      </c>
      <c r="J556" s="8">
        <f t="shared" si="16"/>
        <v>1878560.777642101</v>
      </c>
      <c r="K556" s="1" t="s">
        <v>316</v>
      </c>
      <c r="L556" s="1">
        <v>556</v>
      </c>
      <c r="M556" s="1" t="s">
        <v>16</v>
      </c>
    </row>
    <row r="557" spans="1:13" x14ac:dyDescent="0.3">
      <c r="A557" s="1" t="s">
        <v>1567</v>
      </c>
      <c r="B557" s="1" t="s">
        <v>863</v>
      </c>
      <c r="C557" s="1">
        <v>59</v>
      </c>
      <c r="D557" s="1" t="s">
        <v>42</v>
      </c>
      <c r="E557" s="1">
        <v>320000</v>
      </c>
      <c r="F557" s="7">
        <v>0.09</v>
      </c>
      <c r="G557" s="1">
        <v>60</v>
      </c>
      <c r="H557" s="1" t="s">
        <v>1568</v>
      </c>
      <c r="I557" s="8">
        <f t="shared" si="17"/>
        <v>6642.6736724332823</v>
      </c>
      <c r="J557" s="8">
        <f t="shared" si="16"/>
        <v>398560.42034599691</v>
      </c>
      <c r="K557" s="1" t="s">
        <v>155</v>
      </c>
      <c r="L557" s="1">
        <v>682</v>
      </c>
      <c r="M557" s="1" t="s">
        <v>16</v>
      </c>
    </row>
    <row r="558" spans="1:13" x14ac:dyDescent="0.3">
      <c r="A558" s="1" t="s">
        <v>1569</v>
      </c>
      <c r="B558" s="1" t="s">
        <v>851</v>
      </c>
      <c r="C558" s="1">
        <v>62</v>
      </c>
      <c r="D558" s="1" t="s">
        <v>23</v>
      </c>
      <c r="E558" s="1">
        <v>2650000</v>
      </c>
      <c r="F558" s="7">
        <v>0.105</v>
      </c>
      <c r="G558" s="1">
        <v>36</v>
      </c>
      <c r="H558" s="1" t="s">
        <v>1570</v>
      </c>
      <c r="I558" s="8">
        <f t="shared" si="17"/>
        <v>86131.475287420355</v>
      </c>
      <c r="J558" s="8">
        <f t="shared" si="16"/>
        <v>3100733.1103471327</v>
      </c>
      <c r="K558" s="1" t="s">
        <v>159</v>
      </c>
      <c r="L558" s="1">
        <v>784</v>
      </c>
      <c r="M558" s="1" t="s">
        <v>20</v>
      </c>
    </row>
    <row r="559" spans="1:13" x14ac:dyDescent="0.3">
      <c r="A559" s="1" t="s">
        <v>1571</v>
      </c>
      <c r="B559" s="1" t="s">
        <v>310</v>
      </c>
      <c r="C559" s="1">
        <v>59</v>
      </c>
      <c r="D559" s="1" t="s">
        <v>23</v>
      </c>
      <c r="E559" s="1">
        <v>5340000</v>
      </c>
      <c r="F559" s="7">
        <v>0.13</v>
      </c>
      <c r="G559" s="1">
        <v>84</v>
      </c>
      <c r="H559" s="1" t="s">
        <v>1572</v>
      </c>
      <c r="I559" s="8">
        <f t="shared" si="17"/>
        <v>97145.084282462107</v>
      </c>
      <c r="J559" s="8">
        <f t="shared" si="16"/>
        <v>8160187.0797268171</v>
      </c>
      <c r="K559" s="1" t="s">
        <v>326</v>
      </c>
      <c r="L559" s="1">
        <v>594</v>
      </c>
      <c r="M559" s="1" t="s">
        <v>16</v>
      </c>
    </row>
    <row r="560" spans="1:13" x14ac:dyDescent="0.3">
      <c r="A560" s="1" t="s">
        <v>1573</v>
      </c>
      <c r="B560" s="1" t="s">
        <v>1574</v>
      </c>
      <c r="C560" s="1">
        <v>34</v>
      </c>
      <c r="D560" s="1" t="s">
        <v>37</v>
      </c>
      <c r="E560" s="1">
        <v>2360000</v>
      </c>
      <c r="F560" s="7">
        <v>0.115</v>
      </c>
      <c r="G560" s="1">
        <v>84</v>
      </c>
      <c r="H560" s="1" t="s">
        <v>976</v>
      </c>
      <c r="I560" s="8">
        <f t="shared" si="17"/>
        <v>41032.047535766716</v>
      </c>
      <c r="J560" s="8">
        <f t="shared" si="16"/>
        <v>3446691.993004404</v>
      </c>
      <c r="K560" s="1" t="s">
        <v>34</v>
      </c>
      <c r="L560" s="1">
        <v>863</v>
      </c>
      <c r="M560" s="1" t="s">
        <v>16</v>
      </c>
    </row>
    <row r="561" spans="1:13" x14ac:dyDescent="0.3">
      <c r="A561" s="1" t="s">
        <v>1575</v>
      </c>
      <c r="B561" s="1" t="s">
        <v>1576</v>
      </c>
      <c r="C561" s="1">
        <v>51</v>
      </c>
      <c r="D561" s="1" t="s">
        <v>27</v>
      </c>
      <c r="E561" s="1">
        <v>640000</v>
      </c>
      <c r="F561" s="7">
        <v>0.13</v>
      </c>
      <c r="G561" s="1">
        <v>120</v>
      </c>
      <c r="H561" s="1" t="s">
        <v>1577</v>
      </c>
      <c r="I561" s="8">
        <f t="shared" si="17"/>
        <v>9555.8873585423898</v>
      </c>
      <c r="J561" s="8">
        <f t="shared" si="16"/>
        <v>1146706.4830250868</v>
      </c>
      <c r="K561" s="1" t="s">
        <v>48</v>
      </c>
      <c r="L561" s="1">
        <v>798</v>
      </c>
      <c r="M561" s="1" t="s">
        <v>16</v>
      </c>
    </row>
    <row r="562" spans="1:13" x14ac:dyDescent="0.3">
      <c r="A562" s="1" t="s">
        <v>1578</v>
      </c>
      <c r="B562" s="1" t="s">
        <v>1579</v>
      </c>
      <c r="C562" s="1">
        <v>25</v>
      </c>
      <c r="D562" s="1" t="s">
        <v>15</v>
      </c>
      <c r="E562" s="1">
        <v>1770000</v>
      </c>
      <c r="F562" s="7">
        <v>0.13</v>
      </c>
      <c r="G562" s="1">
        <v>36</v>
      </c>
      <c r="H562" s="1" t="s">
        <v>1580</v>
      </c>
      <c r="I562" s="8">
        <f t="shared" si="17"/>
        <v>59638.295045826439</v>
      </c>
      <c r="J562" s="8">
        <f t="shared" si="16"/>
        <v>2146978.6216497519</v>
      </c>
      <c r="K562" s="1" t="s">
        <v>326</v>
      </c>
      <c r="L562" s="1">
        <v>580</v>
      </c>
      <c r="M562" s="1" t="s">
        <v>312</v>
      </c>
    </row>
    <row r="563" spans="1:13" x14ac:dyDescent="0.3">
      <c r="A563" s="1" t="s">
        <v>1581</v>
      </c>
      <c r="B563" s="1" t="s">
        <v>1582</v>
      </c>
      <c r="C563" s="1">
        <v>55</v>
      </c>
      <c r="D563" s="1" t="s">
        <v>15</v>
      </c>
      <c r="E563" s="1">
        <v>1290000</v>
      </c>
      <c r="F563" s="7">
        <v>0.115</v>
      </c>
      <c r="G563" s="1">
        <v>12</v>
      </c>
      <c r="H563" s="1" t="s">
        <v>1583</v>
      </c>
      <c r="I563" s="8">
        <f t="shared" si="17"/>
        <v>114313.41948661544</v>
      </c>
      <c r="J563" s="8">
        <f t="shared" si="16"/>
        <v>1371761.0338393853</v>
      </c>
      <c r="K563" s="1" t="s">
        <v>34</v>
      </c>
      <c r="L563" s="1">
        <v>572</v>
      </c>
      <c r="M563" s="1" t="s">
        <v>16</v>
      </c>
    </row>
    <row r="564" spans="1:13" x14ac:dyDescent="0.3">
      <c r="A564" s="1" t="s">
        <v>1584</v>
      </c>
      <c r="B564" s="1" t="s">
        <v>1585</v>
      </c>
      <c r="C564" s="1">
        <v>43</v>
      </c>
      <c r="D564" s="1" t="s">
        <v>27</v>
      </c>
      <c r="E564" s="1">
        <v>690000</v>
      </c>
      <c r="F564" s="7">
        <v>9.5000000000000001E-2</v>
      </c>
      <c r="G564" s="1">
        <v>84</v>
      </c>
      <c r="H564" s="1" t="s">
        <v>1586</v>
      </c>
      <c r="I564" s="8">
        <f t="shared" si="17"/>
        <v>11277.34736009591</v>
      </c>
      <c r="J564" s="8">
        <f t="shared" si="16"/>
        <v>947297.17824805644</v>
      </c>
      <c r="K564" s="1" t="s">
        <v>82</v>
      </c>
      <c r="L564" s="1">
        <v>709</v>
      </c>
      <c r="M564" s="1" t="s">
        <v>16</v>
      </c>
    </row>
    <row r="565" spans="1:13" x14ac:dyDescent="0.3">
      <c r="A565" s="1" t="s">
        <v>1587</v>
      </c>
      <c r="B565" s="1" t="s">
        <v>1485</v>
      </c>
      <c r="C565" s="1">
        <v>49</v>
      </c>
      <c r="D565" s="1" t="s">
        <v>42</v>
      </c>
      <c r="E565" s="1">
        <v>760000</v>
      </c>
      <c r="F565" s="7">
        <v>0.125</v>
      </c>
      <c r="G565" s="1">
        <v>48</v>
      </c>
      <c r="H565" s="1" t="s">
        <v>279</v>
      </c>
      <c r="I565" s="8">
        <f t="shared" si="17"/>
        <v>20200.7991577461</v>
      </c>
      <c r="J565" s="8">
        <f t="shared" si="16"/>
        <v>969638.35957181279</v>
      </c>
      <c r="K565" s="1" t="s">
        <v>316</v>
      </c>
      <c r="L565" s="1">
        <v>707</v>
      </c>
      <c r="M565" s="1" t="s">
        <v>16</v>
      </c>
    </row>
    <row r="566" spans="1:13" x14ac:dyDescent="0.3">
      <c r="A566" s="1" t="s">
        <v>1588</v>
      </c>
      <c r="B566" s="1" t="s">
        <v>1589</v>
      </c>
      <c r="C566" s="1">
        <v>63</v>
      </c>
      <c r="D566" s="1" t="s">
        <v>37</v>
      </c>
      <c r="E566" s="1">
        <v>4240000</v>
      </c>
      <c r="F566" s="7">
        <v>9.5000000000000001E-2</v>
      </c>
      <c r="G566" s="1">
        <v>48</v>
      </c>
      <c r="H566" s="1" t="s">
        <v>1590</v>
      </c>
      <c r="I566" s="8">
        <f t="shared" si="17"/>
        <v>106522.09948476739</v>
      </c>
      <c r="J566" s="8">
        <f t="shared" si="16"/>
        <v>5113060.7752688341</v>
      </c>
      <c r="K566" s="1" t="s">
        <v>249</v>
      </c>
      <c r="L566" s="1">
        <v>588</v>
      </c>
      <c r="M566" s="1" t="s">
        <v>60</v>
      </c>
    </row>
    <row r="567" spans="1:13" x14ac:dyDescent="0.3">
      <c r="A567" s="1" t="s">
        <v>1591</v>
      </c>
      <c r="B567" s="1" t="s">
        <v>1592</v>
      </c>
      <c r="C567" s="1">
        <v>31</v>
      </c>
      <c r="D567" s="1" t="s">
        <v>18</v>
      </c>
      <c r="E567" s="1">
        <v>980000</v>
      </c>
      <c r="F567" s="7">
        <v>9.5000000000000001E-2</v>
      </c>
      <c r="G567" s="1">
        <v>120</v>
      </c>
      <c r="H567" s="1" t="s">
        <v>1593</v>
      </c>
      <c r="I567" s="8">
        <f t="shared" si="17"/>
        <v>12680.960640956147</v>
      </c>
      <c r="J567" s="8">
        <f t="shared" si="16"/>
        <v>1521715.2769147377</v>
      </c>
      <c r="K567" s="1" t="s">
        <v>34</v>
      </c>
      <c r="L567" s="1">
        <v>631</v>
      </c>
      <c r="M567" s="1" t="s">
        <v>20</v>
      </c>
    </row>
    <row r="568" spans="1:13" x14ac:dyDescent="0.3">
      <c r="A568" s="1" t="s">
        <v>1594</v>
      </c>
      <c r="B568" s="1" t="s">
        <v>1595</v>
      </c>
      <c r="C568" s="1">
        <v>38</v>
      </c>
      <c r="D568" s="1" t="s">
        <v>32</v>
      </c>
      <c r="E568" s="1">
        <v>260000</v>
      </c>
      <c r="F568" s="7">
        <v>0.09</v>
      </c>
      <c r="G568" s="1">
        <v>60</v>
      </c>
      <c r="H568" s="1" t="s">
        <v>1596</v>
      </c>
      <c r="I568" s="8">
        <f t="shared" si="17"/>
        <v>5397.1723588520417</v>
      </c>
      <c r="J568" s="8">
        <f t="shared" si="16"/>
        <v>323830.34153112251</v>
      </c>
      <c r="K568" s="1" t="s">
        <v>82</v>
      </c>
      <c r="L568" s="1">
        <v>807</v>
      </c>
      <c r="M568" s="1" t="s">
        <v>16</v>
      </c>
    </row>
    <row r="569" spans="1:13" x14ac:dyDescent="0.3">
      <c r="A569" s="1" t="s">
        <v>1597</v>
      </c>
      <c r="B569" s="1" t="s">
        <v>1598</v>
      </c>
      <c r="C569" s="1">
        <v>32</v>
      </c>
      <c r="D569" s="1" t="s">
        <v>32</v>
      </c>
      <c r="E569" s="1">
        <v>290000</v>
      </c>
      <c r="F569" s="7">
        <v>0.08</v>
      </c>
      <c r="G569" s="1">
        <v>84</v>
      </c>
      <c r="H569" s="1" t="s">
        <v>1599</v>
      </c>
      <c r="I569" s="8">
        <f t="shared" si="17"/>
        <v>4520.0021767741673</v>
      </c>
      <c r="J569" s="8">
        <f t="shared" si="16"/>
        <v>379680.18284903007</v>
      </c>
      <c r="K569" s="1" t="s">
        <v>25</v>
      </c>
      <c r="L569" s="1">
        <v>755</v>
      </c>
      <c r="M569" s="1" t="s">
        <v>16</v>
      </c>
    </row>
    <row r="570" spans="1:13" x14ac:dyDescent="0.3">
      <c r="A570" s="1" t="s">
        <v>1600</v>
      </c>
      <c r="B570" s="1" t="s">
        <v>281</v>
      </c>
      <c r="C570" s="1">
        <v>29</v>
      </c>
      <c r="D570" s="1" t="s">
        <v>42</v>
      </c>
      <c r="E570" s="1">
        <v>1350000</v>
      </c>
      <c r="F570" s="7">
        <v>7.4999999999999997E-2</v>
      </c>
      <c r="G570" s="1">
        <v>36</v>
      </c>
      <c r="H570" s="1" t="s">
        <v>1043</v>
      </c>
      <c r="I570" s="8">
        <f t="shared" si="17"/>
        <v>41993.394516886183</v>
      </c>
      <c r="J570" s="8">
        <f t="shared" si="16"/>
        <v>1511762.2026079027</v>
      </c>
      <c r="K570" s="1" t="s">
        <v>316</v>
      </c>
      <c r="L570" s="1">
        <v>626</v>
      </c>
      <c r="M570" s="1" t="s">
        <v>16</v>
      </c>
    </row>
    <row r="571" spans="1:13" x14ac:dyDescent="0.3">
      <c r="A571" s="1" t="s">
        <v>1601</v>
      </c>
      <c r="B571" s="1" t="s">
        <v>480</v>
      </c>
      <c r="C571" s="1">
        <v>30</v>
      </c>
      <c r="D571" s="1" t="s">
        <v>27</v>
      </c>
      <c r="E571" s="1">
        <v>260000</v>
      </c>
      <c r="F571" s="7">
        <v>0.105</v>
      </c>
      <c r="G571" s="1">
        <v>84</v>
      </c>
      <c r="H571" s="1" t="s">
        <v>1602</v>
      </c>
      <c r="I571" s="8">
        <f t="shared" si="17"/>
        <v>4383.7750186668454</v>
      </c>
      <c r="J571" s="8">
        <f t="shared" si="16"/>
        <v>368237.101568015</v>
      </c>
      <c r="K571" s="1" t="s">
        <v>366</v>
      </c>
      <c r="L571" s="1">
        <v>561</v>
      </c>
      <c r="M571" s="1" t="s">
        <v>20</v>
      </c>
    </row>
    <row r="572" spans="1:13" x14ac:dyDescent="0.3">
      <c r="A572" s="1" t="s">
        <v>1603</v>
      </c>
      <c r="B572" s="1" t="s">
        <v>1604</v>
      </c>
      <c r="C572" s="1">
        <v>64</v>
      </c>
      <c r="D572" s="1" t="s">
        <v>37</v>
      </c>
      <c r="E572" s="1">
        <v>3390000</v>
      </c>
      <c r="F572" s="7">
        <v>0.12</v>
      </c>
      <c r="G572" s="1">
        <v>180</v>
      </c>
      <c r="H572" s="1" t="s">
        <v>1605</v>
      </c>
      <c r="I572" s="8">
        <f t="shared" si="17"/>
        <v>40685.697304902307</v>
      </c>
      <c r="J572" s="8">
        <f t="shared" si="16"/>
        <v>7323425.5148824155</v>
      </c>
      <c r="K572" s="1" t="s">
        <v>147</v>
      </c>
      <c r="L572" s="1">
        <v>844</v>
      </c>
      <c r="M572" s="1" t="s">
        <v>16</v>
      </c>
    </row>
    <row r="573" spans="1:13" x14ac:dyDescent="0.3">
      <c r="A573" s="1" t="s">
        <v>1606</v>
      </c>
      <c r="B573" s="1" t="s">
        <v>1607</v>
      </c>
      <c r="C573" s="1">
        <v>37</v>
      </c>
      <c r="D573" s="1" t="s">
        <v>15</v>
      </c>
      <c r="E573" s="1">
        <v>250000</v>
      </c>
      <c r="F573" s="7">
        <v>0.115</v>
      </c>
      <c r="G573" s="1">
        <v>180</v>
      </c>
      <c r="H573" s="1" t="s">
        <v>1608</v>
      </c>
      <c r="I573" s="8">
        <f t="shared" si="17"/>
        <v>2920.4745247699952</v>
      </c>
      <c r="J573" s="8">
        <f t="shared" si="16"/>
        <v>525685.41445859917</v>
      </c>
      <c r="K573" s="1" t="s">
        <v>64</v>
      </c>
      <c r="L573" s="1">
        <v>773</v>
      </c>
      <c r="M573" s="1" t="s">
        <v>20</v>
      </c>
    </row>
    <row r="574" spans="1:13" x14ac:dyDescent="0.3">
      <c r="A574" s="1" t="s">
        <v>1609</v>
      </c>
      <c r="B574" s="1" t="s">
        <v>1610</v>
      </c>
      <c r="C574" s="1">
        <v>58</v>
      </c>
      <c r="D574" s="1" t="s">
        <v>18</v>
      </c>
      <c r="E574" s="1">
        <v>1210000</v>
      </c>
      <c r="F574" s="7">
        <v>0.11</v>
      </c>
      <c r="G574" s="1">
        <v>180</v>
      </c>
      <c r="H574" s="1" t="s">
        <v>1178</v>
      </c>
      <c r="I574" s="8">
        <f t="shared" si="17"/>
        <v>13752.822908128675</v>
      </c>
      <c r="J574" s="8">
        <f t="shared" si="16"/>
        <v>2475508.1234631618</v>
      </c>
      <c r="K574" s="1" t="s">
        <v>249</v>
      </c>
      <c r="L574" s="1">
        <v>562</v>
      </c>
      <c r="M574" s="1" t="s">
        <v>60</v>
      </c>
    </row>
    <row r="575" spans="1:13" x14ac:dyDescent="0.3">
      <c r="A575" s="1" t="s">
        <v>1611</v>
      </c>
      <c r="B575" s="1" t="s">
        <v>1612</v>
      </c>
      <c r="C575" s="1">
        <v>27</v>
      </c>
      <c r="D575" s="1" t="s">
        <v>15</v>
      </c>
      <c r="E575" s="1">
        <v>420000</v>
      </c>
      <c r="F575" s="7">
        <v>8.5000000000000006E-2</v>
      </c>
      <c r="G575" s="1">
        <v>84</v>
      </c>
      <c r="H575" s="1" t="s">
        <v>1613</v>
      </c>
      <c r="I575" s="8">
        <f t="shared" si="17"/>
        <v>6651.3238835990915</v>
      </c>
      <c r="J575" s="8">
        <f t="shared" si="16"/>
        <v>558711.2062223237</v>
      </c>
      <c r="K575" s="1" t="s">
        <v>56</v>
      </c>
      <c r="L575" s="1">
        <v>595</v>
      </c>
      <c r="M575" s="1" t="s">
        <v>20</v>
      </c>
    </row>
    <row r="576" spans="1:13" x14ac:dyDescent="0.3">
      <c r="A576" s="1" t="s">
        <v>1614</v>
      </c>
      <c r="B576" s="1" t="s">
        <v>1615</v>
      </c>
      <c r="C576" s="1">
        <v>33</v>
      </c>
      <c r="D576" s="1" t="s">
        <v>42</v>
      </c>
      <c r="E576" s="1">
        <v>920000</v>
      </c>
      <c r="F576" s="7">
        <v>7.4999999999999997E-2</v>
      </c>
      <c r="G576" s="1">
        <v>60</v>
      </c>
      <c r="H576" s="1" t="s">
        <v>651</v>
      </c>
      <c r="I576" s="8">
        <f t="shared" si="17"/>
        <v>18434.912707973861</v>
      </c>
      <c r="J576" s="8">
        <f t="shared" si="16"/>
        <v>1106094.7624784317</v>
      </c>
      <c r="K576" s="1" t="s">
        <v>201</v>
      </c>
      <c r="L576" s="1">
        <v>704</v>
      </c>
      <c r="M576" s="1" t="s">
        <v>16</v>
      </c>
    </row>
    <row r="577" spans="1:13" x14ac:dyDescent="0.3">
      <c r="A577" s="1" t="s">
        <v>1616</v>
      </c>
      <c r="B577" s="1" t="s">
        <v>1047</v>
      </c>
      <c r="C577" s="1">
        <v>60</v>
      </c>
      <c r="D577" s="1" t="s">
        <v>23</v>
      </c>
      <c r="E577" s="1">
        <v>7980000</v>
      </c>
      <c r="F577" s="7">
        <v>0.1</v>
      </c>
      <c r="G577" s="1">
        <v>180</v>
      </c>
      <c r="H577" s="1" t="s">
        <v>1617</v>
      </c>
      <c r="I577" s="8">
        <f t="shared" si="17"/>
        <v>85753.488393107662</v>
      </c>
      <c r="J577" s="8">
        <f t="shared" si="16"/>
        <v>15435627.910759378</v>
      </c>
      <c r="K577" s="1" t="s">
        <v>147</v>
      </c>
      <c r="L577" s="1">
        <v>662</v>
      </c>
      <c r="M577" s="1" t="s">
        <v>16</v>
      </c>
    </row>
    <row r="578" spans="1:13" x14ac:dyDescent="0.3">
      <c r="A578" s="1" t="s">
        <v>1618</v>
      </c>
      <c r="B578" s="1" t="s">
        <v>1290</v>
      </c>
      <c r="C578" s="1">
        <v>62</v>
      </c>
      <c r="D578" s="1" t="s">
        <v>27</v>
      </c>
      <c r="E578" s="1">
        <v>190000</v>
      </c>
      <c r="F578" s="7">
        <v>7.4999999999999997E-2</v>
      </c>
      <c r="G578" s="1">
        <v>240</v>
      </c>
      <c r="H578" s="1" t="s">
        <v>1619</v>
      </c>
      <c r="I578" s="8">
        <f t="shared" si="17"/>
        <v>1530.6270677484338</v>
      </c>
      <c r="J578" s="8">
        <f t="shared" si="16"/>
        <v>367350.49625962408</v>
      </c>
      <c r="K578" s="1" t="s">
        <v>222</v>
      </c>
      <c r="L578" s="1">
        <v>782</v>
      </c>
      <c r="M578" s="1" t="s">
        <v>20</v>
      </c>
    </row>
    <row r="579" spans="1:13" x14ac:dyDescent="0.3">
      <c r="A579" s="1" t="s">
        <v>1620</v>
      </c>
      <c r="B579" s="1" t="s">
        <v>1621</v>
      </c>
      <c r="C579" s="1">
        <v>29</v>
      </c>
      <c r="D579" s="1" t="s">
        <v>32</v>
      </c>
      <c r="E579" s="1">
        <v>110000</v>
      </c>
      <c r="F579" s="7">
        <v>0.105</v>
      </c>
      <c r="G579" s="1">
        <v>24</v>
      </c>
      <c r="H579" s="1" t="s">
        <v>1561</v>
      </c>
      <c r="I579" s="8">
        <f t="shared" si="17"/>
        <v>5101.3645803308809</v>
      </c>
      <c r="J579" s="8">
        <f t="shared" si="16"/>
        <v>122432.74992794114</v>
      </c>
      <c r="K579" s="1" t="s">
        <v>143</v>
      </c>
      <c r="L579" s="1">
        <v>566</v>
      </c>
      <c r="M579" s="1" t="s">
        <v>16</v>
      </c>
    </row>
    <row r="580" spans="1:13" x14ac:dyDescent="0.3">
      <c r="A580" s="1" t="s">
        <v>1622</v>
      </c>
      <c r="B580" s="1" t="s">
        <v>1515</v>
      </c>
      <c r="C580" s="1">
        <v>47</v>
      </c>
      <c r="D580" s="1" t="s">
        <v>27</v>
      </c>
      <c r="E580" s="1">
        <v>970000</v>
      </c>
      <c r="F580" s="7">
        <v>0.08</v>
      </c>
      <c r="G580" s="1">
        <v>36</v>
      </c>
      <c r="H580" s="1" t="s">
        <v>1623</v>
      </c>
      <c r="I580" s="8">
        <f t="shared" si="17"/>
        <v>30396.274497587925</v>
      </c>
      <c r="J580" s="8">
        <f t="shared" ref="J580:J643" si="18">(I580*G580)</f>
        <v>1094265.8819131653</v>
      </c>
      <c r="K580" s="1" t="s">
        <v>366</v>
      </c>
      <c r="L580" s="1">
        <v>772</v>
      </c>
      <c r="M580" s="1" t="s">
        <v>16</v>
      </c>
    </row>
    <row r="581" spans="1:13" x14ac:dyDescent="0.3">
      <c r="A581" s="1" t="s">
        <v>1624</v>
      </c>
      <c r="B581" s="1" t="s">
        <v>1229</v>
      </c>
      <c r="C581" s="1">
        <v>22</v>
      </c>
      <c r="D581" s="1" t="s">
        <v>18</v>
      </c>
      <c r="E581" s="1">
        <v>1730000</v>
      </c>
      <c r="F581" s="7">
        <v>9.5000000000000001E-2</v>
      </c>
      <c r="G581" s="1">
        <v>24</v>
      </c>
      <c r="H581" s="1" t="s">
        <v>1625</v>
      </c>
      <c r="I581" s="8">
        <f t="shared" ref="I581:I644" si="19">PMT(F581/12,G581, -E581)</f>
        <v>79432.072870840799</v>
      </c>
      <c r="J581" s="8">
        <f t="shared" si="18"/>
        <v>1906369.7489001793</v>
      </c>
      <c r="K581" s="1" t="s">
        <v>56</v>
      </c>
      <c r="L581" s="1">
        <v>737</v>
      </c>
      <c r="M581" s="1" t="s">
        <v>60</v>
      </c>
    </row>
    <row r="582" spans="1:13" x14ac:dyDescent="0.3">
      <c r="A582" s="1" t="s">
        <v>1626</v>
      </c>
      <c r="B582" s="1" t="s">
        <v>1627</v>
      </c>
      <c r="C582" s="1">
        <v>25</v>
      </c>
      <c r="D582" s="1" t="s">
        <v>42</v>
      </c>
      <c r="E582" s="1">
        <v>600000</v>
      </c>
      <c r="F582" s="7">
        <v>0.125</v>
      </c>
      <c r="G582" s="1">
        <v>60</v>
      </c>
      <c r="H582" s="1" t="s">
        <v>1628</v>
      </c>
      <c r="I582" s="8">
        <f t="shared" si="19"/>
        <v>13498.762935249502</v>
      </c>
      <c r="J582" s="8">
        <f t="shared" si="18"/>
        <v>809925.7761149701</v>
      </c>
      <c r="K582" s="1" t="s">
        <v>132</v>
      </c>
      <c r="L582" s="1">
        <v>893</v>
      </c>
      <c r="M582" s="1" t="s">
        <v>16</v>
      </c>
    </row>
    <row r="583" spans="1:13" x14ac:dyDescent="0.3">
      <c r="A583" s="1" t="s">
        <v>1629</v>
      </c>
      <c r="B583" s="1" t="s">
        <v>1206</v>
      </c>
      <c r="C583" s="1">
        <v>49</v>
      </c>
      <c r="D583" s="1" t="s">
        <v>27</v>
      </c>
      <c r="E583" s="1">
        <v>470000</v>
      </c>
      <c r="F583" s="7">
        <v>0.125</v>
      </c>
      <c r="G583" s="1">
        <v>36</v>
      </c>
      <c r="H583" s="1" t="s">
        <v>1630</v>
      </c>
      <c r="I583" s="8">
        <f t="shared" si="19"/>
        <v>15723.204021056767</v>
      </c>
      <c r="J583" s="8">
        <f t="shared" si="18"/>
        <v>566035.34475804365</v>
      </c>
      <c r="K583" s="1" t="s">
        <v>21</v>
      </c>
      <c r="L583" s="1">
        <v>712</v>
      </c>
      <c r="M583" s="1" t="s">
        <v>20</v>
      </c>
    </row>
    <row r="584" spans="1:13" x14ac:dyDescent="0.3">
      <c r="A584" s="1" t="s">
        <v>1631</v>
      </c>
      <c r="B584" s="1" t="s">
        <v>1305</v>
      </c>
      <c r="C584" s="1">
        <v>57</v>
      </c>
      <c r="D584" s="1" t="s">
        <v>15</v>
      </c>
      <c r="E584" s="1">
        <v>850000</v>
      </c>
      <c r="F584" s="7">
        <v>0.12</v>
      </c>
      <c r="G584" s="1">
        <v>240</v>
      </c>
      <c r="H584" s="1" t="s">
        <v>1632</v>
      </c>
      <c r="I584" s="8">
        <f t="shared" si="19"/>
        <v>9359.2321353416846</v>
      </c>
      <c r="J584" s="8">
        <f t="shared" si="18"/>
        <v>2246215.7124820044</v>
      </c>
      <c r="K584" s="1" t="s">
        <v>48</v>
      </c>
      <c r="L584" s="1">
        <v>875</v>
      </c>
      <c r="M584" s="1" t="s">
        <v>60</v>
      </c>
    </row>
    <row r="585" spans="1:13" x14ac:dyDescent="0.3">
      <c r="A585" s="1" t="s">
        <v>1633</v>
      </c>
      <c r="B585" s="1" t="s">
        <v>1180</v>
      </c>
      <c r="C585" s="1">
        <v>58</v>
      </c>
      <c r="D585" s="1" t="s">
        <v>42</v>
      </c>
      <c r="E585" s="1">
        <v>1020000</v>
      </c>
      <c r="F585" s="7">
        <v>0.11</v>
      </c>
      <c r="G585" s="1">
        <v>48</v>
      </c>
      <c r="H585" s="1" t="s">
        <v>1634</v>
      </c>
      <c r="I585" s="8">
        <f t="shared" si="19"/>
        <v>26362.43306368187</v>
      </c>
      <c r="J585" s="8">
        <f t="shared" si="18"/>
        <v>1265396.7870567297</v>
      </c>
      <c r="K585" s="1" t="s">
        <v>326</v>
      </c>
      <c r="L585" s="1">
        <v>623</v>
      </c>
      <c r="M585" s="1" t="s">
        <v>20</v>
      </c>
    </row>
    <row r="586" spans="1:13" x14ac:dyDescent="0.3">
      <c r="A586" s="1" t="s">
        <v>1635</v>
      </c>
      <c r="B586" s="1" t="s">
        <v>1636</v>
      </c>
      <c r="C586" s="1">
        <v>39</v>
      </c>
      <c r="D586" s="1" t="s">
        <v>15</v>
      </c>
      <c r="E586" s="1">
        <v>1150000</v>
      </c>
      <c r="F586" s="7">
        <v>0.09</v>
      </c>
      <c r="G586" s="1">
        <v>60</v>
      </c>
      <c r="H586" s="1" t="s">
        <v>1637</v>
      </c>
      <c r="I586" s="8">
        <f t="shared" si="19"/>
        <v>23872.108510307109</v>
      </c>
      <c r="J586" s="8">
        <f t="shared" si="18"/>
        <v>1432326.5106184266</v>
      </c>
      <c r="K586" s="1" t="s">
        <v>132</v>
      </c>
      <c r="L586" s="1">
        <v>782</v>
      </c>
      <c r="M586" s="1" t="s">
        <v>16</v>
      </c>
    </row>
    <row r="587" spans="1:13" x14ac:dyDescent="0.3">
      <c r="A587" s="1" t="s">
        <v>1638</v>
      </c>
      <c r="B587" s="1" t="s">
        <v>1639</v>
      </c>
      <c r="C587" s="1">
        <v>28</v>
      </c>
      <c r="D587" s="1" t="s">
        <v>37</v>
      </c>
      <c r="E587" s="1">
        <v>2240000</v>
      </c>
      <c r="F587" s="7">
        <v>0.08</v>
      </c>
      <c r="G587" s="1">
        <v>24</v>
      </c>
      <c r="H587" s="1" t="s">
        <v>968</v>
      </c>
      <c r="I587" s="8">
        <f t="shared" si="19"/>
        <v>101309.1328618525</v>
      </c>
      <c r="J587" s="8">
        <f t="shared" si="18"/>
        <v>2431419.1886844598</v>
      </c>
      <c r="K587" s="1" t="s">
        <v>90</v>
      </c>
      <c r="L587" s="1">
        <v>773</v>
      </c>
      <c r="M587" s="1" t="s">
        <v>20</v>
      </c>
    </row>
    <row r="588" spans="1:13" x14ac:dyDescent="0.3">
      <c r="A588" s="1" t="s">
        <v>1640</v>
      </c>
      <c r="B588" s="1" t="s">
        <v>1424</v>
      </c>
      <c r="C588" s="1">
        <v>21</v>
      </c>
      <c r="D588" s="1" t="s">
        <v>37</v>
      </c>
      <c r="E588" s="1">
        <v>4870000</v>
      </c>
      <c r="F588" s="7">
        <v>7.4999999999999997E-2</v>
      </c>
      <c r="G588" s="1">
        <v>24</v>
      </c>
      <c r="H588" s="1" t="s">
        <v>1641</v>
      </c>
      <c r="I588" s="8">
        <f t="shared" si="19"/>
        <v>219148.01621341149</v>
      </c>
      <c r="J588" s="8">
        <f t="shared" si="18"/>
        <v>5259552.3891218761</v>
      </c>
      <c r="K588" s="1" t="s">
        <v>212</v>
      </c>
      <c r="L588" s="1">
        <v>868</v>
      </c>
      <c r="M588" s="1" t="s">
        <v>60</v>
      </c>
    </row>
    <row r="589" spans="1:13" x14ac:dyDescent="0.3">
      <c r="A589" s="1" t="s">
        <v>1642</v>
      </c>
      <c r="B589" s="1" t="s">
        <v>975</v>
      </c>
      <c r="C589" s="1">
        <v>42</v>
      </c>
      <c r="D589" s="1" t="s">
        <v>23</v>
      </c>
      <c r="E589" s="1">
        <v>9100000</v>
      </c>
      <c r="F589" s="7">
        <v>0.09</v>
      </c>
      <c r="G589" s="1">
        <v>12</v>
      </c>
      <c r="H589" s="1" t="s">
        <v>1643</v>
      </c>
      <c r="I589" s="8">
        <f t="shared" si="19"/>
        <v>795808.43860628491</v>
      </c>
      <c r="J589" s="8">
        <f t="shared" si="18"/>
        <v>9549701.2632754184</v>
      </c>
      <c r="K589" s="1" t="s">
        <v>249</v>
      </c>
      <c r="L589" s="1">
        <v>609</v>
      </c>
      <c r="M589" s="1" t="s">
        <v>20</v>
      </c>
    </row>
    <row r="590" spans="1:13" x14ac:dyDescent="0.3">
      <c r="A590" s="1" t="s">
        <v>1644</v>
      </c>
      <c r="B590" s="1" t="s">
        <v>1645</v>
      </c>
      <c r="C590" s="1">
        <v>37</v>
      </c>
      <c r="D590" s="1" t="s">
        <v>27</v>
      </c>
      <c r="E590" s="1">
        <v>470000</v>
      </c>
      <c r="F590" s="7">
        <v>8.5000000000000006E-2</v>
      </c>
      <c r="G590" s="1">
        <v>240</v>
      </c>
      <c r="H590" s="1" t="s">
        <v>1646</v>
      </c>
      <c r="I590" s="8">
        <f t="shared" si="19"/>
        <v>4078.7691968180093</v>
      </c>
      <c r="J590" s="8">
        <f t="shared" si="18"/>
        <v>978904.60723632225</v>
      </c>
      <c r="K590" s="1" t="s">
        <v>205</v>
      </c>
      <c r="L590" s="1">
        <v>884</v>
      </c>
      <c r="M590" s="1" t="s">
        <v>20</v>
      </c>
    </row>
    <row r="591" spans="1:13" x14ac:dyDescent="0.3">
      <c r="A591" s="1" t="s">
        <v>1647</v>
      </c>
      <c r="B591" s="1" t="s">
        <v>1648</v>
      </c>
      <c r="C591" s="1">
        <v>27</v>
      </c>
      <c r="D591" s="1" t="s">
        <v>37</v>
      </c>
      <c r="E591" s="1">
        <v>4490000</v>
      </c>
      <c r="F591" s="7">
        <v>0.125</v>
      </c>
      <c r="G591" s="1">
        <v>12</v>
      </c>
      <c r="H591" s="1" t="s">
        <v>1649</v>
      </c>
      <c r="I591" s="8">
        <f t="shared" si="19"/>
        <v>399982.05357059499</v>
      </c>
      <c r="J591" s="8">
        <f t="shared" si="18"/>
        <v>4799784.6428471394</v>
      </c>
      <c r="K591" s="1" t="s">
        <v>56</v>
      </c>
      <c r="L591" s="1">
        <v>771</v>
      </c>
      <c r="M591" s="1" t="s">
        <v>60</v>
      </c>
    </row>
    <row r="592" spans="1:13" x14ac:dyDescent="0.3">
      <c r="A592" s="1" t="s">
        <v>1650</v>
      </c>
      <c r="B592" s="1" t="s">
        <v>1651</v>
      </c>
      <c r="C592" s="1">
        <v>45</v>
      </c>
      <c r="D592" s="1" t="s">
        <v>27</v>
      </c>
      <c r="E592" s="1">
        <v>200000</v>
      </c>
      <c r="F592" s="7">
        <v>9.5000000000000001E-2</v>
      </c>
      <c r="G592" s="1">
        <v>120</v>
      </c>
      <c r="H592" s="1" t="s">
        <v>1652</v>
      </c>
      <c r="I592" s="8">
        <f t="shared" si="19"/>
        <v>2587.9511512155404</v>
      </c>
      <c r="J592" s="8">
        <f t="shared" si="18"/>
        <v>310554.13814586482</v>
      </c>
      <c r="K592" s="1" t="s">
        <v>212</v>
      </c>
      <c r="L592" s="1">
        <v>586</v>
      </c>
      <c r="M592" s="1" t="s">
        <v>16</v>
      </c>
    </row>
    <row r="593" spans="1:13" x14ac:dyDescent="0.3">
      <c r="A593" s="1" t="s">
        <v>1653</v>
      </c>
      <c r="B593" s="1" t="s">
        <v>1654</v>
      </c>
      <c r="C593" s="1">
        <v>24</v>
      </c>
      <c r="D593" s="1" t="s">
        <v>15</v>
      </c>
      <c r="E593" s="1">
        <v>1120000</v>
      </c>
      <c r="F593" s="7">
        <v>0.08</v>
      </c>
      <c r="G593" s="1">
        <v>48</v>
      </c>
      <c r="H593" s="1" t="s">
        <v>1655</v>
      </c>
      <c r="I593" s="8">
        <f t="shared" si="19"/>
        <v>27342.473022482784</v>
      </c>
      <c r="J593" s="8">
        <f t="shared" si="18"/>
        <v>1312438.7050791737</v>
      </c>
      <c r="K593" s="1" t="s">
        <v>56</v>
      </c>
      <c r="L593" s="1">
        <v>827</v>
      </c>
      <c r="M593" s="1" t="s">
        <v>16</v>
      </c>
    </row>
    <row r="594" spans="1:13" x14ac:dyDescent="0.3">
      <c r="A594" s="1" t="s">
        <v>1656</v>
      </c>
      <c r="B594" s="1" t="s">
        <v>1657</v>
      </c>
      <c r="C594" s="1">
        <v>56</v>
      </c>
      <c r="D594" s="1" t="s">
        <v>42</v>
      </c>
      <c r="E594" s="1">
        <v>1250000</v>
      </c>
      <c r="F594" s="7">
        <v>0.11</v>
      </c>
      <c r="G594" s="1">
        <v>12</v>
      </c>
      <c r="H594" s="1" t="s">
        <v>1658</v>
      </c>
      <c r="I594" s="8">
        <f t="shared" si="19"/>
        <v>110477.07315200505</v>
      </c>
      <c r="J594" s="8">
        <f t="shared" si="18"/>
        <v>1325724.8778240606</v>
      </c>
      <c r="K594" s="1" t="s">
        <v>34</v>
      </c>
      <c r="L594" s="1">
        <v>745</v>
      </c>
      <c r="M594" s="1" t="s">
        <v>20</v>
      </c>
    </row>
    <row r="595" spans="1:13" x14ac:dyDescent="0.3">
      <c r="A595" s="1" t="s">
        <v>1659</v>
      </c>
      <c r="B595" s="1" t="s">
        <v>1660</v>
      </c>
      <c r="C595" s="1">
        <v>26</v>
      </c>
      <c r="D595" s="1" t="s">
        <v>37</v>
      </c>
      <c r="E595" s="1">
        <v>3180000</v>
      </c>
      <c r="F595" s="7">
        <v>0.08</v>
      </c>
      <c r="G595" s="1">
        <v>240</v>
      </c>
      <c r="H595" s="1" t="s">
        <v>1661</v>
      </c>
      <c r="I595" s="8">
        <f t="shared" si="19"/>
        <v>26598.794193992118</v>
      </c>
      <c r="J595" s="8">
        <f t="shared" si="18"/>
        <v>6383710.6065581087</v>
      </c>
      <c r="K595" s="1" t="s">
        <v>108</v>
      </c>
      <c r="L595" s="1">
        <v>791</v>
      </c>
      <c r="M595" s="1" t="s">
        <v>20</v>
      </c>
    </row>
    <row r="596" spans="1:13" x14ac:dyDescent="0.3">
      <c r="A596" s="1" t="s">
        <v>1662</v>
      </c>
      <c r="B596" s="1" t="s">
        <v>665</v>
      </c>
      <c r="C596" s="1">
        <v>51</v>
      </c>
      <c r="D596" s="1" t="s">
        <v>42</v>
      </c>
      <c r="E596" s="1">
        <v>440000</v>
      </c>
      <c r="F596" s="7">
        <v>9.5000000000000001E-2</v>
      </c>
      <c r="G596" s="1">
        <v>60</v>
      </c>
      <c r="H596" s="1" t="s">
        <v>1663</v>
      </c>
      <c r="I596" s="8">
        <f t="shared" si="19"/>
        <v>9240.8189762748225</v>
      </c>
      <c r="J596" s="8">
        <f t="shared" si="18"/>
        <v>554449.13857648941</v>
      </c>
      <c r="K596" s="1" t="s">
        <v>326</v>
      </c>
      <c r="L596" s="1">
        <v>873</v>
      </c>
      <c r="M596" s="1" t="s">
        <v>20</v>
      </c>
    </row>
    <row r="597" spans="1:13" x14ac:dyDescent="0.3">
      <c r="A597" s="1" t="s">
        <v>1664</v>
      </c>
      <c r="B597" s="1" t="s">
        <v>1665</v>
      </c>
      <c r="C597" s="1">
        <v>39</v>
      </c>
      <c r="D597" s="1" t="s">
        <v>18</v>
      </c>
      <c r="E597" s="1">
        <v>830000</v>
      </c>
      <c r="F597" s="7">
        <v>0.105</v>
      </c>
      <c r="G597" s="1">
        <v>240</v>
      </c>
      <c r="H597" s="1" t="s">
        <v>1561</v>
      </c>
      <c r="I597" s="8">
        <f t="shared" si="19"/>
        <v>8286.5530618468092</v>
      </c>
      <c r="J597" s="8">
        <f t="shared" si="18"/>
        <v>1988772.7348432343</v>
      </c>
      <c r="K597" s="1" t="s">
        <v>104</v>
      </c>
      <c r="L597" s="1">
        <v>768</v>
      </c>
      <c r="M597" s="1" t="s">
        <v>20</v>
      </c>
    </row>
    <row r="598" spans="1:13" x14ac:dyDescent="0.3">
      <c r="A598" s="1" t="s">
        <v>1666</v>
      </c>
      <c r="B598" s="1" t="s">
        <v>823</v>
      </c>
      <c r="C598" s="1">
        <v>64</v>
      </c>
      <c r="D598" s="1" t="s">
        <v>37</v>
      </c>
      <c r="E598" s="1">
        <v>870000</v>
      </c>
      <c r="F598" s="7">
        <v>0.11</v>
      </c>
      <c r="G598" s="1">
        <v>240</v>
      </c>
      <c r="H598" s="1" t="s">
        <v>1667</v>
      </c>
      <c r="I598" s="8">
        <f t="shared" si="19"/>
        <v>8980.0390136716924</v>
      </c>
      <c r="J598" s="8">
        <f t="shared" si="18"/>
        <v>2155209.3632812062</v>
      </c>
      <c r="K598" s="1" t="s">
        <v>29</v>
      </c>
      <c r="L598" s="1">
        <v>741</v>
      </c>
      <c r="M598" s="1" t="s">
        <v>16</v>
      </c>
    </row>
    <row r="599" spans="1:13" x14ac:dyDescent="0.3">
      <c r="A599" s="1" t="s">
        <v>1668</v>
      </c>
      <c r="B599" s="1" t="s">
        <v>1669</v>
      </c>
      <c r="C599" s="1">
        <v>59</v>
      </c>
      <c r="D599" s="1" t="s">
        <v>27</v>
      </c>
      <c r="E599" s="1">
        <v>950000</v>
      </c>
      <c r="F599" s="7">
        <v>0.11</v>
      </c>
      <c r="G599" s="1">
        <v>180</v>
      </c>
      <c r="H599" s="1" t="s">
        <v>1670</v>
      </c>
      <c r="I599" s="8">
        <f t="shared" si="19"/>
        <v>10797.670878282843</v>
      </c>
      <c r="J599" s="8">
        <f t="shared" si="18"/>
        <v>1943580.7580909117</v>
      </c>
      <c r="K599" s="1" t="s">
        <v>119</v>
      </c>
      <c r="L599" s="1">
        <v>566</v>
      </c>
      <c r="M599" s="1" t="s">
        <v>312</v>
      </c>
    </row>
    <row r="600" spans="1:13" x14ac:dyDescent="0.3">
      <c r="A600" s="1" t="s">
        <v>1671</v>
      </c>
      <c r="B600" s="1" t="s">
        <v>1672</v>
      </c>
      <c r="C600" s="1">
        <v>47</v>
      </c>
      <c r="D600" s="1" t="s">
        <v>18</v>
      </c>
      <c r="E600" s="1">
        <v>1690000</v>
      </c>
      <c r="F600" s="7">
        <v>0.125</v>
      </c>
      <c r="G600" s="1">
        <v>36</v>
      </c>
      <c r="H600" s="1" t="s">
        <v>1655</v>
      </c>
      <c r="I600" s="8">
        <f t="shared" si="19"/>
        <v>56536.627224650932</v>
      </c>
      <c r="J600" s="8">
        <f t="shared" si="18"/>
        <v>2035318.5800874336</v>
      </c>
      <c r="K600" s="1" t="s">
        <v>212</v>
      </c>
      <c r="L600" s="1">
        <v>561</v>
      </c>
      <c r="M600" s="1" t="s">
        <v>20</v>
      </c>
    </row>
    <row r="601" spans="1:13" x14ac:dyDescent="0.3">
      <c r="A601" s="1" t="s">
        <v>1673</v>
      </c>
      <c r="B601" s="1" t="s">
        <v>863</v>
      </c>
      <c r="C601" s="1">
        <v>30</v>
      </c>
      <c r="D601" s="1" t="s">
        <v>37</v>
      </c>
      <c r="E601" s="1">
        <v>1470000</v>
      </c>
      <c r="F601" s="7">
        <v>9.5000000000000001E-2</v>
      </c>
      <c r="G601" s="1">
        <v>84</v>
      </c>
      <c r="H601" s="1" t="s">
        <v>858</v>
      </c>
      <c r="I601" s="8">
        <f t="shared" si="19"/>
        <v>24025.653071508681</v>
      </c>
      <c r="J601" s="8">
        <f t="shared" si="18"/>
        <v>2018154.8580067293</v>
      </c>
      <c r="K601" s="1" t="s">
        <v>48</v>
      </c>
      <c r="L601" s="1">
        <v>742</v>
      </c>
      <c r="M601" s="1" t="s">
        <v>16</v>
      </c>
    </row>
    <row r="602" spans="1:13" x14ac:dyDescent="0.3">
      <c r="A602" s="1" t="s">
        <v>1674</v>
      </c>
      <c r="B602" s="1" t="s">
        <v>1675</v>
      </c>
      <c r="C602" s="1">
        <v>46</v>
      </c>
      <c r="D602" s="1" t="s">
        <v>32</v>
      </c>
      <c r="E602" s="1">
        <v>60000</v>
      </c>
      <c r="F602" s="7">
        <v>0.08</v>
      </c>
      <c r="G602" s="1">
        <v>120</v>
      </c>
      <c r="H602" s="1" t="s">
        <v>241</v>
      </c>
      <c r="I602" s="8">
        <f t="shared" si="19"/>
        <v>727.96556613214159</v>
      </c>
      <c r="J602" s="8">
        <f t="shared" si="18"/>
        <v>87355.867935856993</v>
      </c>
      <c r="K602" s="1" t="s">
        <v>212</v>
      </c>
      <c r="L602" s="1">
        <v>571</v>
      </c>
      <c r="M602" s="1" t="s">
        <v>20</v>
      </c>
    </row>
    <row r="603" spans="1:13" x14ac:dyDescent="0.3">
      <c r="A603" s="1" t="s">
        <v>1676</v>
      </c>
      <c r="B603" s="1" t="s">
        <v>890</v>
      </c>
      <c r="C603" s="1">
        <v>39</v>
      </c>
      <c r="D603" s="1" t="s">
        <v>37</v>
      </c>
      <c r="E603" s="1">
        <v>3380000</v>
      </c>
      <c r="F603" s="7">
        <v>0.125</v>
      </c>
      <c r="G603" s="1">
        <v>48</v>
      </c>
      <c r="H603" s="1" t="s">
        <v>833</v>
      </c>
      <c r="I603" s="8">
        <f t="shared" si="19"/>
        <v>89840.396254186606</v>
      </c>
      <c r="J603" s="8">
        <f t="shared" si="18"/>
        <v>4312339.0202009566</v>
      </c>
      <c r="K603" s="1" t="s">
        <v>39</v>
      </c>
      <c r="L603" s="1">
        <v>669</v>
      </c>
      <c r="M603" s="1" t="s">
        <v>60</v>
      </c>
    </row>
    <row r="604" spans="1:13" x14ac:dyDescent="0.3">
      <c r="A604" s="1" t="s">
        <v>1677</v>
      </c>
      <c r="B604" s="1" t="s">
        <v>314</v>
      </c>
      <c r="C604" s="1">
        <v>59</v>
      </c>
      <c r="D604" s="1" t="s">
        <v>15</v>
      </c>
      <c r="E604" s="1">
        <v>1560000</v>
      </c>
      <c r="F604" s="7">
        <v>0.115</v>
      </c>
      <c r="G604" s="1">
        <v>60</v>
      </c>
      <c r="H604" s="1" t="s">
        <v>1678</v>
      </c>
      <c r="I604" s="8">
        <f t="shared" si="19"/>
        <v>34308.467504797823</v>
      </c>
      <c r="J604" s="8">
        <f t="shared" si="18"/>
        <v>2058508.0502878693</v>
      </c>
      <c r="K604" s="1" t="s">
        <v>191</v>
      </c>
      <c r="L604" s="1">
        <v>759</v>
      </c>
      <c r="M604" s="1" t="s">
        <v>16</v>
      </c>
    </row>
    <row r="605" spans="1:13" x14ac:dyDescent="0.3">
      <c r="A605" s="1" t="s">
        <v>1679</v>
      </c>
      <c r="B605" s="1" t="s">
        <v>590</v>
      </c>
      <c r="C605" s="1">
        <v>23</v>
      </c>
      <c r="D605" s="1" t="s">
        <v>23</v>
      </c>
      <c r="E605" s="1">
        <v>2830000</v>
      </c>
      <c r="F605" s="7">
        <v>0.105</v>
      </c>
      <c r="G605" s="1">
        <v>36</v>
      </c>
      <c r="H605" s="1" t="s">
        <v>1680</v>
      </c>
      <c r="I605" s="8">
        <f t="shared" si="19"/>
        <v>91981.915118264005</v>
      </c>
      <c r="J605" s="8">
        <f t="shared" si="18"/>
        <v>3311348.9442575043</v>
      </c>
      <c r="K605" s="1" t="s">
        <v>64</v>
      </c>
      <c r="L605" s="1">
        <v>855</v>
      </c>
      <c r="M605" s="1" t="s">
        <v>20</v>
      </c>
    </row>
    <row r="606" spans="1:13" x14ac:dyDescent="0.3">
      <c r="A606" s="1" t="s">
        <v>1681</v>
      </c>
      <c r="B606" s="1" t="s">
        <v>1682</v>
      </c>
      <c r="C606" s="1">
        <v>33</v>
      </c>
      <c r="D606" s="1" t="s">
        <v>15</v>
      </c>
      <c r="E606" s="1">
        <v>1620000</v>
      </c>
      <c r="F606" s="7">
        <v>8.5000000000000006E-2</v>
      </c>
      <c r="G606" s="1">
        <v>180</v>
      </c>
      <c r="H606" s="1" t="s">
        <v>966</v>
      </c>
      <c r="I606" s="8">
        <f t="shared" si="19"/>
        <v>15952.780838394612</v>
      </c>
      <c r="J606" s="8">
        <f t="shared" si="18"/>
        <v>2871500.5509110303</v>
      </c>
      <c r="K606" s="1" t="s">
        <v>366</v>
      </c>
      <c r="L606" s="1">
        <v>819</v>
      </c>
      <c r="M606" s="1" t="s">
        <v>16</v>
      </c>
    </row>
    <row r="607" spans="1:13" x14ac:dyDescent="0.3">
      <c r="A607" s="1" t="s">
        <v>1683</v>
      </c>
      <c r="B607" s="1" t="s">
        <v>1684</v>
      </c>
      <c r="C607" s="1">
        <v>48</v>
      </c>
      <c r="D607" s="1" t="s">
        <v>42</v>
      </c>
      <c r="E607" s="1">
        <v>640000</v>
      </c>
      <c r="F607" s="7">
        <v>0.1</v>
      </c>
      <c r="G607" s="1">
        <v>240</v>
      </c>
      <c r="H607" s="1" t="s">
        <v>1685</v>
      </c>
      <c r="I607" s="8">
        <f t="shared" si="19"/>
        <v>6176.1385284736498</v>
      </c>
      <c r="J607" s="8">
        <f t="shared" si="18"/>
        <v>1482273.246833676</v>
      </c>
      <c r="K607" s="1" t="s">
        <v>39</v>
      </c>
      <c r="L607" s="1">
        <v>741</v>
      </c>
      <c r="M607" s="1" t="s">
        <v>20</v>
      </c>
    </row>
    <row r="608" spans="1:13" x14ac:dyDescent="0.3">
      <c r="A608" s="1" t="s">
        <v>1686</v>
      </c>
      <c r="B608" s="1" t="s">
        <v>1687</v>
      </c>
      <c r="C608" s="1">
        <v>40</v>
      </c>
      <c r="D608" s="1" t="s">
        <v>27</v>
      </c>
      <c r="E608" s="1">
        <v>880000</v>
      </c>
      <c r="F608" s="7">
        <v>0.105</v>
      </c>
      <c r="G608" s="1">
        <v>240</v>
      </c>
      <c r="H608" s="1" t="s">
        <v>1688</v>
      </c>
      <c r="I608" s="8">
        <f t="shared" si="19"/>
        <v>8785.7430053315566</v>
      </c>
      <c r="J608" s="8">
        <f t="shared" si="18"/>
        <v>2108578.3212795737</v>
      </c>
      <c r="K608" s="1" t="s">
        <v>151</v>
      </c>
      <c r="L608" s="1">
        <v>724</v>
      </c>
      <c r="M608" s="1" t="s">
        <v>312</v>
      </c>
    </row>
    <row r="609" spans="1:13" x14ac:dyDescent="0.3">
      <c r="A609" s="1" t="s">
        <v>1689</v>
      </c>
      <c r="B609" s="1" t="s">
        <v>1690</v>
      </c>
      <c r="C609" s="1">
        <v>48</v>
      </c>
      <c r="D609" s="1" t="s">
        <v>18</v>
      </c>
      <c r="E609" s="1">
        <v>710000</v>
      </c>
      <c r="F609" s="7">
        <v>0.1</v>
      </c>
      <c r="G609" s="1">
        <v>24</v>
      </c>
      <c r="H609" s="1" t="s">
        <v>1691</v>
      </c>
      <c r="I609" s="8">
        <f t="shared" si="19"/>
        <v>32762.897699636716</v>
      </c>
      <c r="J609" s="8">
        <f t="shared" si="18"/>
        <v>786309.54479128122</v>
      </c>
      <c r="K609" s="1" t="s">
        <v>159</v>
      </c>
      <c r="L609" s="1">
        <v>834</v>
      </c>
      <c r="M609" s="1" t="s">
        <v>16</v>
      </c>
    </row>
    <row r="610" spans="1:13" x14ac:dyDescent="0.3">
      <c r="A610" s="1" t="s">
        <v>1692</v>
      </c>
      <c r="B610" s="1" t="s">
        <v>1302</v>
      </c>
      <c r="C610" s="1">
        <v>28</v>
      </c>
      <c r="D610" s="1" t="s">
        <v>27</v>
      </c>
      <c r="E610" s="1">
        <v>640000</v>
      </c>
      <c r="F610" s="7">
        <v>8.5000000000000006E-2</v>
      </c>
      <c r="G610" s="1">
        <v>120</v>
      </c>
      <c r="H610" s="1" t="s">
        <v>1693</v>
      </c>
      <c r="I610" s="8">
        <f t="shared" si="19"/>
        <v>7935.0840879687121</v>
      </c>
      <c r="J610" s="8">
        <f t="shared" si="18"/>
        <v>952210.09055624541</v>
      </c>
      <c r="K610" s="1" t="s">
        <v>104</v>
      </c>
      <c r="L610" s="1">
        <v>753</v>
      </c>
      <c r="M610" s="1" t="s">
        <v>20</v>
      </c>
    </row>
    <row r="611" spans="1:13" x14ac:dyDescent="0.3">
      <c r="A611" s="1" t="s">
        <v>1694</v>
      </c>
      <c r="B611" s="1" t="s">
        <v>1695</v>
      </c>
      <c r="C611" s="1">
        <v>61</v>
      </c>
      <c r="D611" s="1" t="s">
        <v>37</v>
      </c>
      <c r="E611" s="1">
        <v>1960000</v>
      </c>
      <c r="F611" s="7">
        <v>0.11</v>
      </c>
      <c r="G611" s="1">
        <v>84</v>
      </c>
      <c r="H611" s="1" t="s">
        <v>1696</v>
      </c>
      <c r="I611" s="8">
        <f t="shared" si="19"/>
        <v>33559.975412401567</v>
      </c>
      <c r="J611" s="8">
        <f t="shared" si="18"/>
        <v>2819037.9346417314</v>
      </c>
      <c r="K611" s="1" t="s">
        <v>115</v>
      </c>
      <c r="L611" s="1">
        <v>713</v>
      </c>
      <c r="M611" s="1" t="s">
        <v>312</v>
      </c>
    </row>
    <row r="612" spans="1:13" x14ac:dyDescent="0.3">
      <c r="A612" s="1" t="s">
        <v>1697</v>
      </c>
      <c r="B612" s="1" t="s">
        <v>1096</v>
      </c>
      <c r="C612" s="1">
        <v>59</v>
      </c>
      <c r="D612" s="1" t="s">
        <v>27</v>
      </c>
      <c r="E612" s="1">
        <v>680000</v>
      </c>
      <c r="F612" s="7">
        <v>7.4999999999999997E-2</v>
      </c>
      <c r="G612" s="1">
        <v>240</v>
      </c>
      <c r="H612" s="1" t="s">
        <v>1698</v>
      </c>
      <c r="I612" s="8">
        <f t="shared" si="19"/>
        <v>5478.0337161522893</v>
      </c>
      <c r="J612" s="8">
        <f t="shared" si="18"/>
        <v>1314728.0918765494</v>
      </c>
      <c r="K612" s="1" t="s">
        <v>155</v>
      </c>
      <c r="L612" s="1">
        <v>800</v>
      </c>
      <c r="M612" s="1" t="s">
        <v>16</v>
      </c>
    </row>
    <row r="613" spans="1:13" x14ac:dyDescent="0.3">
      <c r="A613" s="1" t="s">
        <v>1699</v>
      </c>
      <c r="B613" s="1" t="s">
        <v>1254</v>
      </c>
      <c r="C613" s="1">
        <v>21</v>
      </c>
      <c r="D613" s="1" t="s">
        <v>18</v>
      </c>
      <c r="E613" s="1">
        <v>540000</v>
      </c>
      <c r="F613" s="7">
        <v>9.5000000000000001E-2</v>
      </c>
      <c r="G613" s="1">
        <v>12</v>
      </c>
      <c r="H613" s="1" t="s">
        <v>1700</v>
      </c>
      <c r="I613" s="8">
        <f t="shared" si="19"/>
        <v>47349.096357958872</v>
      </c>
      <c r="J613" s="8">
        <f t="shared" si="18"/>
        <v>568189.15629550652</v>
      </c>
      <c r="K613" s="1" t="s">
        <v>119</v>
      </c>
      <c r="L613" s="1">
        <v>776</v>
      </c>
      <c r="M613" s="1" t="s">
        <v>16</v>
      </c>
    </row>
    <row r="614" spans="1:13" x14ac:dyDescent="0.3">
      <c r="A614" s="1" t="s">
        <v>1701</v>
      </c>
      <c r="B614" s="1" t="s">
        <v>138</v>
      </c>
      <c r="C614" s="1">
        <v>23</v>
      </c>
      <c r="D614" s="1" t="s">
        <v>23</v>
      </c>
      <c r="E614" s="1">
        <v>6550000</v>
      </c>
      <c r="F614" s="7">
        <v>0.11</v>
      </c>
      <c r="G614" s="1">
        <v>48</v>
      </c>
      <c r="H614" s="1" t="s">
        <v>1702</v>
      </c>
      <c r="I614" s="8">
        <f t="shared" si="19"/>
        <v>169288.17310501591</v>
      </c>
      <c r="J614" s="8">
        <f t="shared" si="18"/>
        <v>8125832.3090407643</v>
      </c>
      <c r="K614" s="1" t="s">
        <v>21</v>
      </c>
      <c r="L614" s="1">
        <v>556</v>
      </c>
      <c r="M614" s="1" t="s">
        <v>20</v>
      </c>
    </row>
    <row r="615" spans="1:13" x14ac:dyDescent="0.3">
      <c r="A615" s="1" t="s">
        <v>1703</v>
      </c>
      <c r="B615" s="1" t="s">
        <v>1704</v>
      </c>
      <c r="C615" s="1">
        <v>33</v>
      </c>
      <c r="D615" s="1" t="s">
        <v>23</v>
      </c>
      <c r="E615" s="1">
        <v>8150000</v>
      </c>
      <c r="F615" s="7">
        <v>0.11</v>
      </c>
      <c r="G615" s="1">
        <v>36</v>
      </c>
      <c r="H615" s="1" t="s">
        <v>1705</v>
      </c>
      <c r="I615" s="8">
        <f t="shared" si="19"/>
        <v>266820.54450356663</v>
      </c>
      <c r="J615" s="8">
        <f t="shared" si="18"/>
        <v>9605539.6021283995</v>
      </c>
      <c r="K615" s="1" t="s">
        <v>86</v>
      </c>
      <c r="L615" s="1">
        <v>578</v>
      </c>
      <c r="M615" s="1" t="s">
        <v>20</v>
      </c>
    </row>
    <row r="616" spans="1:13" x14ac:dyDescent="0.3">
      <c r="A616" s="1" t="s">
        <v>1706</v>
      </c>
      <c r="B616" s="1" t="s">
        <v>1707</v>
      </c>
      <c r="C616" s="1">
        <v>48</v>
      </c>
      <c r="D616" s="1" t="s">
        <v>37</v>
      </c>
      <c r="E616" s="1">
        <v>4380000</v>
      </c>
      <c r="F616" s="7">
        <v>9.5000000000000001E-2</v>
      </c>
      <c r="G616" s="1">
        <v>240</v>
      </c>
      <c r="H616" s="1" t="s">
        <v>1708</v>
      </c>
      <c r="I616" s="8">
        <f t="shared" si="19"/>
        <v>40827.346027108098</v>
      </c>
      <c r="J616" s="8">
        <f t="shared" si="18"/>
        <v>9798563.0465059429</v>
      </c>
      <c r="K616" s="1" t="s">
        <v>52</v>
      </c>
      <c r="L616" s="1">
        <v>582</v>
      </c>
      <c r="M616" s="1" t="s">
        <v>16</v>
      </c>
    </row>
    <row r="617" spans="1:13" x14ac:dyDescent="0.3">
      <c r="A617" s="1" t="s">
        <v>1709</v>
      </c>
      <c r="B617" s="1" t="s">
        <v>1604</v>
      </c>
      <c r="C617" s="1">
        <v>45</v>
      </c>
      <c r="D617" s="1" t="s">
        <v>37</v>
      </c>
      <c r="E617" s="1">
        <v>2440000</v>
      </c>
      <c r="F617" s="7">
        <v>0.09</v>
      </c>
      <c r="G617" s="1">
        <v>36</v>
      </c>
      <c r="H617" s="1" t="s">
        <v>1710</v>
      </c>
      <c r="I617" s="8">
        <f t="shared" si="19"/>
        <v>77591.347690255265</v>
      </c>
      <c r="J617" s="8">
        <f t="shared" si="18"/>
        <v>2793288.5168491895</v>
      </c>
      <c r="K617" s="1" t="s">
        <v>155</v>
      </c>
      <c r="L617" s="1">
        <v>683</v>
      </c>
      <c r="M617" s="1" t="s">
        <v>16</v>
      </c>
    </row>
    <row r="618" spans="1:13" x14ac:dyDescent="0.3">
      <c r="A618" s="1" t="s">
        <v>1711</v>
      </c>
      <c r="B618" s="1" t="s">
        <v>1712</v>
      </c>
      <c r="C618" s="1">
        <v>53</v>
      </c>
      <c r="D618" s="1" t="s">
        <v>42</v>
      </c>
      <c r="E618" s="1">
        <v>1150000</v>
      </c>
      <c r="F618" s="7">
        <v>9.5000000000000001E-2</v>
      </c>
      <c r="G618" s="1">
        <v>180</v>
      </c>
      <c r="H618" s="1" t="s">
        <v>1713</v>
      </c>
      <c r="I618" s="8">
        <f t="shared" si="19"/>
        <v>12008.583852933543</v>
      </c>
      <c r="J618" s="8">
        <f t="shared" si="18"/>
        <v>2161545.0935280379</v>
      </c>
      <c r="K618" s="1" t="s">
        <v>159</v>
      </c>
      <c r="L618" s="1">
        <v>628</v>
      </c>
      <c r="M618" s="1" t="s">
        <v>16</v>
      </c>
    </row>
    <row r="619" spans="1:13" x14ac:dyDescent="0.3">
      <c r="A619" s="1" t="s">
        <v>1714</v>
      </c>
      <c r="B619" s="1" t="s">
        <v>1715</v>
      </c>
      <c r="C619" s="1">
        <v>58</v>
      </c>
      <c r="D619" s="1" t="s">
        <v>37</v>
      </c>
      <c r="E619" s="1">
        <v>2050000</v>
      </c>
      <c r="F619" s="7">
        <v>0.12</v>
      </c>
      <c r="G619" s="1">
        <v>36</v>
      </c>
      <c r="H619" s="1" t="s">
        <v>1716</v>
      </c>
      <c r="I619" s="8">
        <f t="shared" si="19"/>
        <v>68089.335116344941</v>
      </c>
      <c r="J619" s="8">
        <f t="shared" si="18"/>
        <v>2451216.064188418</v>
      </c>
      <c r="K619" s="1" t="s">
        <v>52</v>
      </c>
      <c r="L619" s="1">
        <v>607</v>
      </c>
      <c r="M619" s="1" t="s">
        <v>16</v>
      </c>
    </row>
    <row r="620" spans="1:13" x14ac:dyDescent="0.3">
      <c r="A620" s="1" t="s">
        <v>1717</v>
      </c>
      <c r="B620" s="1" t="s">
        <v>1192</v>
      </c>
      <c r="C620" s="1">
        <v>26</v>
      </c>
      <c r="D620" s="1" t="s">
        <v>15</v>
      </c>
      <c r="E620" s="1">
        <v>590000</v>
      </c>
      <c r="F620" s="7">
        <v>7.4999999999999997E-2</v>
      </c>
      <c r="G620" s="1">
        <v>36</v>
      </c>
      <c r="H620" s="1" t="s">
        <v>1718</v>
      </c>
      <c r="I620" s="8">
        <f t="shared" si="19"/>
        <v>18352.668714787298</v>
      </c>
      <c r="J620" s="8">
        <f t="shared" si="18"/>
        <v>660696.07373234269</v>
      </c>
      <c r="K620" s="1" t="s">
        <v>159</v>
      </c>
      <c r="L620" s="1">
        <v>575</v>
      </c>
      <c r="M620" s="1" t="s">
        <v>20</v>
      </c>
    </row>
    <row r="621" spans="1:13" x14ac:dyDescent="0.3">
      <c r="A621" s="1" t="s">
        <v>1719</v>
      </c>
      <c r="B621" s="1" t="s">
        <v>1648</v>
      </c>
      <c r="C621" s="1">
        <v>64</v>
      </c>
      <c r="D621" s="1" t="s">
        <v>15</v>
      </c>
      <c r="E621" s="1">
        <v>1540000</v>
      </c>
      <c r="F621" s="7">
        <v>8.5000000000000006E-2</v>
      </c>
      <c r="G621" s="1">
        <v>36</v>
      </c>
      <c r="H621" s="1" t="s">
        <v>1720</v>
      </c>
      <c r="I621" s="8">
        <f t="shared" si="19"/>
        <v>48614.007632278393</v>
      </c>
      <c r="J621" s="8">
        <f t="shared" si="18"/>
        <v>1750104.2747620221</v>
      </c>
      <c r="K621" s="1" t="s">
        <v>108</v>
      </c>
      <c r="L621" s="1">
        <v>775</v>
      </c>
      <c r="M621" s="1" t="s">
        <v>60</v>
      </c>
    </row>
    <row r="622" spans="1:13" x14ac:dyDescent="0.3">
      <c r="A622" s="1" t="s">
        <v>1721</v>
      </c>
      <c r="B622" s="1" t="s">
        <v>1722</v>
      </c>
      <c r="C622" s="1">
        <v>52</v>
      </c>
      <c r="D622" s="1" t="s">
        <v>15</v>
      </c>
      <c r="E622" s="1">
        <v>1580000</v>
      </c>
      <c r="F622" s="7">
        <v>0.13</v>
      </c>
      <c r="G622" s="1">
        <v>180</v>
      </c>
      <c r="H622" s="1" t="s">
        <v>1723</v>
      </c>
      <c r="I622" s="8">
        <f t="shared" si="19"/>
        <v>19990.826243007585</v>
      </c>
      <c r="J622" s="8">
        <f t="shared" si="18"/>
        <v>3598348.7237413651</v>
      </c>
      <c r="K622" s="1" t="s">
        <v>316</v>
      </c>
      <c r="L622" s="1">
        <v>834</v>
      </c>
      <c r="M622" s="1" t="s">
        <v>20</v>
      </c>
    </row>
    <row r="623" spans="1:13" x14ac:dyDescent="0.3">
      <c r="A623" s="1" t="s">
        <v>1724</v>
      </c>
      <c r="B623" s="1" t="s">
        <v>1725</v>
      </c>
      <c r="C623" s="1">
        <v>41</v>
      </c>
      <c r="D623" s="1" t="s">
        <v>23</v>
      </c>
      <c r="E623" s="1">
        <v>8250000</v>
      </c>
      <c r="F623" s="7">
        <v>0.125</v>
      </c>
      <c r="G623" s="1">
        <v>84</v>
      </c>
      <c r="H623" s="1" t="s">
        <v>38</v>
      </c>
      <c r="I623" s="8">
        <f t="shared" si="19"/>
        <v>147850.21701710013</v>
      </c>
      <c r="J623" s="8">
        <f t="shared" si="18"/>
        <v>12419418.229436411</v>
      </c>
      <c r="K623" s="1" t="s">
        <v>52</v>
      </c>
      <c r="L623" s="1">
        <v>553</v>
      </c>
      <c r="M623" s="1" t="s">
        <v>16</v>
      </c>
    </row>
    <row r="624" spans="1:13" x14ac:dyDescent="0.3">
      <c r="A624" s="1" t="s">
        <v>1726</v>
      </c>
      <c r="B624" s="1" t="s">
        <v>1727</v>
      </c>
      <c r="C624" s="1">
        <v>36</v>
      </c>
      <c r="D624" s="1" t="s">
        <v>32</v>
      </c>
      <c r="E624" s="1">
        <v>260000</v>
      </c>
      <c r="F624" s="7">
        <v>0.08</v>
      </c>
      <c r="G624" s="1">
        <v>12</v>
      </c>
      <c r="H624" s="1" t="s">
        <v>1728</v>
      </c>
      <c r="I624" s="8">
        <f t="shared" si="19"/>
        <v>22616.991562209474</v>
      </c>
      <c r="J624" s="8">
        <f t="shared" si="18"/>
        <v>271403.8987465137</v>
      </c>
      <c r="K624" s="1" t="s">
        <v>155</v>
      </c>
      <c r="L624" s="1">
        <v>648</v>
      </c>
      <c r="M624" s="1" t="s">
        <v>16</v>
      </c>
    </row>
    <row r="625" spans="1:13" x14ac:dyDescent="0.3">
      <c r="A625" s="1" t="s">
        <v>1729</v>
      </c>
      <c r="B625" s="1" t="s">
        <v>310</v>
      </c>
      <c r="C625" s="1">
        <v>41</v>
      </c>
      <c r="D625" s="1" t="s">
        <v>27</v>
      </c>
      <c r="E625" s="1">
        <v>130000</v>
      </c>
      <c r="F625" s="7">
        <v>0.08</v>
      </c>
      <c r="G625" s="1">
        <v>48</v>
      </c>
      <c r="H625" s="1" t="s">
        <v>1730</v>
      </c>
      <c r="I625" s="8">
        <f t="shared" si="19"/>
        <v>3173.6799043953229</v>
      </c>
      <c r="J625" s="8">
        <f t="shared" si="18"/>
        <v>152336.63541097549</v>
      </c>
      <c r="K625" s="1" t="s">
        <v>29</v>
      </c>
      <c r="L625" s="1">
        <v>588</v>
      </c>
      <c r="M625" s="1" t="s">
        <v>20</v>
      </c>
    </row>
    <row r="626" spans="1:13" x14ac:dyDescent="0.3">
      <c r="A626" s="1" t="s">
        <v>1731</v>
      </c>
      <c r="B626" s="1" t="s">
        <v>1732</v>
      </c>
      <c r="C626" s="1">
        <v>31</v>
      </c>
      <c r="D626" s="1" t="s">
        <v>18</v>
      </c>
      <c r="E626" s="1">
        <v>1750000</v>
      </c>
      <c r="F626" s="7">
        <v>0.125</v>
      </c>
      <c r="G626" s="1">
        <v>180</v>
      </c>
      <c r="H626" s="1" t="s">
        <v>1733</v>
      </c>
      <c r="I626" s="8">
        <f t="shared" si="19"/>
        <v>21569.136443634456</v>
      </c>
      <c r="J626" s="8">
        <f t="shared" si="18"/>
        <v>3882444.559854202</v>
      </c>
      <c r="K626" s="1" t="s">
        <v>52</v>
      </c>
      <c r="L626" s="1">
        <v>820</v>
      </c>
      <c r="M626" s="1" t="s">
        <v>20</v>
      </c>
    </row>
    <row r="627" spans="1:13" x14ac:dyDescent="0.3">
      <c r="A627" s="1" t="s">
        <v>1734</v>
      </c>
      <c r="B627" s="1" t="s">
        <v>330</v>
      </c>
      <c r="C627" s="1">
        <v>57</v>
      </c>
      <c r="D627" s="1" t="s">
        <v>42</v>
      </c>
      <c r="E627" s="1">
        <v>710000</v>
      </c>
      <c r="F627" s="7">
        <v>0.1</v>
      </c>
      <c r="G627" s="1">
        <v>48</v>
      </c>
      <c r="H627" s="1" t="s">
        <v>1323</v>
      </c>
      <c r="I627" s="8">
        <f t="shared" si="19"/>
        <v>18007.434238670503</v>
      </c>
      <c r="J627" s="8">
        <f t="shared" si="18"/>
        <v>864356.84345618414</v>
      </c>
      <c r="K627" s="1" t="s">
        <v>44</v>
      </c>
      <c r="L627" s="1">
        <v>834</v>
      </c>
      <c r="M627" s="1" t="s">
        <v>16</v>
      </c>
    </row>
    <row r="628" spans="1:13" x14ac:dyDescent="0.3">
      <c r="A628" s="1" t="s">
        <v>1735</v>
      </c>
      <c r="B628" s="1" t="s">
        <v>1736</v>
      </c>
      <c r="C628" s="1">
        <v>56</v>
      </c>
      <c r="D628" s="1" t="s">
        <v>37</v>
      </c>
      <c r="E628" s="1">
        <v>4270000</v>
      </c>
      <c r="F628" s="7">
        <v>0.115</v>
      </c>
      <c r="G628" s="1">
        <v>24</v>
      </c>
      <c r="H628" s="1" t="s">
        <v>1737</v>
      </c>
      <c r="I628" s="8">
        <f t="shared" si="19"/>
        <v>200008.14632536075</v>
      </c>
      <c r="J628" s="8">
        <f t="shared" si="18"/>
        <v>4800195.511808658</v>
      </c>
      <c r="K628" s="1" t="s">
        <v>249</v>
      </c>
      <c r="L628" s="1">
        <v>706</v>
      </c>
      <c r="M628" s="1" t="s">
        <v>16</v>
      </c>
    </row>
    <row r="629" spans="1:13" x14ac:dyDescent="0.3">
      <c r="A629" s="1" t="s">
        <v>1738</v>
      </c>
      <c r="B629" s="1" t="s">
        <v>1236</v>
      </c>
      <c r="C629" s="1">
        <v>55</v>
      </c>
      <c r="D629" s="1" t="s">
        <v>42</v>
      </c>
      <c r="E629" s="1">
        <v>1200000</v>
      </c>
      <c r="F629" s="7">
        <v>0.105</v>
      </c>
      <c r="G629" s="1">
        <v>60</v>
      </c>
      <c r="H629" s="1" t="s">
        <v>1739</v>
      </c>
      <c r="I629" s="8">
        <f t="shared" si="19"/>
        <v>25792.680453740952</v>
      </c>
      <c r="J629" s="8">
        <f t="shared" si="18"/>
        <v>1547560.8272244572</v>
      </c>
      <c r="K629" s="1" t="s">
        <v>29</v>
      </c>
      <c r="L629" s="1">
        <v>624</v>
      </c>
      <c r="M629" s="1" t="s">
        <v>20</v>
      </c>
    </row>
    <row r="630" spans="1:13" x14ac:dyDescent="0.3">
      <c r="A630" s="1" t="s">
        <v>1740</v>
      </c>
      <c r="B630" s="1" t="s">
        <v>1505</v>
      </c>
      <c r="C630" s="1">
        <v>39</v>
      </c>
      <c r="D630" s="1" t="s">
        <v>23</v>
      </c>
      <c r="E630" s="1">
        <v>7520000</v>
      </c>
      <c r="F630" s="7">
        <v>0.12</v>
      </c>
      <c r="G630" s="1">
        <v>84</v>
      </c>
      <c r="H630" s="1" t="s">
        <v>1741</v>
      </c>
      <c r="I630" s="8">
        <f t="shared" si="19"/>
        <v>132748.55063399512</v>
      </c>
      <c r="J630" s="8">
        <f t="shared" si="18"/>
        <v>11150878.253255591</v>
      </c>
      <c r="K630" s="1" t="s">
        <v>222</v>
      </c>
      <c r="L630" s="1">
        <v>837</v>
      </c>
      <c r="M630" s="1" t="s">
        <v>20</v>
      </c>
    </row>
    <row r="631" spans="1:13" x14ac:dyDescent="0.3">
      <c r="A631" s="1" t="s">
        <v>1742</v>
      </c>
      <c r="B631" s="1" t="s">
        <v>444</v>
      </c>
      <c r="C631" s="1">
        <v>40</v>
      </c>
      <c r="D631" s="1" t="s">
        <v>37</v>
      </c>
      <c r="E631" s="1">
        <v>540000</v>
      </c>
      <c r="F631" s="7">
        <v>0.09</v>
      </c>
      <c r="G631" s="1">
        <v>48</v>
      </c>
      <c r="H631" s="1" t="s">
        <v>1743</v>
      </c>
      <c r="I631" s="8">
        <f t="shared" si="19"/>
        <v>13437.922881924473</v>
      </c>
      <c r="J631" s="8">
        <f t="shared" si="18"/>
        <v>645020.29833237466</v>
      </c>
      <c r="K631" s="1" t="s">
        <v>104</v>
      </c>
      <c r="L631" s="1">
        <v>679</v>
      </c>
      <c r="M631" s="1" t="s">
        <v>16</v>
      </c>
    </row>
    <row r="632" spans="1:13" x14ac:dyDescent="0.3">
      <c r="A632" s="1" t="s">
        <v>1744</v>
      </c>
      <c r="B632" s="1" t="s">
        <v>1281</v>
      </c>
      <c r="C632" s="1">
        <v>38</v>
      </c>
      <c r="D632" s="1" t="s">
        <v>37</v>
      </c>
      <c r="E632" s="1">
        <v>2300000</v>
      </c>
      <c r="F632" s="7">
        <v>0.115</v>
      </c>
      <c r="G632" s="1">
        <v>12</v>
      </c>
      <c r="H632" s="1" t="s">
        <v>1745</v>
      </c>
      <c r="I632" s="8">
        <f t="shared" si="19"/>
        <v>203814.62389086475</v>
      </c>
      <c r="J632" s="8">
        <f t="shared" si="18"/>
        <v>2445775.4866903769</v>
      </c>
      <c r="K632" s="1" t="s">
        <v>56</v>
      </c>
      <c r="L632" s="1">
        <v>724</v>
      </c>
      <c r="M632" s="1" t="s">
        <v>16</v>
      </c>
    </row>
    <row r="633" spans="1:13" x14ac:dyDescent="0.3">
      <c r="A633" s="1" t="s">
        <v>1746</v>
      </c>
      <c r="B633" s="1" t="s">
        <v>1747</v>
      </c>
      <c r="C633" s="1">
        <v>61</v>
      </c>
      <c r="D633" s="1" t="s">
        <v>23</v>
      </c>
      <c r="E633" s="1">
        <v>4450000</v>
      </c>
      <c r="F633" s="7">
        <v>7.4999999999999997E-2</v>
      </c>
      <c r="G633" s="1">
        <v>48</v>
      </c>
      <c r="H633" s="1" t="s">
        <v>1748</v>
      </c>
      <c r="I633" s="8">
        <f t="shared" si="19"/>
        <v>107596.11362290398</v>
      </c>
      <c r="J633" s="8">
        <f t="shared" si="18"/>
        <v>5164613.453899391</v>
      </c>
      <c r="K633" s="1" t="s">
        <v>249</v>
      </c>
      <c r="L633" s="1">
        <v>633</v>
      </c>
      <c r="M633" s="1" t="s">
        <v>20</v>
      </c>
    </row>
    <row r="634" spans="1:13" x14ac:dyDescent="0.3">
      <c r="A634" s="1" t="s">
        <v>1749</v>
      </c>
      <c r="B634" s="1" t="s">
        <v>1750</v>
      </c>
      <c r="C634" s="1">
        <v>34</v>
      </c>
      <c r="D634" s="1" t="s">
        <v>27</v>
      </c>
      <c r="E634" s="1">
        <v>390000</v>
      </c>
      <c r="F634" s="7">
        <v>0.105</v>
      </c>
      <c r="G634" s="1">
        <v>240</v>
      </c>
      <c r="H634" s="1" t="s">
        <v>1751</v>
      </c>
      <c r="I634" s="8">
        <f t="shared" si="19"/>
        <v>3893.6815591810305</v>
      </c>
      <c r="J634" s="8">
        <f t="shared" si="18"/>
        <v>934483.57420344732</v>
      </c>
      <c r="K634" s="1" t="s">
        <v>34</v>
      </c>
      <c r="L634" s="1">
        <v>571</v>
      </c>
      <c r="M634" s="1" t="s">
        <v>16</v>
      </c>
    </row>
    <row r="635" spans="1:13" x14ac:dyDescent="0.3">
      <c r="A635" s="1" t="s">
        <v>1752</v>
      </c>
      <c r="B635" s="1" t="s">
        <v>564</v>
      </c>
      <c r="C635" s="1">
        <v>35</v>
      </c>
      <c r="D635" s="1" t="s">
        <v>37</v>
      </c>
      <c r="E635" s="1">
        <v>1020000</v>
      </c>
      <c r="F635" s="7">
        <v>0.115</v>
      </c>
      <c r="G635" s="1">
        <v>84</v>
      </c>
      <c r="H635" s="1" t="s">
        <v>1753</v>
      </c>
      <c r="I635" s="8">
        <f t="shared" si="19"/>
        <v>17734.190036644934</v>
      </c>
      <c r="J635" s="8">
        <f t="shared" si="18"/>
        <v>1489671.9630781745</v>
      </c>
      <c r="K635" s="1" t="s">
        <v>151</v>
      </c>
      <c r="L635" s="1">
        <v>576</v>
      </c>
      <c r="M635" s="1" t="s">
        <v>20</v>
      </c>
    </row>
    <row r="636" spans="1:13" x14ac:dyDescent="0.3">
      <c r="A636" s="1" t="s">
        <v>1754</v>
      </c>
      <c r="B636" s="1" t="s">
        <v>1727</v>
      </c>
      <c r="C636" s="1">
        <v>51</v>
      </c>
      <c r="D636" s="1" t="s">
        <v>27</v>
      </c>
      <c r="E636" s="1">
        <v>710000</v>
      </c>
      <c r="F636" s="7">
        <v>0.105</v>
      </c>
      <c r="G636" s="1">
        <v>120</v>
      </c>
      <c r="H636" s="1" t="s">
        <v>1470</v>
      </c>
      <c r="I636" s="8">
        <f t="shared" si="19"/>
        <v>9580.3847710638347</v>
      </c>
      <c r="J636" s="8">
        <f t="shared" si="18"/>
        <v>1149646.1725276602</v>
      </c>
      <c r="K636" s="1" t="s">
        <v>29</v>
      </c>
      <c r="L636" s="1">
        <v>744</v>
      </c>
      <c r="M636" s="1" t="s">
        <v>20</v>
      </c>
    </row>
    <row r="637" spans="1:13" x14ac:dyDescent="0.3">
      <c r="A637" s="1" t="s">
        <v>1755</v>
      </c>
      <c r="B637" s="1" t="s">
        <v>1695</v>
      </c>
      <c r="C637" s="1">
        <v>21</v>
      </c>
      <c r="D637" s="1" t="s">
        <v>23</v>
      </c>
      <c r="E637" s="1">
        <v>2710000</v>
      </c>
      <c r="F637" s="7">
        <v>0.115</v>
      </c>
      <c r="G637" s="1">
        <v>180</v>
      </c>
      <c r="H637" s="1" t="s">
        <v>1756</v>
      </c>
      <c r="I637" s="8">
        <f t="shared" si="19"/>
        <v>31657.943848506751</v>
      </c>
      <c r="J637" s="8">
        <f t="shared" si="18"/>
        <v>5698429.8927312149</v>
      </c>
      <c r="K637" s="1" t="s">
        <v>52</v>
      </c>
      <c r="L637" s="1">
        <v>886</v>
      </c>
      <c r="M637" s="1" t="s">
        <v>16</v>
      </c>
    </row>
    <row r="638" spans="1:13" x14ac:dyDescent="0.3">
      <c r="A638" s="1" t="s">
        <v>1757</v>
      </c>
      <c r="B638" s="1" t="s">
        <v>1758</v>
      </c>
      <c r="C638" s="1">
        <v>23</v>
      </c>
      <c r="D638" s="1" t="s">
        <v>42</v>
      </c>
      <c r="E638" s="1">
        <v>1430000</v>
      </c>
      <c r="F638" s="7">
        <v>0.125</v>
      </c>
      <c r="G638" s="1">
        <v>180</v>
      </c>
      <c r="H638" s="1" t="s">
        <v>1759</v>
      </c>
      <c r="I638" s="8">
        <f t="shared" si="19"/>
        <v>17625.065779655582</v>
      </c>
      <c r="J638" s="8">
        <f t="shared" si="18"/>
        <v>3172511.8403380048</v>
      </c>
      <c r="K638" s="1" t="s">
        <v>222</v>
      </c>
      <c r="L638" s="1">
        <v>785</v>
      </c>
      <c r="M638" s="1" t="s">
        <v>312</v>
      </c>
    </row>
    <row r="639" spans="1:13" x14ac:dyDescent="0.3">
      <c r="A639" s="1" t="s">
        <v>1760</v>
      </c>
      <c r="B639" s="1" t="s">
        <v>1682</v>
      </c>
      <c r="C639" s="1">
        <v>36</v>
      </c>
      <c r="D639" s="1" t="s">
        <v>37</v>
      </c>
      <c r="E639" s="1">
        <v>2070000</v>
      </c>
      <c r="F639" s="7">
        <v>0.11</v>
      </c>
      <c r="G639" s="1">
        <v>12</v>
      </c>
      <c r="H639" s="1" t="s">
        <v>1761</v>
      </c>
      <c r="I639" s="8">
        <f t="shared" si="19"/>
        <v>182950.03313972033</v>
      </c>
      <c r="J639" s="8">
        <f t="shared" si="18"/>
        <v>2195400.3976766439</v>
      </c>
      <c r="K639" s="1" t="s">
        <v>136</v>
      </c>
      <c r="L639" s="1">
        <v>641</v>
      </c>
      <c r="M639" s="1" t="s">
        <v>16</v>
      </c>
    </row>
    <row r="640" spans="1:13" x14ac:dyDescent="0.3">
      <c r="A640" s="1" t="s">
        <v>1762</v>
      </c>
      <c r="B640" s="1" t="s">
        <v>546</v>
      </c>
      <c r="C640" s="1">
        <v>43</v>
      </c>
      <c r="D640" s="1" t="s">
        <v>32</v>
      </c>
      <c r="E640" s="1">
        <v>240000</v>
      </c>
      <c r="F640" s="7">
        <v>0.12</v>
      </c>
      <c r="G640" s="1">
        <v>12</v>
      </c>
      <c r="H640" s="1" t="s">
        <v>721</v>
      </c>
      <c r="I640" s="8">
        <f t="shared" si="19"/>
        <v>21323.709282802003</v>
      </c>
      <c r="J640" s="8">
        <f t="shared" si="18"/>
        <v>255884.51139362404</v>
      </c>
      <c r="K640" s="1" t="s">
        <v>226</v>
      </c>
      <c r="L640" s="1">
        <v>570</v>
      </c>
      <c r="M640" s="1" t="s">
        <v>16</v>
      </c>
    </row>
    <row r="641" spans="1:13" x14ac:dyDescent="0.3">
      <c r="A641" s="1" t="s">
        <v>1763</v>
      </c>
      <c r="B641" s="1" t="s">
        <v>1764</v>
      </c>
      <c r="C641" s="1">
        <v>31</v>
      </c>
      <c r="D641" s="1" t="s">
        <v>18</v>
      </c>
      <c r="E641" s="1">
        <v>880000</v>
      </c>
      <c r="F641" s="7">
        <v>0.09</v>
      </c>
      <c r="G641" s="1">
        <v>84</v>
      </c>
      <c r="H641" s="1" t="s">
        <v>1765</v>
      </c>
      <c r="I641" s="8">
        <f t="shared" si="19"/>
        <v>14158.388868833925</v>
      </c>
      <c r="J641" s="8">
        <f t="shared" si="18"/>
        <v>1189304.6649820497</v>
      </c>
      <c r="K641" s="1" t="s">
        <v>90</v>
      </c>
      <c r="L641" s="1">
        <v>852</v>
      </c>
      <c r="M641" s="1" t="s">
        <v>20</v>
      </c>
    </row>
    <row r="642" spans="1:13" x14ac:dyDescent="0.3">
      <c r="A642" s="1" t="s">
        <v>1766</v>
      </c>
      <c r="B642" s="1" t="s">
        <v>1767</v>
      </c>
      <c r="C642" s="1">
        <v>32</v>
      </c>
      <c r="D642" s="1" t="s">
        <v>27</v>
      </c>
      <c r="E642" s="1">
        <v>310000</v>
      </c>
      <c r="F642" s="7">
        <v>0.11</v>
      </c>
      <c r="G642" s="1">
        <v>24</v>
      </c>
      <c r="H642" s="1" t="s">
        <v>1768</v>
      </c>
      <c r="I642" s="8">
        <f t="shared" si="19"/>
        <v>14448.42984092277</v>
      </c>
      <c r="J642" s="8">
        <f t="shared" si="18"/>
        <v>346762.31618214649</v>
      </c>
      <c r="K642" s="1" t="s">
        <v>249</v>
      </c>
      <c r="L642" s="1">
        <v>633</v>
      </c>
      <c r="M642" s="1" t="s">
        <v>16</v>
      </c>
    </row>
    <row r="643" spans="1:13" x14ac:dyDescent="0.3">
      <c r="A643" s="1" t="s">
        <v>1769</v>
      </c>
      <c r="B643" s="1" t="s">
        <v>1018</v>
      </c>
      <c r="C643" s="1">
        <v>30</v>
      </c>
      <c r="D643" s="1" t="s">
        <v>37</v>
      </c>
      <c r="E643" s="1">
        <v>4340000</v>
      </c>
      <c r="F643" s="7">
        <v>9.5000000000000001E-2</v>
      </c>
      <c r="G643" s="1">
        <v>240</v>
      </c>
      <c r="H643" s="1" t="s">
        <v>1770</v>
      </c>
      <c r="I643" s="8">
        <f t="shared" si="19"/>
        <v>40454.49355197468</v>
      </c>
      <c r="J643" s="8">
        <f t="shared" si="18"/>
        <v>9709078.4524739236</v>
      </c>
      <c r="K643" s="1" t="s">
        <v>21</v>
      </c>
      <c r="L643" s="1">
        <v>811</v>
      </c>
      <c r="M643" s="1" t="s">
        <v>16</v>
      </c>
    </row>
    <row r="644" spans="1:13" x14ac:dyDescent="0.3">
      <c r="A644" s="1" t="s">
        <v>1771</v>
      </c>
      <c r="B644" s="1" t="s">
        <v>587</v>
      </c>
      <c r="C644" s="1">
        <v>52</v>
      </c>
      <c r="D644" s="1" t="s">
        <v>27</v>
      </c>
      <c r="E644" s="1">
        <v>220000</v>
      </c>
      <c r="F644" s="7">
        <v>0.08</v>
      </c>
      <c r="G644" s="1">
        <v>60</v>
      </c>
      <c r="H644" s="1" t="s">
        <v>1772</v>
      </c>
      <c r="I644" s="8">
        <f t="shared" si="19"/>
        <v>4460.8067434510094</v>
      </c>
      <c r="J644" s="8">
        <f t="shared" ref="J644:J707" si="20">(I644*G644)</f>
        <v>267648.40460706054</v>
      </c>
      <c r="K644" s="1" t="s">
        <v>119</v>
      </c>
      <c r="L644" s="1">
        <v>696</v>
      </c>
      <c r="M644" s="1" t="s">
        <v>20</v>
      </c>
    </row>
    <row r="645" spans="1:13" x14ac:dyDescent="0.3">
      <c r="A645" s="1" t="s">
        <v>1773</v>
      </c>
      <c r="B645" s="1" t="s">
        <v>959</v>
      </c>
      <c r="C645" s="1">
        <v>36</v>
      </c>
      <c r="D645" s="1" t="s">
        <v>37</v>
      </c>
      <c r="E645" s="1">
        <v>2700000</v>
      </c>
      <c r="F645" s="7">
        <v>0.105</v>
      </c>
      <c r="G645" s="1">
        <v>60</v>
      </c>
      <c r="H645" s="1" t="s">
        <v>1774</v>
      </c>
      <c r="I645" s="8">
        <f t="shared" ref="I645:I708" si="21">PMT(F645/12,G645, -E645)</f>
        <v>58033.531020917144</v>
      </c>
      <c r="J645" s="8">
        <f t="shared" si="20"/>
        <v>3482011.8612550288</v>
      </c>
      <c r="K645" s="1" t="s">
        <v>212</v>
      </c>
      <c r="L645" s="1">
        <v>806</v>
      </c>
      <c r="M645" s="1" t="s">
        <v>20</v>
      </c>
    </row>
    <row r="646" spans="1:13" x14ac:dyDescent="0.3">
      <c r="A646" s="1" t="s">
        <v>1775</v>
      </c>
      <c r="B646" s="1" t="s">
        <v>1776</v>
      </c>
      <c r="C646" s="1">
        <v>28</v>
      </c>
      <c r="D646" s="1" t="s">
        <v>18</v>
      </c>
      <c r="E646" s="1">
        <v>1610000</v>
      </c>
      <c r="F646" s="7">
        <v>0.13</v>
      </c>
      <c r="G646" s="1">
        <v>240</v>
      </c>
      <c r="H646" s="1" t="s">
        <v>1777</v>
      </c>
      <c r="I646" s="8">
        <f t="shared" si="21"/>
        <v>18862.368951580687</v>
      </c>
      <c r="J646" s="8">
        <f t="shared" si="20"/>
        <v>4526968.5483793654</v>
      </c>
      <c r="K646" s="1" t="s">
        <v>143</v>
      </c>
      <c r="L646" s="1">
        <v>607</v>
      </c>
      <c r="M646" s="1" t="s">
        <v>16</v>
      </c>
    </row>
    <row r="647" spans="1:13" x14ac:dyDescent="0.3">
      <c r="A647" s="1" t="s">
        <v>1778</v>
      </c>
      <c r="B647" s="1" t="s">
        <v>80</v>
      </c>
      <c r="C647" s="1">
        <v>58</v>
      </c>
      <c r="D647" s="1" t="s">
        <v>37</v>
      </c>
      <c r="E647" s="1">
        <v>4610000</v>
      </c>
      <c r="F647" s="7">
        <v>7.4999999999999997E-2</v>
      </c>
      <c r="G647" s="1">
        <v>36</v>
      </c>
      <c r="H647" s="1" t="s">
        <v>1779</v>
      </c>
      <c r="I647" s="8">
        <f t="shared" si="21"/>
        <v>143399.66572062616</v>
      </c>
      <c r="J647" s="8">
        <f t="shared" si="20"/>
        <v>5162387.9659425421</v>
      </c>
      <c r="K647" s="1" t="s">
        <v>205</v>
      </c>
      <c r="L647" s="1">
        <v>564</v>
      </c>
      <c r="M647" s="1" t="s">
        <v>20</v>
      </c>
    </row>
    <row r="648" spans="1:13" x14ac:dyDescent="0.3">
      <c r="A648" s="1" t="s">
        <v>1780</v>
      </c>
      <c r="B648" s="1" t="s">
        <v>1781</v>
      </c>
      <c r="C648" s="1">
        <v>32</v>
      </c>
      <c r="D648" s="1" t="s">
        <v>37</v>
      </c>
      <c r="E648" s="1">
        <v>4930000</v>
      </c>
      <c r="F648" s="7">
        <v>0.115</v>
      </c>
      <c r="G648" s="1">
        <v>120</v>
      </c>
      <c r="H648" s="1" t="s">
        <v>1317</v>
      </c>
      <c r="I648" s="8">
        <f t="shared" si="21"/>
        <v>69313.553881637286</v>
      </c>
      <c r="J648" s="8">
        <f t="shared" si="20"/>
        <v>8317626.4657964744</v>
      </c>
      <c r="K648" s="1" t="s">
        <v>56</v>
      </c>
      <c r="L648" s="1">
        <v>711</v>
      </c>
      <c r="M648" s="1" t="s">
        <v>60</v>
      </c>
    </row>
    <row r="649" spans="1:13" x14ac:dyDescent="0.3">
      <c r="A649" s="1" t="s">
        <v>1782</v>
      </c>
      <c r="B649" s="1" t="s">
        <v>931</v>
      </c>
      <c r="C649" s="1">
        <v>44</v>
      </c>
      <c r="D649" s="1" t="s">
        <v>42</v>
      </c>
      <c r="E649" s="1">
        <v>960000</v>
      </c>
      <c r="F649" s="7">
        <v>0.12</v>
      </c>
      <c r="G649" s="1">
        <v>120</v>
      </c>
      <c r="H649" s="1" t="s">
        <v>632</v>
      </c>
      <c r="I649" s="8">
        <f t="shared" si="21"/>
        <v>13773.211046648386</v>
      </c>
      <c r="J649" s="8">
        <f t="shared" si="20"/>
        <v>1652785.3255978064</v>
      </c>
      <c r="K649" s="1" t="s">
        <v>132</v>
      </c>
      <c r="L649" s="1">
        <v>712</v>
      </c>
      <c r="M649" s="1" t="s">
        <v>16</v>
      </c>
    </row>
    <row r="650" spans="1:13" x14ac:dyDescent="0.3">
      <c r="A650" s="1" t="s">
        <v>1783</v>
      </c>
      <c r="B650" s="1" t="s">
        <v>1784</v>
      </c>
      <c r="C650" s="1">
        <v>48</v>
      </c>
      <c r="D650" s="1" t="s">
        <v>32</v>
      </c>
      <c r="E650" s="1">
        <v>360000</v>
      </c>
      <c r="F650" s="7">
        <v>0.115</v>
      </c>
      <c r="G650" s="1">
        <v>84</v>
      </c>
      <c r="H650" s="1" t="s">
        <v>1785</v>
      </c>
      <c r="I650" s="8">
        <f t="shared" si="21"/>
        <v>6259.1258952864473</v>
      </c>
      <c r="J650" s="8">
        <f t="shared" si="20"/>
        <v>525766.57520406158</v>
      </c>
      <c r="K650" s="1" t="s">
        <v>68</v>
      </c>
      <c r="L650" s="1">
        <v>869</v>
      </c>
      <c r="M650" s="1" t="s">
        <v>20</v>
      </c>
    </row>
    <row r="651" spans="1:13" x14ac:dyDescent="0.3">
      <c r="A651" s="1" t="s">
        <v>1786</v>
      </c>
      <c r="B651" s="1" t="s">
        <v>1787</v>
      </c>
      <c r="C651" s="1">
        <v>28</v>
      </c>
      <c r="D651" s="1" t="s">
        <v>37</v>
      </c>
      <c r="E651" s="1">
        <v>3760000</v>
      </c>
      <c r="F651" s="7">
        <v>0.12</v>
      </c>
      <c r="G651" s="1">
        <v>24</v>
      </c>
      <c r="H651" s="1" t="s">
        <v>415</v>
      </c>
      <c r="I651" s="8">
        <f t="shared" si="21"/>
        <v>176996.25555947528</v>
      </c>
      <c r="J651" s="8">
        <f t="shared" si="20"/>
        <v>4247910.1334274067</v>
      </c>
      <c r="K651" s="1" t="s">
        <v>191</v>
      </c>
      <c r="L651" s="1">
        <v>830</v>
      </c>
      <c r="M651" s="1" t="s">
        <v>60</v>
      </c>
    </row>
    <row r="652" spans="1:13" x14ac:dyDescent="0.3">
      <c r="A652" s="1" t="s">
        <v>1788</v>
      </c>
      <c r="B652" s="1" t="s">
        <v>1789</v>
      </c>
      <c r="C652" s="1">
        <v>48</v>
      </c>
      <c r="D652" s="1" t="s">
        <v>27</v>
      </c>
      <c r="E652" s="1">
        <v>740000</v>
      </c>
      <c r="F652" s="7">
        <v>0.125</v>
      </c>
      <c r="G652" s="1">
        <v>240</v>
      </c>
      <c r="H652" s="1" t="s">
        <v>1790</v>
      </c>
      <c r="I652" s="8">
        <f t="shared" si="21"/>
        <v>8407.4400678863331</v>
      </c>
      <c r="J652" s="8">
        <f t="shared" si="20"/>
        <v>2017785.61629272</v>
      </c>
      <c r="K652" s="1" t="s">
        <v>90</v>
      </c>
      <c r="L652" s="1">
        <v>829</v>
      </c>
      <c r="M652" s="1" t="s">
        <v>16</v>
      </c>
    </row>
    <row r="653" spans="1:13" x14ac:dyDescent="0.3">
      <c r="A653" s="1" t="s">
        <v>1791</v>
      </c>
      <c r="B653" s="1" t="s">
        <v>720</v>
      </c>
      <c r="C653" s="1">
        <v>56</v>
      </c>
      <c r="D653" s="1" t="s">
        <v>42</v>
      </c>
      <c r="E653" s="1">
        <v>1120000</v>
      </c>
      <c r="F653" s="7">
        <v>0.12</v>
      </c>
      <c r="G653" s="1">
        <v>60</v>
      </c>
      <c r="H653" s="1" t="s">
        <v>1792</v>
      </c>
      <c r="I653" s="8">
        <f t="shared" si="21"/>
        <v>24913.781407089984</v>
      </c>
      <c r="J653" s="8">
        <f t="shared" si="20"/>
        <v>1494826.8844253991</v>
      </c>
      <c r="K653" s="1" t="s">
        <v>191</v>
      </c>
      <c r="L653" s="1">
        <v>561</v>
      </c>
      <c r="M653" s="1" t="s">
        <v>16</v>
      </c>
    </row>
    <row r="654" spans="1:13" x14ac:dyDescent="0.3">
      <c r="A654" s="1" t="s">
        <v>1793</v>
      </c>
      <c r="B654" s="1" t="s">
        <v>1794</v>
      </c>
      <c r="C654" s="1">
        <v>46</v>
      </c>
      <c r="D654" s="1" t="s">
        <v>18</v>
      </c>
      <c r="E654" s="1">
        <v>1430000</v>
      </c>
      <c r="F654" s="7">
        <v>8.5000000000000006E-2</v>
      </c>
      <c r="G654" s="1">
        <v>120</v>
      </c>
      <c r="H654" s="1" t="s">
        <v>1795</v>
      </c>
      <c r="I654" s="8">
        <f t="shared" si="21"/>
        <v>17729.953509055089</v>
      </c>
      <c r="J654" s="8">
        <f t="shared" si="20"/>
        <v>2127594.4210866108</v>
      </c>
      <c r="K654" s="1" t="s">
        <v>48</v>
      </c>
      <c r="L654" s="1">
        <v>823</v>
      </c>
      <c r="M654" s="1" t="s">
        <v>20</v>
      </c>
    </row>
    <row r="655" spans="1:13" x14ac:dyDescent="0.3">
      <c r="A655" s="1" t="s">
        <v>1796</v>
      </c>
      <c r="B655" s="1" t="s">
        <v>1797</v>
      </c>
      <c r="C655" s="1">
        <v>28</v>
      </c>
      <c r="D655" s="1" t="s">
        <v>15</v>
      </c>
      <c r="E655" s="1">
        <v>440000</v>
      </c>
      <c r="F655" s="7">
        <v>0.08</v>
      </c>
      <c r="G655" s="1">
        <v>48</v>
      </c>
      <c r="H655" s="1" t="s">
        <v>1798</v>
      </c>
      <c r="I655" s="8">
        <f t="shared" si="21"/>
        <v>10741.685830261093</v>
      </c>
      <c r="J655" s="8">
        <f t="shared" si="20"/>
        <v>515600.91985253245</v>
      </c>
      <c r="K655" s="1" t="s">
        <v>143</v>
      </c>
      <c r="L655" s="1">
        <v>820</v>
      </c>
      <c r="M655" s="1" t="s">
        <v>16</v>
      </c>
    </row>
    <row r="656" spans="1:13" x14ac:dyDescent="0.3">
      <c r="A656" s="1" t="s">
        <v>1799</v>
      </c>
      <c r="B656" s="1" t="s">
        <v>1800</v>
      </c>
      <c r="C656" s="1">
        <v>48</v>
      </c>
      <c r="D656" s="1" t="s">
        <v>27</v>
      </c>
      <c r="E656" s="1">
        <v>460000</v>
      </c>
      <c r="F656" s="7">
        <v>0.11</v>
      </c>
      <c r="G656" s="1">
        <v>240</v>
      </c>
      <c r="H656" s="1" t="s">
        <v>1733</v>
      </c>
      <c r="I656" s="8">
        <f t="shared" si="21"/>
        <v>4748.0666049298607</v>
      </c>
      <c r="J656" s="8">
        <f t="shared" si="20"/>
        <v>1139535.9851831666</v>
      </c>
      <c r="K656" s="1" t="s">
        <v>136</v>
      </c>
      <c r="L656" s="1">
        <v>757</v>
      </c>
      <c r="M656" s="1" t="s">
        <v>60</v>
      </c>
    </row>
    <row r="657" spans="1:13" x14ac:dyDescent="0.3">
      <c r="A657" s="1" t="s">
        <v>1801</v>
      </c>
      <c r="B657" s="1" t="s">
        <v>567</v>
      </c>
      <c r="C657" s="1">
        <v>48</v>
      </c>
      <c r="D657" s="1" t="s">
        <v>27</v>
      </c>
      <c r="E657" s="1">
        <v>470000</v>
      </c>
      <c r="F657" s="7">
        <v>8.5000000000000006E-2</v>
      </c>
      <c r="G657" s="1">
        <v>120</v>
      </c>
      <c r="H657" s="1" t="s">
        <v>1802</v>
      </c>
      <c r="I657" s="8">
        <f t="shared" si="21"/>
        <v>5827.3273771020231</v>
      </c>
      <c r="J657" s="8">
        <f t="shared" si="20"/>
        <v>699279.28525224281</v>
      </c>
      <c r="K657" s="1" t="s">
        <v>151</v>
      </c>
      <c r="L657" s="1">
        <v>576</v>
      </c>
      <c r="M657" s="1" t="s">
        <v>16</v>
      </c>
    </row>
    <row r="658" spans="1:13" x14ac:dyDescent="0.3">
      <c r="A658" s="1" t="s">
        <v>1803</v>
      </c>
      <c r="B658" s="1" t="s">
        <v>937</v>
      </c>
      <c r="C658" s="1">
        <v>57</v>
      </c>
      <c r="D658" s="1" t="s">
        <v>32</v>
      </c>
      <c r="E658" s="1">
        <v>490000</v>
      </c>
      <c r="F658" s="7">
        <v>8.5000000000000006E-2</v>
      </c>
      <c r="G658" s="1">
        <v>84</v>
      </c>
      <c r="H658" s="1" t="s">
        <v>1804</v>
      </c>
      <c r="I658" s="8">
        <f t="shared" si="21"/>
        <v>7759.8778641989402</v>
      </c>
      <c r="J658" s="8">
        <f t="shared" si="20"/>
        <v>651829.74059271102</v>
      </c>
      <c r="K658" s="1" t="s">
        <v>39</v>
      </c>
      <c r="L658" s="1">
        <v>621</v>
      </c>
      <c r="M658" s="1" t="s">
        <v>20</v>
      </c>
    </row>
    <row r="659" spans="1:13" x14ac:dyDescent="0.3">
      <c r="A659" s="1" t="s">
        <v>1805</v>
      </c>
      <c r="B659" s="1" t="s">
        <v>272</v>
      </c>
      <c r="C659" s="1">
        <v>61</v>
      </c>
      <c r="D659" s="1" t="s">
        <v>15</v>
      </c>
      <c r="E659" s="1">
        <v>1160000</v>
      </c>
      <c r="F659" s="7">
        <v>0.09</v>
      </c>
      <c r="G659" s="1">
        <v>84</v>
      </c>
      <c r="H659" s="1" t="s">
        <v>1806</v>
      </c>
      <c r="I659" s="8">
        <f t="shared" si="21"/>
        <v>18663.330781644716</v>
      </c>
      <c r="J659" s="8">
        <f t="shared" si="20"/>
        <v>1567719.785658156</v>
      </c>
      <c r="K659" s="1" t="s">
        <v>90</v>
      </c>
      <c r="L659" s="1">
        <v>609</v>
      </c>
      <c r="M659" s="1" t="s">
        <v>16</v>
      </c>
    </row>
    <row r="660" spans="1:13" x14ac:dyDescent="0.3">
      <c r="A660" s="1" t="s">
        <v>1807</v>
      </c>
      <c r="B660" s="1" t="s">
        <v>934</v>
      </c>
      <c r="C660" s="1">
        <v>56</v>
      </c>
      <c r="D660" s="1" t="s">
        <v>42</v>
      </c>
      <c r="E660" s="1">
        <v>660000</v>
      </c>
      <c r="F660" s="7">
        <v>0.09</v>
      </c>
      <c r="G660" s="1">
        <v>180</v>
      </c>
      <c r="H660" s="1" t="s">
        <v>1808</v>
      </c>
      <c r="I660" s="8">
        <f t="shared" si="21"/>
        <v>6694.1594554677804</v>
      </c>
      <c r="J660" s="8">
        <f t="shared" si="20"/>
        <v>1204948.7019842004</v>
      </c>
      <c r="K660" s="1" t="s">
        <v>64</v>
      </c>
      <c r="L660" s="1">
        <v>694</v>
      </c>
      <c r="M660" s="1" t="s">
        <v>16</v>
      </c>
    </row>
    <row r="661" spans="1:13" x14ac:dyDescent="0.3">
      <c r="A661" s="1" t="s">
        <v>1809</v>
      </c>
      <c r="B661" s="1" t="s">
        <v>1810</v>
      </c>
      <c r="C661" s="1">
        <v>47</v>
      </c>
      <c r="D661" s="1" t="s">
        <v>37</v>
      </c>
      <c r="E661" s="1">
        <v>3000000</v>
      </c>
      <c r="F661" s="7">
        <v>8.5000000000000006E-2</v>
      </c>
      <c r="G661" s="1">
        <v>180</v>
      </c>
      <c r="H661" s="1" t="s">
        <v>1811</v>
      </c>
      <c r="I661" s="8">
        <f t="shared" si="21"/>
        <v>29542.186737767799</v>
      </c>
      <c r="J661" s="8">
        <f t="shared" si="20"/>
        <v>5317593.6127982037</v>
      </c>
      <c r="K661" s="1" t="s">
        <v>159</v>
      </c>
      <c r="L661" s="1">
        <v>642</v>
      </c>
      <c r="M661" s="1" t="s">
        <v>16</v>
      </c>
    </row>
    <row r="662" spans="1:13" x14ac:dyDescent="0.3">
      <c r="A662" s="1" t="s">
        <v>1812</v>
      </c>
      <c r="B662" s="1" t="s">
        <v>70</v>
      </c>
      <c r="C662" s="1">
        <v>37</v>
      </c>
      <c r="D662" s="1" t="s">
        <v>27</v>
      </c>
      <c r="E662" s="1">
        <v>740000</v>
      </c>
      <c r="F662" s="7">
        <v>7.4999999999999997E-2</v>
      </c>
      <c r="G662" s="1">
        <v>12</v>
      </c>
      <c r="H662" s="1" t="s">
        <v>1063</v>
      </c>
      <c r="I662" s="8">
        <f t="shared" si="21"/>
        <v>64200.488495201331</v>
      </c>
      <c r="J662" s="8">
        <f t="shared" si="20"/>
        <v>770405.86194241594</v>
      </c>
      <c r="K662" s="1" t="s">
        <v>132</v>
      </c>
      <c r="L662" s="1">
        <v>858</v>
      </c>
      <c r="M662" s="1" t="s">
        <v>16</v>
      </c>
    </row>
    <row r="663" spans="1:13" x14ac:dyDescent="0.3">
      <c r="A663" s="1" t="s">
        <v>1813</v>
      </c>
      <c r="B663" s="1" t="s">
        <v>1814</v>
      </c>
      <c r="C663" s="1">
        <v>29</v>
      </c>
      <c r="D663" s="1" t="s">
        <v>18</v>
      </c>
      <c r="E663" s="1">
        <v>1440000</v>
      </c>
      <c r="F663" s="7">
        <v>0.105</v>
      </c>
      <c r="G663" s="1">
        <v>240</v>
      </c>
      <c r="H663" s="1" t="s">
        <v>325</v>
      </c>
      <c r="I663" s="8">
        <f t="shared" si="21"/>
        <v>14376.670372360728</v>
      </c>
      <c r="J663" s="8">
        <f t="shared" si="20"/>
        <v>3450400.8893665746</v>
      </c>
      <c r="K663" s="1" t="s">
        <v>201</v>
      </c>
      <c r="L663" s="1">
        <v>557</v>
      </c>
      <c r="M663" s="1" t="s">
        <v>20</v>
      </c>
    </row>
    <row r="664" spans="1:13" x14ac:dyDescent="0.3">
      <c r="A664" s="1" t="s">
        <v>1815</v>
      </c>
      <c r="B664" s="1" t="s">
        <v>1816</v>
      </c>
      <c r="C664" s="1">
        <v>53</v>
      </c>
      <c r="D664" s="1" t="s">
        <v>32</v>
      </c>
      <c r="E664" s="1">
        <v>90000</v>
      </c>
      <c r="F664" s="7">
        <v>0.08</v>
      </c>
      <c r="G664" s="1">
        <v>36</v>
      </c>
      <c r="H664" s="1" t="s">
        <v>1817</v>
      </c>
      <c r="I664" s="8">
        <f t="shared" si="21"/>
        <v>2820.2728915287767</v>
      </c>
      <c r="J664" s="8">
        <f t="shared" si="20"/>
        <v>101529.82409503596</v>
      </c>
      <c r="K664" s="1" t="s">
        <v>191</v>
      </c>
      <c r="L664" s="1">
        <v>628</v>
      </c>
      <c r="M664" s="1" t="s">
        <v>16</v>
      </c>
    </row>
    <row r="665" spans="1:13" x14ac:dyDescent="0.3">
      <c r="A665" s="1" t="s">
        <v>1818</v>
      </c>
      <c r="B665" s="1" t="s">
        <v>956</v>
      </c>
      <c r="C665" s="1">
        <v>40</v>
      </c>
      <c r="D665" s="1" t="s">
        <v>18</v>
      </c>
      <c r="E665" s="1">
        <v>1610000</v>
      </c>
      <c r="F665" s="7">
        <v>0.125</v>
      </c>
      <c r="G665" s="1">
        <v>180</v>
      </c>
      <c r="H665" s="1" t="s">
        <v>1779</v>
      </c>
      <c r="I665" s="8">
        <f t="shared" si="21"/>
        <v>19843.6055281437</v>
      </c>
      <c r="J665" s="8">
        <f t="shared" si="20"/>
        <v>3571848.995065866</v>
      </c>
      <c r="K665" s="1" t="s">
        <v>151</v>
      </c>
      <c r="L665" s="1">
        <v>576</v>
      </c>
      <c r="M665" s="1" t="s">
        <v>16</v>
      </c>
    </row>
    <row r="666" spans="1:13" x14ac:dyDescent="0.3">
      <c r="A666" s="1" t="s">
        <v>1819</v>
      </c>
      <c r="B666" s="1" t="s">
        <v>1820</v>
      </c>
      <c r="C666" s="1">
        <v>33</v>
      </c>
      <c r="D666" s="1" t="s">
        <v>32</v>
      </c>
      <c r="E666" s="1">
        <v>120000</v>
      </c>
      <c r="F666" s="7">
        <v>0.105</v>
      </c>
      <c r="G666" s="1">
        <v>36</v>
      </c>
      <c r="H666" s="1" t="s">
        <v>28</v>
      </c>
      <c r="I666" s="8">
        <f t="shared" si="21"/>
        <v>3900.2932205624315</v>
      </c>
      <c r="J666" s="8">
        <f t="shared" si="20"/>
        <v>140410.55594024755</v>
      </c>
      <c r="K666" s="1" t="s">
        <v>34</v>
      </c>
      <c r="L666" s="1">
        <v>723</v>
      </c>
      <c r="M666" s="1" t="s">
        <v>20</v>
      </c>
    </row>
    <row r="667" spans="1:13" x14ac:dyDescent="0.3">
      <c r="A667" s="1" t="s">
        <v>1821</v>
      </c>
      <c r="B667" s="1" t="s">
        <v>1822</v>
      </c>
      <c r="C667" s="1">
        <v>48</v>
      </c>
      <c r="D667" s="1" t="s">
        <v>32</v>
      </c>
      <c r="E667" s="1">
        <v>210000</v>
      </c>
      <c r="F667" s="7">
        <v>0.09</v>
      </c>
      <c r="G667" s="1">
        <v>48</v>
      </c>
      <c r="H667" s="1" t="s">
        <v>1823</v>
      </c>
      <c r="I667" s="8">
        <f t="shared" si="21"/>
        <v>5225.8588985261831</v>
      </c>
      <c r="J667" s="8">
        <f t="shared" si="20"/>
        <v>250841.22712925679</v>
      </c>
      <c r="K667" s="1" t="s">
        <v>64</v>
      </c>
      <c r="L667" s="1">
        <v>599</v>
      </c>
      <c r="M667" s="1" t="s">
        <v>20</v>
      </c>
    </row>
    <row r="668" spans="1:13" x14ac:dyDescent="0.3">
      <c r="A668" s="1" t="s">
        <v>1824</v>
      </c>
      <c r="B668" s="1" t="s">
        <v>1825</v>
      </c>
      <c r="C668" s="1">
        <v>49</v>
      </c>
      <c r="D668" s="1" t="s">
        <v>15</v>
      </c>
      <c r="E668" s="1">
        <v>450000</v>
      </c>
      <c r="F668" s="7">
        <v>0.125</v>
      </c>
      <c r="G668" s="1">
        <v>24</v>
      </c>
      <c r="H668" s="1" t="s">
        <v>1826</v>
      </c>
      <c r="I668" s="8">
        <f t="shared" si="21"/>
        <v>21288.288705974781</v>
      </c>
      <c r="J668" s="8">
        <f t="shared" si="20"/>
        <v>510918.92894339474</v>
      </c>
      <c r="K668" s="1" t="s">
        <v>68</v>
      </c>
      <c r="L668" s="1">
        <v>748</v>
      </c>
      <c r="M668" s="1" t="s">
        <v>16</v>
      </c>
    </row>
    <row r="669" spans="1:13" x14ac:dyDescent="0.3">
      <c r="A669" s="1" t="s">
        <v>1827</v>
      </c>
      <c r="B669" s="1" t="s">
        <v>491</v>
      </c>
      <c r="C669" s="1">
        <v>33</v>
      </c>
      <c r="D669" s="1" t="s">
        <v>37</v>
      </c>
      <c r="E669" s="1">
        <v>2500000</v>
      </c>
      <c r="F669" s="7">
        <v>8.5000000000000006E-2</v>
      </c>
      <c r="G669" s="1">
        <v>240</v>
      </c>
      <c r="H669" s="1" t="s">
        <v>1713</v>
      </c>
      <c r="I669" s="8">
        <f t="shared" si="21"/>
        <v>21695.580834138349</v>
      </c>
      <c r="J669" s="8">
        <f t="shared" si="20"/>
        <v>5206939.4001932042</v>
      </c>
      <c r="K669" s="1" t="s">
        <v>249</v>
      </c>
      <c r="L669" s="1">
        <v>898</v>
      </c>
      <c r="M669" s="1" t="s">
        <v>16</v>
      </c>
    </row>
    <row r="670" spans="1:13" x14ac:dyDescent="0.3">
      <c r="A670" s="1" t="s">
        <v>1828</v>
      </c>
      <c r="B670" s="1" t="s">
        <v>1829</v>
      </c>
      <c r="C670" s="1">
        <v>55</v>
      </c>
      <c r="D670" s="1" t="s">
        <v>42</v>
      </c>
      <c r="E670" s="1">
        <v>940000</v>
      </c>
      <c r="F670" s="7">
        <v>0.12</v>
      </c>
      <c r="G670" s="1">
        <v>60</v>
      </c>
      <c r="H670" s="1" t="s">
        <v>1830</v>
      </c>
      <c r="I670" s="8">
        <f t="shared" si="21"/>
        <v>20909.780823807665</v>
      </c>
      <c r="J670" s="8">
        <f t="shared" si="20"/>
        <v>1254586.84942846</v>
      </c>
      <c r="K670" s="1" t="s">
        <v>226</v>
      </c>
      <c r="L670" s="1">
        <v>730</v>
      </c>
      <c r="M670" s="1" t="s">
        <v>20</v>
      </c>
    </row>
    <row r="671" spans="1:13" x14ac:dyDescent="0.3">
      <c r="A671" s="1" t="s">
        <v>1831</v>
      </c>
      <c r="B671" s="1" t="s">
        <v>1832</v>
      </c>
      <c r="C671" s="1">
        <v>26</v>
      </c>
      <c r="D671" s="1" t="s">
        <v>27</v>
      </c>
      <c r="E671" s="1">
        <v>220000</v>
      </c>
      <c r="F671" s="7">
        <v>9.5000000000000001E-2</v>
      </c>
      <c r="G671" s="1">
        <v>48</v>
      </c>
      <c r="H671" s="1" t="s">
        <v>1833</v>
      </c>
      <c r="I671" s="8">
        <f t="shared" si="21"/>
        <v>5527.0900676058545</v>
      </c>
      <c r="J671" s="8">
        <f t="shared" si="20"/>
        <v>265300.323245081</v>
      </c>
      <c r="K671" s="1" t="s">
        <v>226</v>
      </c>
      <c r="L671" s="1">
        <v>573</v>
      </c>
      <c r="M671" s="1" t="s">
        <v>16</v>
      </c>
    </row>
    <row r="672" spans="1:13" x14ac:dyDescent="0.3">
      <c r="A672" s="1" t="s">
        <v>1834</v>
      </c>
      <c r="B672" s="1" t="s">
        <v>528</v>
      </c>
      <c r="C672" s="1">
        <v>38</v>
      </c>
      <c r="D672" s="1" t="s">
        <v>32</v>
      </c>
      <c r="E672" s="1">
        <v>150000</v>
      </c>
      <c r="F672" s="7">
        <v>0.1</v>
      </c>
      <c r="G672" s="1">
        <v>36</v>
      </c>
      <c r="H672" s="1" t="s">
        <v>1835</v>
      </c>
      <c r="I672" s="8">
        <f t="shared" si="21"/>
        <v>4840.0780790756226</v>
      </c>
      <c r="J672" s="8">
        <f t="shared" si="20"/>
        <v>174242.81084672242</v>
      </c>
      <c r="K672" s="1" t="s">
        <v>86</v>
      </c>
      <c r="L672" s="1">
        <v>865</v>
      </c>
      <c r="M672" s="1" t="s">
        <v>20</v>
      </c>
    </row>
    <row r="673" spans="1:13" x14ac:dyDescent="0.3">
      <c r="A673" s="1" t="s">
        <v>1836</v>
      </c>
      <c r="B673" s="1" t="s">
        <v>1814</v>
      </c>
      <c r="C673" s="1">
        <v>25</v>
      </c>
      <c r="D673" s="1" t="s">
        <v>18</v>
      </c>
      <c r="E673" s="1">
        <v>980000</v>
      </c>
      <c r="F673" s="7">
        <v>0.13</v>
      </c>
      <c r="G673" s="1">
        <v>36</v>
      </c>
      <c r="H673" s="1" t="s">
        <v>1837</v>
      </c>
      <c r="I673" s="8">
        <f t="shared" si="21"/>
        <v>33020.072963225939</v>
      </c>
      <c r="J673" s="8">
        <f t="shared" si="20"/>
        <v>1188722.6266761338</v>
      </c>
      <c r="K673" s="1" t="s">
        <v>191</v>
      </c>
      <c r="L673" s="1">
        <v>595</v>
      </c>
      <c r="M673" s="1" t="s">
        <v>16</v>
      </c>
    </row>
    <row r="674" spans="1:13" x14ac:dyDescent="0.3">
      <c r="A674" s="1" t="s">
        <v>1838</v>
      </c>
      <c r="B674" s="1" t="s">
        <v>1839</v>
      </c>
      <c r="C674" s="1">
        <v>45</v>
      </c>
      <c r="D674" s="1" t="s">
        <v>18</v>
      </c>
      <c r="E674" s="1">
        <v>1650000</v>
      </c>
      <c r="F674" s="7">
        <v>0.08</v>
      </c>
      <c r="G674" s="1">
        <v>36</v>
      </c>
      <c r="H674" s="1" t="s">
        <v>1840</v>
      </c>
      <c r="I674" s="8">
        <f t="shared" si="21"/>
        <v>51705.003011360903</v>
      </c>
      <c r="J674" s="8">
        <f t="shared" si="20"/>
        <v>1861380.1084089924</v>
      </c>
      <c r="K674" s="1" t="s">
        <v>104</v>
      </c>
      <c r="L674" s="1">
        <v>564</v>
      </c>
      <c r="M674" s="1" t="s">
        <v>20</v>
      </c>
    </row>
    <row r="675" spans="1:13" x14ac:dyDescent="0.3">
      <c r="A675" s="1" t="s">
        <v>1841</v>
      </c>
      <c r="B675" s="1" t="s">
        <v>1067</v>
      </c>
      <c r="C675" s="1">
        <v>22</v>
      </c>
      <c r="D675" s="1" t="s">
        <v>37</v>
      </c>
      <c r="E675" s="1">
        <v>1690000</v>
      </c>
      <c r="F675" s="7">
        <v>0.08</v>
      </c>
      <c r="G675" s="1">
        <v>84</v>
      </c>
      <c r="H675" s="1" t="s">
        <v>1508</v>
      </c>
      <c r="I675" s="8">
        <f t="shared" si="21"/>
        <v>26340.702340511521</v>
      </c>
      <c r="J675" s="8">
        <f t="shared" si="20"/>
        <v>2212618.9966029678</v>
      </c>
      <c r="K675" s="1" t="s">
        <v>48</v>
      </c>
      <c r="L675" s="1">
        <v>702</v>
      </c>
      <c r="M675" s="1" t="s">
        <v>312</v>
      </c>
    </row>
    <row r="676" spans="1:13" x14ac:dyDescent="0.3">
      <c r="A676" s="1" t="s">
        <v>1842</v>
      </c>
      <c r="B676" s="1" t="s">
        <v>1408</v>
      </c>
      <c r="C676" s="1">
        <v>30</v>
      </c>
      <c r="D676" s="1" t="s">
        <v>37</v>
      </c>
      <c r="E676" s="1">
        <v>4790000</v>
      </c>
      <c r="F676" s="7">
        <v>0.105</v>
      </c>
      <c r="G676" s="1">
        <v>24</v>
      </c>
      <c r="H676" s="1" t="s">
        <v>691</v>
      </c>
      <c r="I676" s="8">
        <f t="shared" si="21"/>
        <v>222141.23945259018</v>
      </c>
      <c r="J676" s="8">
        <f t="shared" si="20"/>
        <v>5331389.7468621638</v>
      </c>
      <c r="K676" s="1" t="s">
        <v>159</v>
      </c>
      <c r="L676" s="1">
        <v>771</v>
      </c>
      <c r="M676" s="1" t="s">
        <v>20</v>
      </c>
    </row>
    <row r="677" spans="1:13" x14ac:dyDescent="0.3">
      <c r="A677" s="1" t="s">
        <v>1843</v>
      </c>
      <c r="B677" s="1" t="s">
        <v>572</v>
      </c>
      <c r="C677" s="1">
        <v>50</v>
      </c>
      <c r="D677" s="1" t="s">
        <v>23</v>
      </c>
      <c r="E677" s="1">
        <v>7520000</v>
      </c>
      <c r="F677" s="7">
        <v>0.115</v>
      </c>
      <c r="G677" s="1">
        <v>48</v>
      </c>
      <c r="H677" s="1" t="s">
        <v>1844</v>
      </c>
      <c r="I677" s="8">
        <f t="shared" si="21"/>
        <v>196189.34697204756</v>
      </c>
      <c r="J677" s="8">
        <f t="shared" si="20"/>
        <v>9417088.6546582822</v>
      </c>
      <c r="K677" s="1" t="s">
        <v>143</v>
      </c>
      <c r="L677" s="1">
        <v>755</v>
      </c>
      <c r="M677" s="1" t="s">
        <v>16</v>
      </c>
    </row>
    <row r="678" spans="1:13" x14ac:dyDescent="0.3">
      <c r="A678" s="1" t="s">
        <v>1845</v>
      </c>
      <c r="B678" s="1" t="s">
        <v>1846</v>
      </c>
      <c r="C678" s="1">
        <v>25</v>
      </c>
      <c r="D678" s="1" t="s">
        <v>32</v>
      </c>
      <c r="E678" s="1">
        <v>270000</v>
      </c>
      <c r="F678" s="7">
        <v>0.105</v>
      </c>
      <c r="G678" s="1">
        <v>120</v>
      </c>
      <c r="H678" s="1" t="s">
        <v>553</v>
      </c>
      <c r="I678" s="8">
        <f t="shared" si="21"/>
        <v>3643.2449129397683</v>
      </c>
      <c r="J678" s="8">
        <f t="shared" si="20"/>
        <v>437189.38955277216</v>
      </c>
      <c r="K678" s="1" t="s">
        <v>366</v>
      </c>
      <c r="L678" s="1">
        <v>822</v>
      </c>
      <c r="M678" s="1" t="s">
        <v>312</v>
      </c>
    </row>
    <row r="679" spans="1:13" x14ac:dyDescent="0.3">
      <c r="A679" s="1" t="s">
        <v>1847</v>
      </c>
      <c r="B679" s="1" t="s">
        <v>884</v>
      </c>
      <c r="C679" s="1">
        <v>53</v>
      </c>
      <c r="D679" s="1" t="s">
        <v>15</v>
      </c>
      <c r="E679" s="1">
        <v>1450000</v>
      </c>
      <c r="F679" s="7">
        <v>0.115</v>
      </c>
      <c r="G679" s="1">
        <v>84</v>
      </c>
      <c r="H679" s="1" t="s">
        <v>1848</v>
      </c>
      <c r="I679" s="8">
        <f t="shared" si="21"/>
        <v>25210.368189348192</v>
      </c>
      <c r="J679" s="8">
        <f t="shared" si="20"/>
        <v>2117670.927905248</v>
      </c>
      <c r="K679" s="1" t="s">
        <v>68</v>
      </c>
      <c r="L679" s="1">
        <v>785</v>
      </c>
      <c r="M679" s="1" t="s">
        <v>20</v>
      </c>
    </row>
    <row r="680" spans="1:13" x14ac:dyDescent="0.3">
      <c r="A680" s="1" t="s">
        <v>1849</v>
      </c>
      <c r="B680" s="1" t="s">
        <v>1850</v>
      </c>
      <c r="C680" s="1">
        <v>21</v>
      </c>
      <c r="D680" s="1" t="s">
        <v>37</v>
      </c>
      <c r="E680" s="1">
        <v>1660000</v>
      </c>
      <c r="F680" s="7">
        <v>0.1</v>
      </c>
      <c r="G680" s="1">
        <v>24</v>
      </c>
      <c r="H680" s="1" t="s">
        <v>1851</v>
      </c>
      <c r="I680" s="8">
        <f t="shared" si="21"/>
        <v>76600.577720277404</v>
      </c>
      <c r="J680" s="8">
        <f t="shared" si="20"/>
        <v>1838413.8652866576</v>
      </c>
      <c r="K680" s="1" t="s">
        <v>136</v>
      </c>
      <c r="L680" s="1">
        <v>889</v>
      </c>
      <c r="M680" s="1" t="s">
        <v>16</v>
      </c>
    </row>
    <row r="681" spans="1:13" x14ac:dyDescent="0.3">
      <c r="A681" s="1" t="s">
        <v>1852</v>
      </c>
      <c r="B681" s="1" t="s">
        <v>1523</v>
      </c>
      <c r="C681" s="1">
        <v>38</v>
      </c>
      <c r="D681" s="1" t="s">
        <v>42</v>
      </c>
      <c r="E681" s="1">
        <v>1100000</v>
      </c>
      <c r="F681" s="7">
        <v>9.5000000000000001E-2</v>
      </c>
      <c r="G681" s="1">
        <v>180</v>
      </c>
      <c r="H681" s="1" t="s">
        <v>1853</v>
      </c>
      <c r="I681" s="8">
        <f t="shared" si="21"/>
        <v>11486.471511501652</v>
      </c>
      <c r="J681" s="8">
        <f t="shared" si="20"/>
        <v>2067564.8720702974</v>
      </c>
      <c r="K681" s="1" t="s">
        <v>151</v>
      </c>
      <c r="L681" s="1">
        <v>777</v>
      </c>
      <c r="M681" s="1" t="s">
        <v>20</v>
      </c>
    </row>
    <row r="682" spans="1:13" x14ac:dyDescent="0.3">
      <c r="A682" s="1" t="s">
        <v>1854</v>
      </c>
      <c r="B682" s="1" t="s">
        <v>1395</v>
      </c>
      <c r="C682" s="1">
        <v>52</v>
      </c>
      <c r="D682" s="1" t="s">
        <v>23</v>
      </c>
      <c r="E682" s="1">
        <v>8100000</v>
      </c>
      <c r="F682" s="7">
        <v>0.115</v>
      </c>
      <c r="G682" s="1">
        <v>180</v>
      </c>
      <c r="H682" s="1" t="s">
        <v>1855</v>
      </c>
      <c r="I682" s="8">
        <f t="shared" si="21"/>
        <v>94623.374602547861</v>
      </c>
      <c r="J682" s="8">
        <f t="shared" si="20"/>
        <v>17032207.428458616</v>
      </c>
      <c r="K682" s="1" t="s">
        <v>326</v>
      </c>
      <c r="L682" s="1">
        <v>558</v>
      </c>
      <c r="M682" s="1" t="s">
        <v>20</v>
      </c>
    </row>
    <row r="683" spans="1:13" x14ac:dyDescent="0.3">
      <c r="A683" s="1" t="s">
        <v>1856</v>
      </c>
      <c r="B683" s="1" t="s">
        <v>1857</v>
      </c>
      <c r="C683" s="1">
        <v>31</v>
      </c>
      <c r="D683" s="1" t="s">
        <v>37</v>
      </c>
      <c r="E683" s="1">
        <v>2060000</v>
      </c>
      <c r="F683" s="7">
        <v>0.11</v>
      </c>
      <c r="G683" s="1">
        <v>180</v>
      </c>
      <c r="H683" s="1" t="s">
        <v>1858</v>
      </c>
      <c r="I683" s="8">
        <f t="shared" si="21"/>
        <v>23413.896851855432</v>
      </c>
      <c r="J683" s="8">
        <f t="shared" si="20"/>
        <v>4214501.4333339781</v>
      </c>
      <c r="K683" s="1" t="s">
        <v>94</v>
      </c>
      <c r="L683" s="1">
        <v>715</v>
      </c>
      <c r="M683" s="1" t="s">
        <v>20</v>
      </c>
    </row>
    <row r="684" spans="1:13" x14ac:dyDescent="0.3">
      <c r="A684" s="1" t="s">
        <v>1859</v>
      </c>
      <c r="B684" s="1" t="s">
        <v>1860</v>
      </c>
      <c r="C684" s="1">
        <v>41</v>
      </c>
      <c r="D684" s="1" t="s">
        <v>32</v>
      </c>
      <c r="E684" s="1">
        <v>310000</v>
      </c>
      <c r="F684" s="7">
        <v>7.4999999999999997E-2</v>
      </c>
      <c r="G684" s="1">
        <v>48</v>
      </c>
      <c r="H684" s="1" t="s">
        <v>1861</v>
      </c>
      <c r="I684" s="8">
        <f t="shared" si="21"/>
        <v>7495.4596006966813</v>
      </c>
      <c r="J684" s="8">
        <f t="shared" si="20"/>
        <v>359782.06083344069</v>
      </c>
      <c r="K684" s="1" t="s">
        <v>34</v>
      </c>
      <c r="L684" s="1">
        <v>868</v>
      </c>
      <c r="M684" s="1" t="s">
        <v>20</v>
      </c>
    </row>
    <row r="685" spans="1:13" x14ac:dyDescent="0.3">
      <c r="A685" s="1" t="s">
        <v>1862</v>
      </c>
      <c r="B685" s="1" t="s">
        <v>356</v>
      </c>
      <c r="C685" s="1">
        <v>46</v>
      </c>
      <c r="D685" s="1" t="s">
        <v>32</v>
      </c>
      <c r="E685" s="1">
        <v>380000</v>
      </c>
      <c r="F685" s="7">
        <v>0.13</v>
      </c>
      <c r="G685" s="1">
        <v>36</v>
      </c>
      <c r="H685" s="1" t="s">
        <v>1863</v>
      </c>
      <c r="I685" s="8">
        <f t="shared" si="21"/>
        <v>12803.701761250873</v>
      </c>
      <c r="J685" s="8">
        <f t="shared" si="20"/>
        <v>460933.26340503147</v>
      </c>
      <c r="K685" s="1" t="s">
        <v>151</v>
      </c>
      <c r="L685" s="1">
        <v>763</v>
      </c>
      <c r="M685" s="1" t="s">
        <v>16</v>
      </c>
    </row>
    <row r="686" spans="1:13" x14ac:dyDescent="0.3">
      <c r="A686" s="1" t="s">
        <v>1864</v>
      </c>
      <c r="B686" s="1" t="s">
        <v>1865</v>
      </c>
      <c r="C686" s="1">
        <v>45</v>
      </c>
      <c r="D686" s="1" t="s">
        <v>37</v>
      </c>
      <c r="E686" s="1">
        <v>1950000</v>
      </c>
      <c r="F686" s="7">
        <v>0.12</v>
      </c>
      <c r="G686" s="1">
        <v>120</v>
      </c>
      <c r="H686" s="1" t="s">
        <v>751</v>
      </c>
      <c r="I686" s="8">
        <f t="shared" si="21"/>
        <v>27976.834938504537</v>
      </c>
      <c r="J686" s="8">
        <f t="shared" si="20"/>
        <v>3357220.1926205442</v>
      </c>
      <c r="K686" s="1" t="s">
        <v>119</v>
      </c>
      <c r="L686" s="1">
        <v>666</v>
      </c>
      <c r="M686" s="1" t="s">
        <v>16</v>
      </c>
    </row>
    <row r="687" spans="1:13" x14ac:dyDescent="0.3">
      <c r="A687" s="1" t="s">
        <v>1866</v>
      </c>
      <c r="B687" s="1" t="s">
        <v>1867</v>
      </c>
      <c r="C687" s="1">
        <v>42</v>
      </c>
      <c r="D687" s="1" t="s">
        <v>18</v>
      </c>
      <c r="E687" s="1">
        <v>1360000</v>
      </c>
      <c r="F687" s="7">
        <v>0.12</v>
      </c>
      <c r="G687" s="1">
        <v>12</v>
      </c>
      <c r="H687" s="1" t="s">
        <v>1868</v>
      </c>
      <c r="I687" s="8">
        <f t="shared" si="21"/>
        <v>120834.35260254469</v>
      </c>
      <c r="J687" s="8">
        <f t="shared" si="20"/>
        <v>1450012.2312305362</v>
      </c>
      <c r="K687" s="1" t="s">
        <v>316</v>
      </c>
      <c r="L687" s="1">
        <v>893</v>
      </c>
      <c r="M687" s="1" t="s">
        <v>16</v>
      </c>
    </row>
    <row r="688" spans="1:13" x14ac:dyDescent="0.3">
      <c r="A688" s="1" t="s">
        <v>1869</v>
      </c>
      <c r="B688" s="1" t="s">
        <v>1144</v>
      </c>
      <c r="C688" s="1">
        <v>47</v>
      </c>
      <c r="D688" s="1" t="s">
        <v>18</v>
      </c>
      <c r="E688" s="1">
        <v>550000</v>
      </c>
      <c r="F688" s="7">
        <v>0.115</v>
      </c>
      <c r="G688" s="1">
        <v>48</v>
      </c>
      <c r="H688" s="1" t="s">
        <v>1870</v>
      </c>
      <c r="I688" s="8">
        <f t="shared" si="21"/>
        <v>14348.954898221562</v>
      </c>
      <c r="J688" s="8">
        <f t="shared" si="20"/>
        <v>688749.83511463495</v>
      </c>
      <c r="K688" s="1" t="s">
        <v>151</v>
      </c>
      <c r="L688" s="1">
        <v>621</v>
      </c>
      <c r="M688" s="1" t="s">
        <v>16</v>
      </c>
    </row>
    <row r="689" spans="1:13" x14ac:dyDescent="0.3">
      <c r="A689" s="1" t="s">
        <v>1871</v>
      </c>
      <c r="B689" s="1" t="s">
        <v>1872</v>
      </c>
      <c r="C689" s="1">
        <v>33</v>
      </c>
      <c r="D689" s="1" t="s">
        <v>42</v>
      </c>
      <c r="E689" s="1">
        <v>1330000</v>
      </c>
      <c r="F689" s="7">
        <v>0.105</v>
      </c>
      <c r="G689" s="1">
        <v>12</v>
      </c>
      <c r="H689" s="1" t="s">
        <v>1873</v>
      </c>
      <c r="I689" s="8">
        <f t="shared" si="21"/>
        <v>117237.64184934717</v>
      </c>
      <c r="J689" s="8">
        <f t="shared" si="20"/>
        <v>1406851.7021921661</v>
      </c>
      <c r="K689" s="1" t="s">
        <v>326</v>
      </c>
      <c r="L689" s="1">
        <v>613</v>
      </c>
      <c r="M689" s="1" t="s">
        <v>20</v>
      </c>
    </row>
    <row r="690" spans="1:13" x14ac:dyDescent="0.3">
      <c r="A690" s="1" t="s">
        <v>1874</v>
      </c>
      <c r="B690" s="1" t="s">
        <v>1816</v>
      </c>
      <c r="C690" s="1">
        <v>53</v>
      </c>
      <c r="D690" s="1" t="s">
        <v>23</v>
      </c>
      <c r="E690" s="1">
        <v>5850000</v>
      </c>
      <c r="F690" s="7">
        <v>0.08</v>
      </c>
      <c r="G690" s="1">
        <v>36</v>
      </c>
      <c r="H690" s="1" t="s">
        <v>1875</v>
      </c>
      <c r="I690" s="8">
        <f t="shared" si="21"/>
        <v>183317.73794937049</v>
      </c>
      <c r="J690" s="8">
        <f t="shared" si="20"/>
        <v>6599438.5661773374</v>
      </c>
      <c r="K690" s="1" t="s">
        <v>143</v>
      </c>
      <c r="L690" s="1">
        <v>754</v>
      </c>
      <c r="M690" s="1" t="s">
        <v>20</v>
      </c>
    </row>
    <row r="691" spans="1:13" x14ac:dyDescent="0.3">
      <c r="A691" s="1" t="s">
        <v>1876</v>
      </c>
      <c r="B691" s="1" t="s">
        <v>693</v>
      </c>
      <c r="C691" s="1">
        <v>54</v>
      </c>
      <c r="D691" s="1" t="s">
        <v>18</v>
      </c>
      <c r="E691" s="1">
        <v>490000</v>
      </c>
      <c r="F691" s="7">
        <v>0.105</v>
      </c>
      <c r="G691" s="1">
        <v>36</v>
      </c>
      <c r="H691" s="1" t="s">
        <v>1710</v>
      </c>
      <c r="I691" s="8">
        <f t="shared" si="21"/>
        <v>15926.197317296595</v>
      </c>
      <c r="J691" s="8">
        <f t="shared" si="20"/>
        <v>573343.10342267738</v>
      </c>
      <c r="K691" s="1" t="s">
        <v>119</v>
      </c>
      <c r="L691" s="1">
        <v>758</v>
      </c>
      <c r="M691" s="1" t="s">
        <v>16</v>
      </c>
    </row>
    <row r="692" spans="1:13" x14ac:dyDescent="0.3">
      <c r="A692" s="1" t="s">
        <v>1877</v>
      </c>
      <c r="B692" s="1" t="s">
        <v>655</v>
      </c>
      <c r="C692" s="1">
        <v>61</v>
      </c>
      <c r="D692" s="1" t="s">
        <v>32</v>
      </c>
      <c r="E692" s="1">
        <v>150000</v>
      </c>
      <c r="F692" s="7">
        <v>8.5000000000000006E-2</v>
      </c>
      <c r="G692" s="1">
        <v>36</v>
      </c>
      <c r="H692" s="1" t="s">
        <v>1878</v>
      </c>
      <c r="I692" s="8">
        <f t="shared" si="21"/>
        <v>4735.130613533609</v>
      </c>
      <c r="J692" s="8">
        <f t="shared" si="20"/>
        <v>170464.70208720991</v>
      </c>
      <c r="K692" s="1" t="s">
        <v>159</v>
      </c>
      <c r="L692" s="1">
        <v>621</v>
      </c>
      <c r="M692" s="1" t="s">
        <v>60</v>
      </c>
    </row>
    <row r="693" spans="1:13" x14ac:dyDescent="0.3">
      <c r="A693" s="1" t="s">
        <v>1879</v>
      </c>
      <c r="B693" s="1" t="s">
        <v>723</v>
      </c>
      <c r="C693" s="1">
        <v>55</v>
      </c>
      <c r="D693" s="1" t="s">
        <v>23</v>
      </c>
      <c r="E693" s="1">
        <v>6280000</v>
      </c>
      <c r="F693" s="7">
        <v>8.5000000000000006E-2</v>
      </c>
      <c r="G693" s="1">
        <v>240</v>
      </c>
      <c r="H693" s="1" t="s">
        <v>1880</v>
      </c>
      <c r="I693" s="8">
        <f t="shared" si="21"/>
        <v>54499.299055355528</v>
      </c>
      <c r="J693" s="8">
        <f t="shared" si="20"/>
        <v>13079831.773285327</v>
      </c>
      <c r="K693" s="1" t="s">
        <v>29</v>
      </c>
      <c r="L693" s="1">
        <v>826</v>
      </c>
      <c r="M693" s="1" t="s">
        <v>16</v>
      </c>
    </row>
    <row r="694" spans="1:13" x14ac:dyDescent="0.3">
      <c r="A694" s="1" t="s">
        <v>1881</v>
      </c>
      <c r="B694" s="1" t="s">
        <v>1882</v>
      </c>
      <c r="C694" s="1">
        <v>21</v>
      </c>
      <c r="D694" s="1" t="s">
        <v>15</v>
      </c>
      <c r="E694" s="1">
        <v>1970000</v>
      </c>
      <c r="F694" s="7">
        <v>0.12</v>
      </c>
      <c r="G694" s="1">
        <v>12</v>
      </c>
      <c r="H694" s="1" t="s">
        <v>1883</v>
      </c>
      <c r="I694" s="8">
        <f t="shared" si="21"/>
        <v>175032.11369633314</v>
      </c>
      <c r="J694" s="8">
        <f t="shared" si="20"/>
        <v>2100385.3643559976</v>
      </c>
      <c r="K694" s="1" t="s">
        <v>201</v>
      </c>
      <c r="L694" s="1">
        <v>823</v>
      </c>
      <c r="M694" s="1" t="s">
        <v>16</v>
      </c>
    </row>
    <row r="695" spans="1:13" x14ac:dyDescent="0.3">
      <c r="A695" s="1" t="s">
        <v>1884</v>
      </c>
      <c r="B695" s="1" t="s">
        <v>1322</v>
      </c>
      <c r="C695" s="1">
        <v>41</v>
      </c>
      <c r="D695" s="1" t="s">
        <v>37</v>
      </c>
      <c r="E695" s="1">
        <v>4280000</v>
      </c>
      <c r="F695" s="7">
        <v>0.12</v>
      </c>
      <c r="G695" s="1">
        <v>36</v>
      </c>
      <c r="H695" s="1" t="s">
        <v>1885</v>
      </c>
      <c r="I695" s="8">
        <f t="shared" si="21"/>
        <v>142157.24599900309</v>
      </c>
      <c r="J695" s="8">
        <f t="shared" si="20"/>
        <v>5117660.8559641112</v>
      </c>
      <c r="K695" s="1" t="s">
        <v>143</v>
      </c>
      <c r="L695" s="1">
        <v>869</v>
      </c>
      <c r="M695" s="1" t="s">
        <v>20</v>
      </c>
    </row>
    <row r="696" spans="1:13" x14ac:dyDescent="0.3">
      <c r="A696" s="1" t="s">
        <v>1886</v>
      </c>
      <c r="B696" s="1" t="s">
        <v>1887</v>
      </c>
      <c r="C696" s="1">
        <v>26</v>
      </c>
      <c r="D696" s="1" t="s">
        <v>32</v>
      </c>
      <c r="E696" s="1">
        <v>370000</v>
      </c>
      <c r="F696" s="7">
        <v>0.12</v>
      </c>
      <c r="G696" s="1">
        <v>12</v>
      </c>
      <c r="H696" s="1" t="s">
        <v>1888</v>
      </c>
      <c r="I696" s="8">
        <f t="shared" si="21"/>
        <v>32874.051810986421</v>
      </c>
      <c r="J696" s="8">
        <f t="shared" si="20"/>
        <v>394488.62173183705</v>
      </c>
      <c r="K696" s="1" t="s">
        <v>34</v>
      </c>
      <c r="L696" s="1">
        <v>887</v>
      </c>
      <c r="M696" s="1" t="s">
        <v>20</v>
      </c>
    </row>
    <row r="697" spans="1:13" x14ac:dyDescent="0.3">
      <c r="A697" s="1" t="s">
        <v>1889</v>
      </c>
      <c r="B697" s="1" t="s">
        <v>1890</v>
      </c>
      <c r="C697" s="1">
        <v>48</v>
      </c>
      <c r="D697" s="1" t="s">
        <v>15</v>
      </c>
      <c r="E697" s="1">
        <v>310000</v>
      </c>
      <c r="F697" s="7">
        <v>0.08</v>
      </c>
      <c r="G697" s="1">
        <v>36</v>
      </c>
      <c r="H697" s="1" t="s">
        <v>33</v>
      </c>
      <c r="I697" s="8">
        <f t="shared" si="21"/>
        <v>9714.2732930435632</v>
      </c>
      <c r="J697" s="8">
        <f t="shared" si="20"/>
        <v>349713.83854956826</v>
      </c>
      <c r="K697" s="1" t="s">
        <v>52</v>
      </c>
      <c r="L697" s="1">
        <v>644</v>
      </c>
      <c r="M697" s="1" t="s">
        <v>20</v>
      </c>
    </row>
    <row r="698" spans="1:13" x14ac:dyDescent="0.3">
      <c r="A698" s="1" t="s">
        <v>1891</v>
      </c>
      <c r="B698" s="1" t="s">
        <v>1892</v>
      </c>
      <c r="C698" s="1">
        <v>37</v>
      </c>
      <c r="D698" s="1" t="s">
        <v>23</v>
      </c>
      <c r="E698" s="1">
        <v>7020000</v>
      </c>
      <c r="F698" s="7">
        <v>0.08</v>
      </c>
      <c r="G698" s="1">
        <v>60</v>
      </c>
      <c r="H698" s="1" t="s">
        <v>1893</v>
      </c>
      <c r="I698" s="8">
        <f t="shared" si="21"/>
        <v>142340.28790466403</v>
      </c>
      <c r="J698" s="8">
        <f t="shared" si="20"/>
        <v>8540417.2742798422</v>
      </c>
      <c r="K698" s="1" t="s">
        <v>132</v>
      </c>
      <c r="L698" s="1">
        <v>715</v>
      </c>
      <c r="M698" s="1" t="s">
        <v>16</v>
      </c>
    </row>
    <row r="699" spans="1:13" x14ac:dyDescent="0.3">
      <c r="A699" s="1" t="s">
        <v>1894</v>
      </c>
      <c r="B699" s="1" t="s">
        <v>321</v>
      </c>
      <c r="C699" s="1">
        <v>25</v>
      </c>
      <c r="D699" s="1" t="s">
        <v>15</v>
      </c>
      <c r="E699" s="1">
        <v>220000</v>
      </c>
      <c r="F699" s="7">
        <v>0.12</v>
      </c>
      <c r="G699" s="1">
        <v>36</v>
      </c>
      <c r="H699" s="1" t="s">
        <v>1895</v>
      </c>
      <c r="I699" s="8">
        <f t="shared" si="21"/>
        <v>7307.1481588272627</v>
      </c>
      <c r="J699" s="8">
        <f t="shared" si="20"/>
        <v>263057.33371778147</v>
      </c>
      <c r="K699" s="1" t="s">
        <v>21</v>
      </c>
      <c r="L699" s="1">
        <v>581</v>
      </c>
      <c r="M699" s="1" t="s">
        <v>16</v>
      </c>
    </row>
    <row r="700" spans="1:13" x14ac:dyDescent="0.3">
      <c r="A700" s="1" t="s">
        <v>1896</v>
      </c>
      <c r="B700" s="1" t="s">
        <v>1897</v>
      </c>
      <c r="C700" s="1">
        <v>51</v>
      </c>
      <c r="D700" s="1" t="s">
        <v>42</v>
      </c>
      <c r="E700" s="1">
        <v>1320000</v>
      </c>
      <c r="F700" s="7">
        <v>0.08</v>
      </c>
      <c r="G700" s="1">
        <v>240</v>
      </c>
      <c r="H700" s="1" t="s">
        <v>1898</v>
      </c>
      <c r="I700" s="8">
        <f t="shared" si="21"/>
        <v>11041.008910713708</v>
      </c>
      <c r="J700" s="8">
        <f t="shared" si="20"/>
        <v>2649842.1385712898</v>
      </c>
      <c r="K700" s="1" t="s">
        <v>159</v>
      </c>
      <c r="L700" s="1">
        <v>560</v>
      </c>
      <c r="M700" s="1" t="s">
        <v>16</v>
      </c>
    </row>
    <row r="701" spans="1:13" x14ac:dyDescent="0.3">
      <c r="A701" s="1" t="s">
        <v>1899</v>
      </c>
      <c r="B701" s="1" t="s">
        <v>1900</v>
      </c>
      <c r="C701" s="1">
        <v>25</v>
      </c>
      <c r="D701" s="1" t="s">
        <v>27</v>
      </c>
      <c r="E701" s="1">
        <v>240000</v>
      </c>
      <c r="F701" s="7">
        <v>9.5000000000000001E-2</v>
      </c>
      <c r="G701" s="1">
        <v>120</v>
      </c>
      <c r="H701" s="1" t="s">
        <v>1901</v>
      </c>
      <c r="I701" s="8">
        <f t="shared" si="21"/>
        <v>3105.5413814586486</v>
      </c>
      <c r="J701" s="8">
        <f t="shared" si="20"/>
        <v>372664.96577503782</v>
      </c>
      <c r="K701" s="1" t="s">
        <v>68</v>
      </c>
      <c r="L701" s="1">
        <v>850</v>
      </c>
      <c r="M701" s="1" t="s">
        <v>16</v>
      </c>
    </row>
    <row r="702" spans="1:13" x14ac:dyDescent="0.3">
      <c r="A702" s="1" t="s">
        <v>1902</v>
      </c>
      <c r="B702" s="1" t="s">
        <v>1903</v>
      </c>
      <c r="C702" s="1">
        <v>58</v>
      </c>
      <c r="D702" s="1" t="s">
        <v>42</v>
      </c>
      <c r="E702" s="1">
        <v>710000</v>
      </c>
      <c r="F702" s="7">
        <v>0.115</v>
      </c>
      <c r="G702" s="1">
        <v>12</v>
      </c>
      <c r="H702" s="1" t="s">
        <v>1904</v>
      </c>
      <c r="I702" s="8">
        <f t="shared" si="21"/>
        <v>62916.688244571291</v>
      </c>
      <c r="J702" s="8">
        <f t="shared" si="20"/>
        <v>755000.25893485546</v>
      </c>
      <c r="K702" s="1" t="s">
        <v>68</v>
      </c>
      <c r="L702" s="1">
        <v>766</v>
      </c>
      <c r="M702" s="1" t="s">
        <v>16</v>
      </c>
    </row>
    <row r="703" spans="1:13" x14ac:dyDescent="0.3">
      <c r="A703" s="1" t="s">
        <v>1905</v>
      </c>
      <c r="B703" s="1" t="s">
        <v>1503</v>
      </c>
      <c r="C703" s="1">
        <v>23</v>
      </c>
      <c r="D703" s="1" t="s">
        <v>23</v>
      </c>
      <c r="E703" s="1">
        <v>7440000</v>
      </c>
      <c r="F703" s="7">
        <v>0.1</v>
      </c>
      <c r="G703" s="1">
        <v>60</v>
      </c>
      <c r="H703" s="1" t="s">
        <v>1906</v>
      </c>
      <c r="I703" s="8">
        <f t="shared" si="21"/>
        <v>158078.01265183598</v>
      </c>
      <c r="J703" s="8">
        <f t="shared" si="20"/>
        <v>9484680.7591101583</v>
      </c>
      <c r="K703" s="1" t="s">
        <v>25</v>
      </c>
      <c r="L703" s="1">
        <v>838</v>
      </c>
      <c r="M703" s="1" t="s">
        <v>20</v>
      </c>
    </row>
    <row r="704" spans="1:13" x14ac:dyDescent="0.3">
      <c r="A704" s="1" t="s">
        <v>1907</v>
      </c>
      <c r="B704" s="1" t="s">
        <v>371</v>
      </c>
      <c r="C704" s="1">
        <v>43</v>
      </c>
      <c r="D704" s="1" t="s">
        <v>42</v>
      </c>
      <c r="E704" s="1">
        <v>1480000</v>
      </c>
      <c r="F704" s="7">
        <v>0.105</v>
      </c>
      <c r="G704" s="1">
        <v>24</v>
      </c>
      <c r="H704" s="1" t="s">
        <v>1908</v>
      </c>
      <c r="I704" s="8">
        <f t="shared" si="21"/>
        <v>68636.541626270031</v>
      </c>
      <c r="J704" s="8">
        <f t="shared" si="20"/>
        <v>1647276.9990304806</v>
      </c>
      <c r="K704" s="1" t="s">
        <v>94</v>
      </c>
      <c r="L704" s="1">
        <v>651</v>
      </c>
      <c r="M704" s="1" t="s">
        <v>60</v>
      </c>
    </row>
    <row r="705" spans="1:13" x14ac:dyDescent="0.3">
      <c r="A705" s="1" t="s">
        <v>1909</v>
      </c>
      <c r="B705" s="1" t="s">
        <v>444</v>
      </c>
      <c r="C705" s="1">
        <v>57</v>
      </c>
      <c r="D705" s="1" t="s">
        <v>32</v>
      </c>
      <c r="E705" s="1">
        <v>310000</v>
      </c>
      <c r="F705" s="7">
        <v>9.5000000000000001E-2</v>
      </c>
      <c r="G705" s="1">
        <v>48</v>
      </c>
      <c r="H705" s="1" t="s">
        <v>1910</v>
      </c>
      <c r="I705" s="8">
        <f t="shared" si="21"/>
        <v>7788.1723679900679</v>
      </c>
      <c r="J705" s="8">
        <f t="shared" si="20"/>
        <v>373832.27366352326</v>
      </c>
      <c r="K705" s="1" t="s">
        <v>86</v>
      </c>
      <c r="L705" s="1">
        <v>816</v>
      </c>
      <c r="M705" s="1" t="s">
        <v>16</v>
      </c>
    </row>
    <row r="706" spans="1:13" x14ac:dyDescent="0.3">
      <c r="A706" s="1" t="s">
        <v>1911</v>
      </c>
      <c r="B706" s="1" t="s">
        <v>1912</v>
      </c>
      <c r="C706" s="1">
        <v>57</v>
      </c>
      <c r="D706" s="1" t="s">
        <v>23</v>
      </c>
      <c r="E706" s="1">
        <v>9300000</v>
      </c>
      <c r="F706" s="7">
        <v>0.105</v>
      </c>
      <c r="G706" s="1">
        <v>180</v>
      </c>
      <c r="H706" s="1" t="s">
        <v>1913</v>
      </c>
      <c r="I706" s="8">
        <f t="shared" si="21"/>
        <v>102802.09990383682</v>
      </c>
      <c r="J706" s="8">
        <f t="shared" si="20"/>
        <v>18504377.982690629</v>
      </c>
      <c r="K706" s="1" t="s">
        <v>25</v>
      </c>
      <c r="L706" s="1">
        <v>763</v>
      </c>
      <c r="M706" s="1" t="s">
        <v>20</v>
      </c>
    </row>
    <row r="707" spans="1:13" x14ac:dyDescent="0.3">
      <c r="A707" s="1" t="s">
        <v>1914</v>
      </c>
      <c r="B707" s="1" t="s">
        <v>471</v>
      </c>
      <c r="C707" s="1">
        <v>30</v>
      </c>
      <c r="D707" s="1" t="s">
        <v>42</v>
      </c>
      <c r="E707" s="1">
        <v>1160000</v>
      </c>
      <c r="F707" s="7">
        <v>0.125</v>
      </c>
      <c r="G707" s="1">
        <v>180</v>
      </c>
      <c r="H707" s="1" t="s">
        <v>1848</v>
      </c>
      <c r="I707" s="8">
        <f t="shared" si="21"/>
        <v>14297.256156923411</v>
      </c>
      <c r="J707" s="8">
        <f t="shared" si="20"/>
        <v>2573506.1082462142</v>
      </c>
      <c r="K707" s="1" t="s">
        <v>56</v>
      </c>
      <c r="L707" s="1">
        <v>728</v>
      </c>
      <c r="M707" s="1" t="s">
        <v>20</v>
      </c>
    </row>
    <row r="708" spans="1:13" x14ac:dyDescent="0.3">
      <c r="A708" s="1" t="s">
        <v>1915</v>
      </c>
      <c r="B708" s="1" t="s">
        <v>975</v>
      </c>
      <c r="C708" s="1">
        <v>30</v>
      </c>
      <c r="D708" s="1" t="s">
        <v>37</v>
      </c>
      <c r="E708" s="1">
        <v>4620000</v>
      </c>
      <c r="F708" s="7">
        <v>0.11</v>
      </c>
      <c r="G708" s="1">
        <v>180</v>
      </c>
      <c r="H708" s="1" t="s">
        <v>1916</v>
      </c>
      <c r="I708" s="8">
        <f t="shared" si="21"/>
        <v>52510.778376491304</v>
      </c>
      <c r="J708" s="8">
        <f t="shared" ref="J708:J771" si="22">(I708*G708)</f>
        <v>9451940.107768435</v>
      </c>
      <c r="K708" s="1" t="s">
        <v>316</v>
      </c>
      <c r="L708" s="1">
        <v>637</v>
      </c>
      <c r="M708" s="1" t="s">
        <v>20</v>
      </c>
    </row>
    <row r="709" spans="1:13" x14ac:dyDescent="0.3">
      <c r="A709" s="1" t="s">
        <v>1917</v>
      </c>
      <c r="B709" s="1" t="s">
        <v>1918</v>
      </c>
      <c r="C709" s="1">
        <v>39</v>
      </c>
      <c r="D709" s="1" t="s">
        <v>18</v>
      </c>
      <c r="E709" s="1">
        <v>1070000</v>
      </c>
      <c r="F709" s="7">
        <v>0.12</v>
      </c>
      <c r="G709" s="1">
        <v>36</v>
      </c>
      <c r="H709" s="1" t="s">
        <v>988</v>
      </c>
      <c r="I709" s="8">
        <f t="shared" ref="I709:I772" si="23">PMT(F709/12,G709, -E709)</f>
        <v>35539.311499750773</v>
      </c>
      <c r="J709" s="8">
        <f t="shared" si="22"/>
        <v>1279415.2139910278</v>
      </c>
      <c r="K709" s="1" t="s">
        <v>90</v>
      </c>
      <c r="L709" s="1">
        <v>590</v>
      </c>
      <c r="M709" s="1" t="s">
        <v>16</v>
      </c>
    </row>
    <row r="710" spans="1:13" x14ac:dyDescent="0.3">
      <c r="A710" s="1" t="s">
        <v>1919</v>
      </c>
      <c r="B710" s="1" t="s">
        <v>153</v>
      </c>
      <c r="C710" s="1">
        <v>37</v>
      </c>
      <c r="D710" s="1" t="s">
        <v>37</v>
      </c>
      <c r="E710" s="1">
        <v>4220000</v>
      </c>
      <c r="F710" s="7">
        <v>0.12</v>
      </c>
      <c r="G710" s="1">
        <v>48</v>
      </c>
      <c r="H710" s="1" t="s">
        <v>1920</v>
      </c>
      <c r="I710" s="8">
        <f t="shared" si="23"/>
        <v>111128.78552273518</v>
      </c>
      <c r="J710" s="8">
        <f t="shared" si="22"/>
        <v>5334181.7050912883</v>
      </c>
      <c r="K710" s="1" t="s">
        <v>191</v>
      </c>
      <c r="L710" s="1">
        <v>625</v>
      </c>
      <c r="M710" s="1" t="s">
        <v>20</v>
      </c>
    </row>
    <row r="711" spans="1:13" x14ac:dyDescent="0.3">
      <c r="A711" s="1" t="s">
        <v>1921</v>
      </c>
      <c r="B711" s="1" t="s">
        <v>1595</v>
      </c>
      <c r="C711" s="1">
        <v>41</v>
      </c>
      <c r="D711" s="1" t="s">
        <v>42</v>
      </c>
      <c r="E711" s="1">
        <v>1320000</v>
      </c>
      <c r="F711" s="7">
        <v>0.11</v>
      </c>
      <c r="G711" s="1">
        <v>120</v>
      </c>
      <c r="H711" s="1" t="s">
        <v>1922</v>
      </c>
      <c r="I711" s="8">
        <f t="shared" si="23"/>
        <v>18183.00149053377</v>
      </c>
      <c r="J711" s="8">
        <f t="shared" si="22"/>
        <v>2181960.1788640525</v>
      </c>
      <c r="K711" s="1" t="s">
        <v>48</v>
      </c>
      <c r="L711" s="1">
        <v>595</v>
      </c>
      <c r="M711" s="1" t="s">
        <v>20</v>
      </c>
    </row>
    <row r="712" spans="1:13" x14ac:dyDescent="0.3">
      <c r="A712" s="1" t="s">
        <v>1923</v>
      </c>
      <c r="B712" s="1" t="s">
        <v>1924</v>
      </c>
      <c r="C712" s="1">
        <v>34</v>
      </c>
      <c r="D712" s="1" t="s">
        <v>18</v>
      </c>
      <c r="E712" s="1">
        <v>550000</v>
      </c>
      <c r="F712" s="7">
        <v>7.4999999999999997E-2</v>
      </c>
      <c r="G712" s="1">
        <v>36</v>
      </c>
      <c r="H712" s="1" t="s">
        <v>1925</v>
      </c>
      <c r="I712" s="8">
        <f t="shared" si="23"/>
        <v>17108.419988361042</v>
      </c>
      <c r="J712" s="8">
        <f t="shared" si="22"/>
        <v>615903.1195809975</v>
      </c>
      <c r="K712" s="1" t="s">
        <v>366</v>
      </c>
      <c r="L712" s="1">
        <v>709</v>
      </c>
      <c r="M712" s="1" t="s">
        <v>16</v>
      </c>
    </row>
    <row r="713" spans="1:13" x14ac:dyDescent="0.3">
      <c r="A713" s="1" t="s">
        <v>1926</v>
      </c>
      <c r="B713" s="1" t="s">
        <v>1927</v>
      </c>
      <c r="C713" s="1">
        <v>29</v>
      </c>
      <c r="D713" s="1" t="s">
        <v>18</v>
      </c>
      <c r="E713" s="1">
        <v>370000</v>
      </c>
      <c r="F713" s="7">
        <v>8.5000000000000006E-2</v>
      </c>
      <c r="G713" s="1">
        <v>36</v>
      </c>
      <c r="H713" s="1" t="s">
        <v>1928</v>
      </c>
      <c r="I713" s="8">
        <f t="shared" si="23"/>
        <v>11679.988846716236</v>
      </c>
      <c r="J713" s="8">
        <f t="shared" si="22"/>
        <v>420479.59848178452</v>
      </c>
      <c r="K713" s="1" t="s">
        <v>56</v>
      </c>
      <c r="L713" s="1">
        <v>629</v>
      </c>
      <c r="M713" s="1" t="s">
        <v>60</v>
      </c>
    </row>
    <row r="714" spans="1:13" x14ac:dyDescent="0.3">
      <c r="A714" s="1" t="s">
        <v>1929</v>
      </c>
      <c r="B714" s="1" t="s">
        <v>1930</v>
      </c>
      <c r="C714" s="1">
        <v>21</v>
      </c>
      <c r="D714" s="1" t="s">
        <v>32</v>
      </c>
      <c r="E714" s="1">
        <v>350000</v>
      </c>
      <c r="F714" s="7">
        <v>9.5000000000000001E-2</v>
      </c>
      <c r="G714" s="1">
        <v>240</v>
      </c>
      <c r="H714" s="1" t="s">
        <v>1931</v>
      </c>
      <c r="I714" s="8">
        <f t="shared" si="23"/>
        <v>3262.4591574173132</v>
      </c>
      <c r="J714" s="8">
        <f t="shared" si="22"/>
        <v>782990.19778015523</v>
      </c>
      <c r="K714" s="1" t="s">
        <v>316</v>
      </c>
      <c r="L714" s="1">
        <v>859</v>
      </c>
      <c r="M714" s="1" t="s">
        <v>20</v>
      </c>
    </row>
    <row r="715" spans="1:13" x14ac:dyDescent="0.3">
      <c r="A715" s="1" t="s">
        <v>1932</v>
      </c>
      <c r="B715" s="1" t="s">
        <v>278</v>
      </c>
      <c r="C715" s="1">
        <v>33</v>
      </c>
      <c r="D715" s="1" t="s">
        <v>32</v>
      </c>
      <c r="E715" s="1">
        <v>70000</v>
      </c>
      <c r="F715" s="7">
        <v>0.105</v>
      </c>
      <c r="G715" s="1">
        <v>60</v>
      </c>
      <c r="H715" s="1" t="s">
        <v>1933</v>
      </c>
      <c r="I715" s="8">
        <f t="shared" si="23"/>
        <v>1504.5730264682222</v>
      </c>
      <c r="J715" s="8">
        <f t="shared" si="22"/>
        <v>90274.38158809334</v>
      </c>
      <c r="K715" s="1" t="s">
        <v>155</v>
      </c>
      <c r="L715" s="1">
        <v>635</v>
      </c>
      <c r="M715" s="1" t="s">
        <v>16</v>
      </c>
    </row>
    <row r="716" spans="1:13" x14ac:dyDescent="0.3">
      <c r="A716" s="1" t="s">
        <v>1934</v>
      </c>
      <c r="B716" s="1" t="s">
        <v>975</v>
      </c>
      <c r="C716" s="1">
        <v>24</v>
      </c>
      <c r="D716" s="1" t="s">
        <v>15</v>
      </c>
      <c r="E716" s="1">
        <v>1870000</v>
      </c>
      <c r="F716" s="7">
        <v>8.5000000000000006E-2</v>
      </c>
      <c r="G716" s="1">
        <v>36</v>
      </c>
      <c r="H716" s="1" t="s">
        <v>1935</v>
      </c>
      <c r="I716" s="8">
        <f t="shared" si="23"/>
        <v>59031.294982052328</v>
      </c>
      <c r="J716" s="8">
        <f t="shared" si="22"/>
        <v>2125126.6193538839</v>
      </c>
      <c r="K716" s="1" t="s">
        <v>94</v>
      </c>
      <c r="L716" s="1">
        <v>641</v>
      </c>
      <c r="M716" s="1" t="s">
        <v>16</v>
      </c>
    </row>
    <row r="717" spans="1:13" x14ac:dyDescent="0.3">
      <c r="A717" s="1" t="s">
        <v>1936</v>
      </c>
      <c r="B717" s="1" t="s">
        <v>1937</v>
      </c>
      <c r="C717" s="1">
        <v>21</v>
      </c>
      <c r="D717" s="1" t="s">
        <v>32</v>
      </c>
      <c r="E717" s="1">
        <v>450000</v>
      </c>
      <c r="F717" s="7">
        <v>0.12</v>
      </c>
      <c r="G717" s="1">
        <v>84</v>
      </c>
      <c r="H717" s="1" t="s">
        <v>1938</v>
      </c>
      <c r="I717" s="8">
        <f t="shared" si="23"/>
        <v>7943.7297586832183</v>
      </c>
      <c r="J717" s="8">
        <f t="shared" si="22"/>
        <v>667273.2997293903</v>
      </c>
      <c r="K717" s="1" t="s">
        <v>25</v>
      </c>
      <c r="L717" s="1">
        <v>697</v>
      </c>
      <c r="M717" s="1" t="s">
        <v>16</v>
      </c>
    </row>
    <row r="718" spans="1:13" x14ac:dyDescent="0.3">
      <c r="A718" s="1" t="s">
        <v>1939</v>
      </c>
      <c r="B718" s="1" t="s">
        <v>1940</v>
      </c>
      <c r="C718" s="1">
        <v>60</v>
      </c>
      <c r="D718" s="1" t="s">
        <v>23</v>
      </c>
      <c r="E718" s="1">
        <v>4700000</v>
      </c>
      <c r="F718" s="7">
        <v>0.12</v>
      </c>
      <c r="G718" s="1">
        <v>180</v>
      </c>
      <c r="H718" s="1" t="s">
        <v>1941</v>
      </c>
      <c r="I718" s="8">
        <f t="shared" si="23"/>
        <v>56407.898918301136</v>
      </c>
      <c r="J718" s="8">
        <f t="shared" si="22"/>
        <v>10153421.805294205</v>
      </c>
      <c r="K718" s="1" t="s">
        <v>136</v>
      </c>
      <c r="L718" s="1">
        <v>710</v>
      </c>
      <c r="M718" s="1" t="s">
        <v>312</v>
      </c>
    </row>
    <row r="719" spans="1:13" x14ac:dyDescent="0.3">
      <c r="A719" s="1" t="s">
        <v>1942</v>
      </c>
      <c r="B719" s="1" t="s">
        <v>1943</v>
      </c>
      <c r="C719" s="1">
        <v>52</v>
      </c>
      <c r="D719" s="1" t="s">
        <v>37</v>
      </c>
      <c r="E719" s="1">
        <v>2950000</v>
      </c>
      <c r="F719" s="7">
        <v>0.125</v>
      </c>
      <c r="G719" s="1">
        <v>24</v>
      </c>
      <c r="H719" s="1" t="s">
        <v>1944</v>
      </c>
      <c r="I719" s="8">
        <f t="shared" si="23"/>
        <v>139556.55929472356</v>
      </c>
      <c r="J719" s="8">
        <f t="shared" si="22"/>
        <v>3349357.4230733654</v>
      </c>
      <c r="K719" s="1" t="s">
        <v>86</v>
      </c>
      <c r="L719" s="1">
        <v>751</v>
      </c>
      <c r="M719" s="1" t="s">
        <v>20</v>
      </c>
    </row>
    <row r="720" spans="1:13" x14ac:dyDescent="0.3">
      <c r="A720" s="1" t="s">
        <v>1945</v>
      </c>
      <c r="B720" s="1" t="s">
        <v>1946</v>
      </c>
      <c r="C720" s="1">
        <v>54</v>
      </c>
      <c r="D720" s="1" t="s">
        <v>23</v>
      </c>
      <c r="E720" s="1">
        <v>1550000</v>
      </c>
      <c r="F720" s="7">
        <v>0.13</v>
      </c>
      <c r="G720" s="1">
        <v>48</v>
      </c>
      <c r="H720" s="1" t="s">
        <v>1947</v>
      </c>
      <c r="I720" s="8">
        <f t="shared" si="23"/>
        <v>41582.618635335588</v>
      </c>
      <c r="J720" s="8">
        <f t="shared" si="22"/>
        <v>1995965.6944961082</v>
      </c>
      <c r="K720" s="1" t="s">
        <v>44</v>
      </c>
      <c r="L720" s="1">
        <v>791</v>
      </c>
      <c r="M720" s="1" t="s">
        <v>20</v>
      </c>
    </row>
    <row r="721" spans="1:13" x14ac:dyDescent="0.3">
      <c r="A721" s="1" t="s">
        <v>1948</v>
      </c>
      <c r="B721" s="1" t="s">
        <v>1076</v>
      </c>
      <c r="C721" s="1">
        <v>48</v>
      </c>
      <c r="D721" s="1" t="s">
        <v>37</v>
      </c>
      <c r="E721" s="1">
        <v>2810000</v>
      </c>
      <c r="F721" s="7">
        <v>0.105</v>
      </c>
      <c r="G721" s="1">
        <v>120</v>
      </c>
      <c r="H721" s="1" t="s">
        <v>1949</v>
      </c>
      <c r="I721" s="8">
        <f t="shared" si="23"/>
        <v>37916.734093928702</v>
      </c>
      <c r="J721" s="8">
        <f t="shared" si="22"/>
        <v>4550008.0912714442</v>
      </c>
      <c r="K721" s="1" t="s">
        <v>86</v>
      </c>
      <c r="L721" s="1">
        <v>551</v>
      </c>
      <c r="M721" s="1" t="s">
        <v>16</v>
      </c>
    </row>
    <row r="722" spans="1:13" x14ac:dyDescent="0.3">
      <c r="A722" s="1" t="s">
        <v>1950</v>
      </c>
      <c r="B722" s="1" t="s">
        <v>1157</v>
      </c>
      <c r="C722" s="1">
        <v>51</v>
      </c>
      <c r="D722" s="1" t="s">
        <v>27</v>
      </c>
      <c r="E722" s="1">
        <v>340000</v>
      </c>
      <c r="F722" s="7">
        <v>7.4999999999999997E-2</v>
      </c>
      <c r="G722" s="1">
        <v>120</v>
      </c>
      <c r="H722" s="1" t="s">
        <v>1951</v>
      </c>
      <c r="I722" s="8">
        <f t="shared" si="23"/>
        <v>4035.8601506190435</v>
      </c>
      <c r="J722" s="8">
        <f t="shared" si="22"/>
        <v>484303.21807428519</v>
      </c>
      <c r="K722" s="1" t="s">
        <v>222</v>
      </c>
      <c r="L722" s="1">
        <v>774</v>
      </c>
      <c r="M722" s="1" t="s">
        <v>16</v>
      </c>
    </row>
    <row r="723" spans="1:13" x14ac:dyDescent="0.3">
      <c r="A723" s="1" t="s">
        <v>1952</v>
      </c>
      <c r="B723" s="1" t="s">
        <v>1333</v>
      </c>
      <c r="C723" s="1">
        <v>28</v>
      </c>
      <c r="D723" s="1" t="s">
        <v>32</v>
      </c>
      <c r="E723" s="1">
        <v>330000</v>
      </c>
      <c r="F723" s="7">
        <v>0.105</v>
      </c>
      <c r="G723" s="1">
        <v>36</v>
      </c>
      <c r="H723" s="1" t="s">
        <v>1953</v>
      </c>
      <c r="I723" s="8">
        <f t="shared" si="23"/>
        <v>10725.806356546685</v>
      </c>
      <c r="J723" s="8">
        <f t="shared" si="22"/>
        <v>386129.02883568069</v>
      </c>
      <c r="K723" s="1" t="s">
        <v>326</v>
      </c>
      <c r="L723" s="1">
        <v>838</v>
      </c>
      <c r="M723" s="1" t="s">
        <v>16</v>
      </c>
    </row>
    <row r="724" spans="1:13" x14ac:dyDescent="0.3">
      <c r="A724" s="1" t="s">
        <v>1954</v>
      </c>
      <c r="B724" s="1" t="s">
        <v>1433</v>
      </c>
      <c r="C724" s="1">
        <v>59</v>
      </c>
      <c r="D724" s="1" t="s">
        <v>42</v>
      </c>
      <c r="E724" s="1">
        <v>910000</v>
      </c>
      <c r="F724" s="7">
        <v>0.1</v>
      </c>
      <c r="G724" s="1">
        <v>24</v>
      </c>
      <c r="H724" s="1" t="s">
        <v>1955</v>
      </c>
      <c r="I724" s="8">
        <f t="shared" si="23"/>
        <v>41991.882967140024</v>
      </c>
      <c r="J724" s="8">
        <f t="shared" si="22"/>
        <v>1007805.1912113605</v>
      </c>
      <c r="K724" s="1" t="s">
        <v>147</v>
      </c>
      <c r="L724" s="1">
        <v>782</v>
      </c>
      <c r="M724" s="1" t="s">
        <v>16</v>
      </c>
    </row>
    <row r="725" spans="1:13" x14ac:dyDescent="0.3">
      <c r="A725" s="1" t="s">
        <v>1956</v>
      </c>
      <c r="B725" s="1" t="s">
        <v>1957</v>
      </c>
      <c r="C725" s="1">
        <v>46</v>
      </c>
      <c r="D725" s="1" t="s">
        <v>37</v>
      </c>
      <c r="E725" s="1">
        <v>1910000</v>
      </c>
      <c r="F725" s="7">
        <v>0.13</v>
      </c>
      <c r="G725" s="1">
        <v>12</v>
      </c>
      <c r="H725" s="1" t="s">
        <v>1958</v>
      </c>
      <c r="I725" s="8">
        <f t="shared" si="23"/>
        <v>170595.99660944054</v>
      </c>
      <c r="J725" s="8">
        <f t="shared" si="22"/>
        <v>2047151.9593132865</v>
      </c>
      <c r="K725" s="1" t="s">
        <v>82</v>
      </c>
      <c r="L725" s="1">
        <v>626</v>
      </c>
      <c r="M725" s="1" t="s">
        <v>20</v>
      </c>
    </row>
    <row r="726" spans="1:13" x14ac:dyDescent="0.3">
      <c r="A726" s="1" t="s">
        <v>1959</v>
      </c>
      <c r="B726" s="1" t="s">
        <v>1096</v>
      </c>
      <c r="C726" s="1">
        <v>54</v>
      </c>
      <c r="D726" s="1" t="s">
        <v>42</v>
      </c>
      <c r="E726" s="1">
        <v>1260000</v>
      </c>
      <c r="F726" s="7">
        <v>0.09</v>
      </c>
      <c r="G726" s="1">
        <v>48</v>
      </c>
      <c r="H726" s="1" t="s">
        <v>1960</v>
      </c>
      <c r="I726" s="8">
        <f t="shared" si="23"/>
        <v>31355.153391157102</v>
      </c>
      <c r="J726" s="8">
        <f t="shared" si="22"/>
        <v>1505047.3627755409</v>
      </c>
      <c r="K726" s="1" t="s">
        <v>48</v>
      </c>
      <c r="L726" s="1">
        <v>665</v>
      </c>
      <c r="M726" s="1" t="s">
        <v>16</v>
      </c>
    </row>
    <row r="727" spans="1:13" x14ac:dyDescent="0.3">
      <c r="A727" s="1" t="s">
        <v>1961</v>
      </c>
      <c r="B727" s="1" t="s">
        <v>1832</v>
      </c>
      <c r="C727" s="1">
        <v>23</v>
      </c>
      <c r="D727" s="1" t="s">
        <v>27</v>
      </c>
      <c r="E727" s="1">
        <v>690000</v>
      </c>
      <c r="F727" s="7">
        <v>7.4999999999999997E-2</v>
      </c>
      <c r="G727" s="1">
        <v>240</v>
      </c>
      <c r="H727" s="1" t="s">
        <v>582</v>
      </c>
      <c r="I727" s="8">
        <f t="shared" si="23"/>
        <v>5558.5930355074697</v>
      </c>
      <c r="J727" s="8">
        <f t="shared" si="22"/>
        <v>1334062.3285217928</v>
      </c>
      <c r="K727" s="1" t="s">
        <v>48</v>
      </c>
      <c r="L727" s="1">
        <v>703</v>
      </c>
      <c r="M727" s="1" t="s">
        <v>16</v>
      </c>
    </row>
    <row r="728" spans="1:13" x14ac:dyDescent="0.3">
      <c r="A728" s="1" t="s">
        <v>1962</v>
      </c>
      <c r="B728" s="1" t="s">
        <v>1963</v>
      </c>
      <c r="C728" s="1">
        <v>32</v>
      </c>
      <c r="D728" s="1" t="s">
        <v>23</v>
      </c>
      <c r="E728" s="1">
        <v>9310000</v>
      </c>
      <c r="F728" s="7">
        <v>0.13</v>
      </c>
      <c r="G728" s="1">
        <v>240</v>
      </c>
      <c r="H728" s="1" t="s">
        <v>1964</v>
      </c>
      <c r="I728" s="8">
        <f t="shared" si="23"/>
        <v>109073.69872001006</v>
      </c>
      <c r="J728" s="8">
        <f t="shared" si="22"/>
        <v>26177687.692802414</v>
      </c>
      <c r="K728" s="1" t="s">
        <v>48</v>
      </c>
      <c r="L728" s="1">
        <v>652</v>
      </c>
      <c r="M728" s="1" t="s">
        <v>20</v>
      </c>
    </row>
    <row r="729" spans="1:13" x14ac:dyDescent="0.3">
      <c r="A729" s="1" t="s">
        <v>1965</v>
      </c>
      <c r="B729" s="1" t="s">
        <v>1966</v>
      </c>
      <c r="C729" s="1">
        <v>21</v>
      </c>
      <c r="D729" s="1" t="s">
        <v>42</v>
      </c>
      <c r="E729" s="1">
        <v>1450000</v>
      </c>
      <c r="F729" s="7">
        <v>0.11</v>
      </c>
      <c r="G729" s="1">
        <v>120</v>
      </c>
      <c r="H729" s="1" t="s">
        <v>1967</v>
      </c>
      <c r="I729" s="8">
        <f t="shared" si="23"/>
        <v>19973.751637328762</v>
      </c>
      <c r="J729" s="8">
        <f t="shared" si="22"/>
        <v>2396850.1964794514</v>
      </c>
      <c r="K729" s="1" t="s">
        <v>326</v>
      </c>
      <c r="L729" s="1">
        <v>743</v>
      </c>
      <c r="M729" s="1" t="s">
        <v>20</v>
      </c>
    </row>
    <row r="730" spans="1:13" x14ac:dyDescent="0.3">
      <c r="A730" s="1" t="s">
        <v>1968</v>
      </c>
      <c r="B730" s="1" t="s">
        <v>723</v>
      </c>
      <c r="C730" s="1">
        <v>64</v>
      </c>
      <c r="D730" s="1" t="s">
        <v>37</v>
      </c>
      <c r="E730" s="1">
        <v>4780000</v>
      </c>
      <c r="F730" s="7">
        <v>9.5000000000000001E-2</v>
      </c>
      <c r="G730" s="1">
        <v>36</v>
      </c>
      <c r="H730" s="1" t="s">
        <v>1969</v>
      </c>
      <c r="I730" s="8">
        <f t="shared" si="23"/>
        <v>153117.49976093645</v>
      </c>
      <c r="J730" s="8">
        <f t="shared" si="22"/>
        <v>5512229.9913937123</v>
      </c>
      <c r="K730" s="1" t="s">
        <v>226</v>
      </c>
      <c r="L730" s="1">
        <v>715</v>
      </c>
      <c r="M730" s="1" t="s">
        <v>16</v>
      </c>
    </row>
    <row r="731" spans="1:13" x14ac:dyDescent="0.3">
      <c r="A731" s="1" t="s">
        <v>1970</v>
      </c>
      <c r="B731" s="1" t="s">
        <v>1229</v>
      </c>
      <c r="C731" s="1">
        <v>25</v>
      </c>
      <c r="D731" s="1" t="s">
        <v>27</v>
      </c>
      <c r="E731" s="1">
        <v>220000</v>
      </c>
      <c r="F731" s="7">
        <v>0.1</v>
      </c>
      <c r="G731" s="1">
        <v>24</v>
      </c>
      <c r="H731" s="1" t="s">
        <v>1971</v>
      </c>
      <c r="I731" s="8">
        <f t="shared" si="23"/>
        <v>10151.883794253632</v>
      </c>
      <c r="J731" s="8">
        <f t="shared" si="22"/>
        <v>243645.21106208715</v>
      </c>
      <c r="K731" s="1" t="s">
        <v>151</v>
      </c>
      <c r="L731" s="1">
        <v>639</v>
      </c>
      <c r="M731" s="1" t="s">
        <v>20</v>
      </c>
    </row>
    <row r="732" spans="1:13" x14ac:dyDescent="0.3">
      <c r="A732" s="1" t="s">
        <v>1972</v>
      </c>
      <c r="B732" s="1" t="s">
        <v>474</v>
      </c>
      <c r="C732" s="1">
        <v>50</v>
      </c>
      <c r="D732" s="1" t="s">
        <v>37</v>
      </c>
      <c r="E732" s="1">
        <v>1460000</v>
      </c>
      <c r="F732" s="7">
        <v>7.4999999999999997E-2</v>
      </c>
      <c r="G732" s="1">
        <v>36</v>
      </c>
      <c r="H732" s="1" t="s">
        <v>1973</v>
      </c>
      <c r="I732" s="8">
        <f t="shared" si="23"/>
        <v>45415.078514558394</v>
      </c>
      <c r="J732" s="8">
        <f t="shared" si="22"/>
        <v>1634942.8265241021</v>
      </c>
      <c r="K732" s="1" t="s">
        <v>212</v>
      </c>
      <c r="L732" s="1">
        <v>723</v>
      </c>
      <c r="M732" s="1" t="s">
        <v>20</v>
      </c>
    </row>
    <row r="733" spans="1:13" x14ac:dyDescent="0.3">
      <c r="A733" s="1" t="s">
        <v>1974</v>
      </c>
      <c r="B733" s="1" t="s">
        <v>435</v>
      </c>
      <c r="C733" s="1">
        <v>50</v>
      </c>
      <c r="D733" s="1" t="s">
        <v>27</v>
      </c>
      <c r="E733" s="1">
        <v>380000</v>
      </c>
      <c r="F733" s="7">
        <v>0.1</v>
      </c>
      <c r="G733" s="1">
        <v>180</v>
      </c>
      <c r="H733" s="1" t="s">
        <v>1975</v>
      </c>
      <c r="I733" s="8">
        <f t="shared" si="23"/>
        <v>4083.4994472908415</v>
      </c>
      <c r="J733" s="8">
        <f t="shared" si="22"/>
        <v>735029.90051235142</v>
      </c>
      <c r="K733" s="1" t="s">
        <v>68</v>
      </c>
      <c r="L733" s="1">
        <v>671</v>
      </c>
      <c r="M733" s="1" t="s">
        <v>16</v>
      </c>
    </row>
    <row r="734" spans="1:13" x14ac:dyDescent="0.3">
      <c r="A734" s="1" t="s">
        <v>1976</v>
      </c>
      <c r="B734" s="1" t="s">
        <v>1977</v>
      </c>
      <c r="C734" s="1">
        <v>37</v>
      </c>
      <c r="D734" s="1" t="s">
        <v>32</v>
      </c>
      <c r="E734" s="1">
        <v>460000</v>
      </c>
      <c r="F734" s="7">
        <v>9.5000000000000001E-2</v>
      </c>
      <c r="G734" s="1">
        <v>12</v>
      </c>
      <c r="H734" s="1" t="s">
        <v>1978</v>
      </c>
      <c r="I734" s="8">
        <f t="shared" si="23"/>
        <v>40334.415416039039</v>
      </c>
      <c r="J734" s="8">
        <f t="shared" si="22"/>
        <v>484012.9849924685</v>
      </c>
      <c r="K734" s="1" t="s">
        <v>56</v>
      </c>
      <c r="L734" s="1">
        <v>692</v>
      </c>
      <c r="M734" s="1" t="s">
        <v>16</v>
      </c>
    </row>
    <row r="735" spans="1:13" x14ac:dyDescent="0.3">
      <c r="A735" s="1" t="s">
        <v>1979</v>
      </c>
      <c r="B735" s="1" t="s">
        <v>1937</v>
      </c>
      <c r="C735" s="1">
        <v>43</v>
      </c>
      <c r="D735" s="1" t="s">
        <v>18</v>
      </c>
      <c r="E735" s="1">
        <v>1340000</v>
      </c>
      <c r="F735" s="7">
        <v>9.5000000000000001E-2</v>
      </c>
      <c r="G735" s="1">
        <v>240</v>
      </c>
      <c r="H735" s="1" t="s">
        <v>1980</v>
      </c>
      <c r="I735" s="8">
        <f t="shared" si="23"/>
        <v>12490.557916969141</v>
      </c>
      <c r="J735" s="8">
        <f t="shared" si="22"/>
        <v>2997733.9000725937</v>
      </c>
      <c r="K735" s="1" t="s">
        <v>104</v>
      </c>
      <c r="L735" s="1">
        <v>655</v>
      </c>
      <c r="M735" s="1" t="s">
        <v>20</v>
      </c>
    </row>
    <row r="736" spans="1:13" x14ac:dyDescent="0.3">
      <c r="A736" s="1" t="s">
        <v>1981</v>
      </c>
      <c r="B736" s="1" t="s">
        <v>66</v>
      </c>
      <c r="C736" s="1">
        <v>35</v>
      </c>
      <c r="D736" s="1" t="s">
        <v>18</v>
      </c>
      <c r="E736" s="1">
        <v>1930000</v>
      </c>
      <c r="F736" s="7">
        <v>9.5000000000000001E-2</v>
      </c>
      <c r="G736" s="1">
        <v>240</v>
      </c>
      <c r="H736" s="1" t="s">
        <v>1982</v>
      </c>
      <c r="I736" s="8">
        <f t="shared" si="23"/>
        <v>17990.131925186899</v>
      </c>
      <c r="J736" s="8">
        <f t="shared" si="22"/>
        <v>4317631.6620448558</v>
      </c>
      <c r="K736" s="1" t="s">
        <v>44</v>
      </c>
      <c r="L736" s="1">
        <v>854</v>
      </c>
      <c r="M736" s="1" t="s">
        <v>20</v>
      </c>
    </row>
    <row r="737" spans="1:13" x14ac:dyDescent="0.3">
      <c r="A737" s="1" t="s">
        <v>1983</v>
      </c>
      <c r="B737" s="1" t="s">
        <v>543</v>
      </c>
      <c r="C737" s="1">
        <v>57</v>
      </c>
      <c r="D737" s="1" t="s">
        <v>32</v>
      </c>
      <c r="E737" s="1">
        <v>240000</v>
      </c>
      <c r="F737" s="7">
        <v>0.11</v>
      </c>
      <c r="G737" s="1">
        <v>24</v>
      </c>
      <c r="H737" s="1" t="s">
        <v>1984</v>
      </c>
      <c r="I737" s="8">
        <f t="shared" si="23"/>
        <v>11185.881167166015</v>
      </c>
      <c r="J737" s="8">
        <f t="shared" si="22"/>
        <v>268461.14801198436</v>
      </c>
      <c r="K737" s="1" t="s">
        <v>82</v>
      </c>
      <c r="L737" s="1">
        <v>866</v>
      </c>
      <c r="M737" s="1" t="s">
        <v>312</v>
      </c>
    </row>
    <row r="738" spans="1:13" x14ac:dyDescent="0.3">
      <c r="A738" s="1" t="s">
        <v>1985</v>
      </c>
      <c r="B738" s="1" t="s">
        <v>1986</v>
      </c>
      <c r="C738" s="1">
        <v>41</v>
      </c>
      <c r="D738" s="1" t="s">
        <v>32</v>
      </c>
      <c r="E738" s="1">
        <v>330000</v>
      </c>
      <c r="F738" s="7">
        <v>0.13</v>
      </c>
      <c r="G738" s="1">
        <v>24</v>
      </c>
      <c r="H738" s="1" t="s">
        <v>1987</v>
      </c>
      <c r="I738" s="8">
        <f t="shared" si="23"/>
        <v>15688.801454188833</v>
      </c>
      <c r="J738" s="8">
        <f t="shared" si="22"/>
        <v>376531.234900532</v>
      </c>
      <c r="K738" s="1" t="s">
        <v>64</v>
      </c>
      <c r="L738" s="1">
        <v>672</v>
      </c>
      <c r="M738" s="1" t="s">
        <v>16</v>
      </c>
    </row>
    <row r="739" spans="1:13" x14ac:dyDescent="0.3">
      <c r="A739" s="1" t="s">
        <v>1988</v>
      </c>
      <c r="B739" s="1" t="s">
        <v>1989</v>
      </c>
      <c r="C739" s="1">
        <v>34</v>
      </c>
      <c r="D739" s="1" t="s">
        <v>32</v>
      </c>
      <c r="E739" s="1">
        <v>480000</v>
      </c>
      <c r="F739" s="7">
        <v>0.125</v>
      </c>
      <c r="G739" s="1">
        <v>180</v>
      </c>
      <c r="H739" s="1" t="s">
        <v>1990</v>
      </c>
      <c r="I739" s="8">
        <f t="shared" si="23"/>
        <v>5916.105995968308</v>
      </c>
      <c r="J739" s="8">
        <f t="shared" si="22"/>
        <v>1064899.0792742954</v>
      </c>
      <c r="K739" s="1" t="s">
        <v>151</v>
      </c>
      <c r="L739" s="1">
        <v>558</v>
      </c>
      <c r="M739" s="1" t="s">
        <v>16</v>
      </c>
    </row>
    <row r="740" spans="1:13" x14ac:dyDescent="0.3">
      <c r="A740" s="1" t="s">
        <v>1991</v>
      </c>
      <c r="B740" s="1" t="s">
        <v>1992</v>
      </c>
      <c r="C740" s="1">
        <v>22</v>
      </c>
      <c r="D740" s="1" t="s">
        <v>18</v>
      </c>
      <c r="E740" s="1">
        <v>1790000</v>
      </c>
      <c r="F740" s="7">
        <v>0.08</v>
      </c>
      <c r="G740" s="1">
        <v>36</v>
      </c>
      <c r="H740" s="1" t="s">
        <v>469</v>
      </c>
      <c r="I740" s="8">
        <f t="shared" si="23"/>
        <v>56092.094175961218</v>
      </c>
      <c r="J740" s="8">
        <f t="shared" si="22"/>
        <v>2019315.3903346038</v>
      </c>
      <c r="K740" s="1" t="s">
        <v>48</v>
      </c>
      <c r="L740" s="1">
        <v>811</v>
      </c>
      <c r="M740" s="1" t="s">
        <v>20</v>
      </c>
    </row>
    <row r="741" spans="1:13" x14ac:dyDescent="0.3">
      <c r="A741" s="1" t="s">
        <v>1993</v>
      </c>
      <c r="B741" s="1" t="s">
        <v>1994</v>
      </c>
      <c r="C741" s="1">
        <v>31</v>
      </c>
      <c r="D741" s="1" t="s">
        <v>32</v>
      </c>
      <c r="E741" s="1">
        <v>70000</v>
      </c>
      <c r="F741" s="7">
        <v>0.09</v>
      </c>
      <c r="G741" s="1">
        <v>240</v>
      </c>
      <c r="H741" s="1" t="s">
        <v>457</v>
      </c>
      <c r="I741" s="8">
        <f t="shared" si="23"/>
        <v>629.80816909512112</v>
      </c>
      <c r="J741" s="8">
        <f t="shared" si="22"/>
        <v>151153.96058282908</v>
      </c>
      <c r="K741" s="1" t="s">
        <v>56</v>
      </c>
      <c r="L741" s="1">
        <v>622</v>
      </c>
      <c r="M741" s="1" t="s">
        <v>16</v>
      </c>
    </row>
    <row r="742" spans="1:13" x14ac:dyDescent="0.3">
      <c r="A742" s="1" t="s">
        <v>1995</v>
      </c>
      <c r="B742" s="1" t="s">
        <v>1133</v>
      </c>
      <c r="C742" s="1">
        <v>59</v>
      </c>
      <c r="D742" s="1" t="s">
        <v>27</v>
      </c>
      <c r="E742" s="1">
        <v>900000</v>
      </c>
      <c r="F742" s="7">
        <v>8.5000000000000006E-2</v>
      </c>
      <c r="G742" s="1">
        <v>12</v>
      </c>
      <c r="H742" s="1" t="s">
        <v>1996</v>
      </c>
      <c r="I742" s="8">
        <f t="shared" si="23"/>
        <v>78497.804214083459</v>
      </c>
      <c r="J742" s="8">
        <f t="shared" si="22"/>
        <v>941973.65056900145</v>
      </c>
      <c r="K742" s="1" t="s">
        <v>249</v>
      </c>
      <c r="L742" s="1">
        <v>772</v>
      </c>
      <c r="M742" s="1" t="s">
        <v>20</v>
      </c>
    </row>
    <row r="743" spans="1:13" x14ac:dyDescent="0.3">
      <c r="A743" s="1" t="s">
        <v>1997</v>
      </c>
      <c r="B743" s="1" t="s">
        <v>1998</v>
      </c>
      <c r="C743" s="1">
        <v>58</v>
      </c>
      <c r="D743" s="1" t="s">
        <v>37</v>
      </c>
      <c r="E743" s="1">
        <v>4200000</v>
      </c>
      <c r="F743" s="7">
        <v>9.5000000000000001E-2</v>
      </c>
      <c r="G743" s="1">
        <v>120</v>
      </c>
      <c r="H743" s="1" t="s">
        <v>1999</v>
      </c>
      <c r="I743" s="8">
        <f t="shared" si="23"/>
        <v>54346.974175526353</v>
      </c>
      <c r="J743" s="8">
        <f t="shared" si="22"/>
        <v>6521636.9010631628</v>
      </c>
      <c r="K743" s="1" t="s">
        <v>159</v>
      </c>
      <c r="L743" s="1">
        <v>590</v>
      </c>
      <c r="M743" s="1" t="s">
        <v>16</v>
      </c>
    </row>
    <row r="744" spans="1:13" x14ac:dyDescent="0.3">
      <c r="A744" s="1" t="s">
        <v>2000</v>
      </c>
      <c r="B744" s="1" t="s">
        <v>2001</v>
      </c>
      <c r="C744" s="1">
        <v>54</v>
      </c>
      <c r="D744" s="1" t="s">
        <v>42</v>
      </c>
      <c r="E744" s="1">
        <v>1450000</v>
      </c>
      <c r="F744" s="7">
        <v>0.13</v>
      </c>
      <c r="G744" s="1">
        <v>240</v>
      </c>
      <c r="H744" s="1" t="s">
        <v>2002</v>
      </c>
      <c r="I744" s="8">
        <f t="shared" si="23"/>
        <v>16987.847813535402</v>
      </c>
      <c r="J744" s="8">
        <f t="shared" si="22"/>
        <v>4077083.4752484965</v>
      </c>
      <c r="K744" s="1" t="s">
        <v>25</v>
      </c>
      <c r="L744" s="1">
        <v>753</v>
      </c>
      <c r="M744" s="1" t="s">
        <v>16</v>
      </c>
    </row>
    <row r="745" spans="1:13" x14ac:dyDescent="0.3">
      <c r="A745" s="1" t="s">
        <v>2003</v>
      </c>
      <c r="B745" s="1" t="s">
        <v>904</v>
      </c>
      <c r="C745" s="1">
        <v>58</v>
      </c>
      <c r="D745" s="1" t="s">
        <v>23</v>
      </c>
      <c r="E745" s="1">
        <v>4670000</v>
      </c>
      <c r="F745" s="7">
        <v>0.11</v>
      </c>
      <c r="G745" s="1">
        <v>120</v>
      </c>
      <c r="H745" s="1" t="s">
        <v>2004</v>
      </c>
      <c r="I745" s="8">
        <f t="shared" si="23"/>
        <v>64329.255273327806</v>
      </c>
      <c r="J745" s="8">
        <f t="shared" si="22"/>
        <v>7719510.6327993367</v>
      </c>
      <c r="K745" s="1" t="s">
        <v>52</v>
      </c>
      <c r="L745" s="1">
        <v>813</v>
      </c>
      <c r="M745" s="1" t="s">
        <v>16</v>
      </c>
    </row>
    <row r="746" spans="1:13" x14ac:dyDescent="0.3">
      <c r="A746" s="1" t="s">
        <v>2005</v>
      </c>
      <c r="B746" s="1" t="s">
        <v>748</v>
      </c>
      <c r="C746" s="1">
        <v>54</v>
      </c>
      <c r="D746" s="1" t="s">
        <v>23</v>
      </c>
      <c r="E746" s="1">
        <v>8130000</v>
      </c>
      <c r="F746" s="7">
        <v>0.1</v>
      </c>
      <c r="G746" s="1">
        <v>84</v>
      </c>
      <c r="H746" s="1" t="s">
        <v>442</v>
      </c>
      <c r="I746" s="8">
        <f t="shared" si="23"/>
        <v>134967.62613858242</v>
      </c>
      <c r="J746" s="8">
        <f t="shared" si="22"/>
        <v>11337280.595640924</v>
      </c>
      <c r="K746" s="1" t="s">
        <v>191</v>
      </c>
      <c r="L746" s="1">
        <v>877</v>
      </c>
      <c r="M746" s="1" t="s">
        <v>20</v>
      </c>
    </row>
    <row r="747" spans="1:13" x14ac:dyDescent="0.3">
      <c r="A747" s="1" t="s">
        <v>2006</v>
      </c>
      <c r="B747" s="1" t="s">
        <v>1946</v>
      </c>
      <c r="C747" s="1">
        <v>38</v>
      </c>
      <c r="D747" s="1" t="s">
        <v>27</v>
      </c>
      <c r="E747" s="1">
        <v>210000</v>
      </c>
      <c r="F747" s="7">
        <v>9.5000000000000001E-2</v>
      </c>
      <c r="G747" s="1">
        <v>12</v>
      </c>
      <c r="H747" s="1" t="s">
        <v>2007</v>
      </c>
      <c r="I747" s="8">
        <f t="shared" si="23"/>
        <v>18413.537472539563</v>
      </c>
      <c r="J747" s="8">
        <f t="shared" si="22"/>
        <v>220962.44967047474</v>
      </c>
      <c r="K747" s="1" t="s">
        <v>226</v>
      </c>
      <c r="L747" s="1">
        <v>727</v>
      </c>
      <c r="M747" s="1" t="s">
        <v>20</v>
      </c>
    </row>
    <row r="748" spans="1:13" x14ac:dyDescent="0.3">
      <c r="A748" s="1" t="s">
        <v>2008</v>
      </c>
      <c r="B748" s="1" t="s">
        <v>2009</v>
      </c>
      <c r="C748" s="1">
        <v>50</v>
      </c>
      <c r="D748" s="1" t="s">
        <v>37</v>
      </c>
      <c r="E748" s="1">
        <v>2580000</v>
      </c>
      <c r="F748" s="7">
        <v>0.13</v>
      </c>
      <c r="G748" s="1">
        <v>240</v>
      </c>
      <c r="H748" s="1" t="s">
        <v>2010</v>
      </c>
      <c r="I748" s="8">
        <f t="shared" si="23"/>
        <v>30226.653350980232</v>
      </c>
      <c r="J748" s="8">
        <f t="shared" si="22"/>
        <v>7254396.8042352553</v>
      </c>
      <c r="K748" s="1" t="s">
        <v>75</v>
      </c>
      <c r="L748" s="1">
        <v>897</v>
      </c>
      <c r="M748" s="1" t="s">
        <v>16</v>
      </c>
    </row>
    <row r="749" spans="1:13" x14ac:dyDescent="0.3">
      <c r="A749" s="1" t="s">
        <v>2011</v>
      </c>
      <c r="B749" s="1" t="s">
        <v>2012</v>
      </c>
      <c r="C749" s="1">
        <v>35</v>
      </c>
      <c r="D749" s="1" t="s">
        <v>27</v>
      </c>
      <c r="E749" s="1">
        <v>410000</v>
      </c>
      <c r="F749" s="7">
        <v>0.105</v>
      </c>
      <c r="G749" s="1">
        <v>120</v>
      </c>
      <c r="H749" s="1" t="s">
        <v>418</v>
      </c>
      <c r="I749" s="8">
        <f t="shared" si="23"/>
        <v>5532.3348677974254</v>
      </c>
      <c r="J749" s="8">
        <f t="shared" si="22"/>
        <v>663880.18413569103</v>
      </c>
      <c r="K749" s="1" t="s">
        <v>39</v>
      </c>
      <c r="L749" s="1">
        <v>867</v>
      </c>
      <c r="M749" s="1" t="s">
        <v>20</v>
      </c>
    </row>
    <row r="750" spans="1:13" x14ac:dyDescent="0.3">
      <c r="A750" s="1" t="s">
        <v>2013</v>
      </c>
      <c r="B750" s="1" t="s">
        <v>1523</v>
      </c>
      <c r="C750" s="1">
        <v>47</v>
      </c>
      <c r="D750" s="1" t="s">
        <v>23</v>
      </c>
      <c r="E750" s="1">
        <v>1540000</v>
      </c>
      <c r="F750" s="7">
        <v>0.12</v>
      </c>
      <c r="G750" s="1">
        <v>48</v>
      </c>
      <c r="H750" s="1" t="s">
        <v>328</v>
      </c>
      <c r="I750" s="8">
        <f t="shared" si="23"/>
        <v>40554.10656516876</v>
      </c>
      <c r="J750" s="8">
        <f t="shared" si="22"/>
        <v>1946597.1151281004</v>
      </c>
      <c r="K750" s="1" t="s">
        <v>132</v>
      </c>
      <c r="L750" s="1">
        <v>633</v>
      </c>
      <c r="M750" s="1" t="s">
        <v>60</v>
      </c>
    </row>
    <row r="751" spans="1:13" x14ac:dyDescent="0.3">
      <c r="A751" s="1" t="s">
        <v>2014</v>
      </c>
      <c r="B751" s="1" t="s">
        <v>2015</v>
      </c>
      <c r="C751" s="1">
        <v>54</v>
      </c>
      <c r="D751" s="1" t="s">
        <v>27</v>
      </c>
      <c r="E751" s="1">
        <v>570000</v>
      </c>
      <c r="F751" s="7">
        <v>0.125</v>
      </c>
      <c r="G751" s="1">
        <v>180</v>
      </c>
      <c r="H751" s="1" t="s">
        <v>2016</v>
      </c>
      <c r="I751" s="8">
        <f t="shared" si="23"/>
        <v>7025.375870212365</v>
      </c>
      <c r="J751" s="8">
        <f t="shared" si="22"/>
        <v>1264567.6566382258</v>
      </c>
      <c r="K751" s="1" t="s">
        <v>366</v>
      </c>
      <c r="L751" s="1">
        <v>867</v>
      </c>
      <c r="M751" s="1" t="s">
        <v>16</v>
      </c>
    </row>
    <row r="752" spans="1:13" x14ac:dyDescent="0.3">
      <c r="A752" s="1" t="s">
        <v>2017</v>
      </c>
      <c r="B752" s="1" t="s">
        <v>1485</v>
      </c>
      <c r="C752" s="1">
        <v>58</v>
      </c>
      <c r="D752" s="1" t="s">
        <v>18</v>
      </c>
      <c r="E752" s="1">
        <v>750000</v>
      </c>
      <c r="F752" s="7">
        <v>0.08</v>
      </c>
      <c r="G752" s="1">
        <v>120</v>
      </c>
      <c r="H752" s="1" t="s">
        <v>2018</v>
      </c>
      <c r="I752" s="8">
        <f t="shared" si="23"/>
        <v>9099.5695766517692</v>
      </c>
      <c r="J752" s="8">
        <f t="shared" si="22"/>
        <v>1091948.3491982124</v>
      </c>
      <c r="K752" s="1" t="s">
        <v>75</v>
      </c>
      <c r="L752" s="1">
        <v>660</v>
      </c>
      <c r="M752" s="1" t="s">
        <v>20</v>
      </c>
    </row>
    <row r="753" spans="1:13" x14ac:dyDescent="0.3">
      <c r="A753" s="1" t="s">
        <v>2019</v>
      </c>
      <c r="B753" s="1" t="s">
        <v>1456</v>
      </c>
      <c r="C753" s="1">
        <v>53</v>
      </c>
      <c r="D753" s="1" t="s">
        <v>27</v>
      </c>
      <c r="E753" s="1">
        <v>470000</v>
      </c>
      <c r="F753" s="7">
        <v>0.09</v>
      </c>
      <c r="G753" s="1">
        <v>84</v>
      </c>
      <c r="H753" s="1" t="s">
        <v>2020</v>
      </c>
      <c r="I753" s="8">
        <f t="shared" si="23"/>
        <v>7561.8667822181187</v>
      </c>
      <c r="J753" s="8">
        <f t="shared" si="22"/>
        <v>635196.80970632192</v>
      </c>
      <c r="K753" s="1" t="s">
        <v>249</v>
      </c>
      <c r="L753" s="1">
        <v>800</v>
      </c>
      <c r="M753" s="1" t="s">
        <v>16</v>
      </c>
    </row>
    <row r="754" spans="1:13" x14ac:dyDescent="0.3">
      <c r="A754" s="1" t="s">
        <v>2021</v>
      </c>
      <c r="B754" s="1" t="s">
        <v>58</v>
      </c>
      <c r="C754" s="1">
        <v>44</v>
      </c>
      <c r="D754" s="1" t="s">
        <v>32</v>
      </c>
      <c r="E754" s="1">
        <v>480000</v>
      </c>
      <c r="F754" s="7">
        <v>0.11</v>
      </c>
      <c r="G754" s="1">
        <v>24</v>
      </c>
      <c r="H754" s="1" t="s">
        <v>600</v>
      </c>
      <c r="I754" s="8">
        <f t="shared" si="23"/>
        <v>22371.76233433203</v>
      </c>
      <c r="J754" s="8">
        <f t="shared" si="22"/>
        <v>536922.29602396872</v>
      </c>
      <c r="K754" s="1" t="s">
        <v>44</v>
      </c>
      <c r="L754" s="1">
        <v>556</v>
      </c>
      <c r="M754" s="1" t="s">
        <v>16</v>
      </c>
    </row>
    <row r="755" spans="1:13" x14ac:dyDescent="0.3">
      <c r="A755" s="1" t="s">
        <v>2022</v>
      </c>
      <c r="B755" s="1" t="s">
        <v>2023</v>
      </c>
      <c r="C755" s="1">
        <v>35</v>
      </c>
      <c r="D755" s="1" t="s">
        <v>23</v>
      </c>
      <c r="E755" s="1">
        <v>2460000</v>
      </c>
      <c r="F755" s="7">
        <v>0.09</v>
      </c>
      <c r="G755" s="1">
        <v>120</v>
      </c>
      <c r="H755" s="1" t="s">
        <v>2024</v>
      </c>
      <c r="I755" s="8">
        <f t="shared" si="23"/>
        <v>31162.240342561374</v>
      </c>
      <c r="J755" s="8">
        <f t="shared" si="22"/>
        <v>3739468.8411073647</v>
      </c>
      <c r="K755" s="1" t="s">
        <v>212</v>
      </c>
      <c r="L755" s="1">
        <v>633</v>
      </c>
      <c r="M755" s="1" t="s">
        <v>60</v>
      </c>
    </row>
    <row r="756" spans="1:13" x14ac:dyDescent="0.3">
      <c r="A756" s="1" t="s">
        <v>2025</v>
      </c>
      <c r="B756" s="1" t="s">
        <v>2026</v>
      </c>
      <c r="C756" s="1">
        <v>50</v>
      </c>
      <c r="D756" s="1" t="s">
        <v>32</v>
      </c>
      <c r="E756" s="1">
        <v>280000</v>
      </c>
      <c r="F756" s="7">
        <v>0.105</v>
      </c>
      <c r="G756" s="1">
        <v>36</v>
      </c>
      <c r="H756" s="1" t="s">
        <v>1298</v>
      </c>
      <c r="I756" s="8">
        <f t="shared" si="23"/>
        <v>9100.684181312341</v>
      </c>
      <c r="J756" s="8">
        <f t="shared" si="22"/>
        <v>327624.6305272443</v>
      </c>
      <c r="K756" s="1" t="s">
        <v>143</v>
      </c>
      <c r="L756" s="1">
        <v>757</v>
      </c>
      <c r="M756" s="1" t="s">
        <v>20</v>
      </c>
    </row>
    <row r="757" spans="1:13" x14ac:dyDescent="0.3">
      <c r="A757" s="1" t="s">
        <v>2027</v>
      </c>
      <c r="B757" s="1" t="s">
        <v>978</v>
      </c>
      <c r="C757" s="1">
        <v>62</v>
      </c>
      <c r="D757" s="1" t="s">
        <v>32</v>
      </c>
      <c r="E757" s="1">
        <v>110000</v>
      </c>
      <c r="F757" s="7">
        <v>0.13</v>
      </c>
      <c r="G757" s="1">
        <v>60</v>
      </c>
      <c r="H757" s="1" t="s">
        <v>2028</v>
      </c>
      <c r="I757" s="8">
        <f t="shared" si="23"/>
        <v>2502.8380348646424</v>
      </c>
      <c r="J757" s="8">
        <f t="shared" si="22"/>
        <v>150170.28209187853</v>
      </c>
      <c r="K757" s="1" t="s">
        <v>48</v>
      </c>
      <c r="L757" s="1">
        <v>863</v>
      </c>
      <c r="M757" s="1" t="s">
        <v>20</v>
      </c>
    </row>
    <row r="758" spans="1:13" x14ac:dyDescent="0.3">
      <c r="A758" s="1" t="s">
        <v>2029</v>
      </c>
      <c r="B758" s="1" t="s">
        <v>829</v>
      </c>
      <c r="C758" s="1">
        <v>37</v>
      </c>
      <c r="D758" s="1" t="s">
        <v>42</v>
      </c>
      <c r="E758" s="1">
        <v>800000</v>
      </c>
      <c r="F758" s="7">
        <v>0.11</v>
      </c>
      <c r="G758" s="1">
        <v>180</v>
      </c>
      <c r="H758" s="1" t="s">
        <v>328</v>
      </c>
      <c r="I758" s="8">
        <f t="shared" si="23"/>
        <v>9092.7754764487108</v>
      </c>
      <c r="J758" s="8">
        <f t="shared" si="22"/>
        <v>1636699.585760768</v>
      </c>
      <c r="K758" s="1" t="s">
        <v>108</v>
      </c>
      <c r="L758" s="1">
        <v>571</v>
      </c>
      <c r="M758" s="1" t="s">
        <v>16</v>
      </c>
    </row>
    <row r="759" spans="1:13" x14ac:dyDescent="0.3">
      <c r="A759" s="1" t="s">
        <v>2030</v>
      </c>
      <c r="B759" s="1" t="s">
        <v>2031</v>
      </c>
      <c r="C759" s="1">
        <v>25</v>
      </c>
      <c r="D759" s="1" t="s">
        <v>27</v>
      </c>
      <c r="E759" s="1">
        <v>320000</v>
      </c>
      <c r="F759" s="7">
        <v>0.115</v>
      </c>
      <c r="G759" s="1">
        <v>48</v>
      </c>
      <c r="H759" s="1" t="s">
        <v>2032</v>
      </c>
      <c r="I759" s="8">
        <f t="shared" si="23"/>
        <v>8348.4828498743645</v>
      </c>
      <c r="J759" s="8">
        <f t="shared" si="22"/>
        <v>400727.17679396947</v>
      </c>
      <c r="K759" s="1" t="s">
        <v>366</v>
      </c>
      <c r="L759" s="1">
        <v>552</v>
      </c>
      <c r="M759" s="1" t="s">
        <v>16</v>
      </c>
    </row>
    <row r="760" spans="1:13" x14ac:dyDescent="0.3">
      <c r="A760" s="1" t="s">
        <v>2033</v>
      </c>
      <c r="B760" s="1" t="s">
        <v>62</v>
      </c>
      <c r="C760" s="1">
        <v>49</v>
      </c>
      <c r="D760" s="1" t="s">
        <v>42</v>
      </c>
      <c r="E760" s="1">
        <v>1040000</v>
      </c>
      <c r="F760" s="7">
        <v>0.1</v>
      </c>
      <c r="G760" s="1">
        <v>24</v>
      </c>
      <c r="H760" s="1" t="s">
        <v>2034</v>
      </c>
      <c r="I760" s="8">
        <f t="shared" si="23"/>
        <v>47990.723391017164</v>
      </c>
      <c r="J760" s="8">
        <f t="shared" si="22"/>
        <v>1151777.3613844118</v>
      </c>
      <c r="K760" s="1" t="s">
        <v>191</v>
      </c>
      <c r="L760" s="1">
        <v>676</v>
      </c>
      <c r="M760" s="1" t="s">
        <v>20</v>
      </c>
    </row>
    <row r="761" spans="1:13" x14ac:dyDescent="0.3">
      <c r="A761" s="1" t="s">
        <v>2035</v>
      </c>
      <c r="B761" s="1" t="s">
        <v>2036</v>
      </c>
      <c r="C761" s="1">
        <v>24</v>
      </c>
      <c r="D761" s="1" t="s">
        <v>27</v>
      </c>
      <c r="E761" s="1">
        <v>850000</v>
      </c>
      <c r="F761" s="7">
        <v>7.4999999999999997E-2</v>
      </c>
      <c r="G761" s="1">
        <v>60</v>
      </c>
      <c r="H761" s="1" t="s">
        <v>158</v>
      </c>
      <c r="I761" s="8">
        <f t="shared" si="23"/>
        <v>17032.256306280196</v>
      </c>
      <c r="J761" s="8">
        <f t="shared" si="22"/>
        <v>1021935.3783768117</v>
      </c>
      <c r="K761" s="1" t="s">
        <v>151</v>
      </c>
      <c r="L761" s="1">
        <v>846</v>
      </c>
      <c r="M761" s="1" t="s">
        <v>16</v>
      </c>
    </row>
    <row r="762" spans="1:13" x14ac:dyDescent="0.3">
      <c r="A762" s="1" t="s">
        <v>2037</v>
      </c>
      <c r="B762" s="1" t="s">
        <v>2038</v>
      </c>
      <c r="C762" s="1">
        <v>30</v>
      </c>
      <c r="D762" s="1" t="s">
        <v>37</v>
      </c>
      <c r="E762" s="1">
        <v>4090000</v>
      </c>
      <c r="F762" s="7">
        <v>0.115</v>
      </c>
      <c r="G762" s="1">
        <v>240</v>
      </c>
      <c r="H762" s="1" t="s">
        <v>2039</v>
      </c>
      <c r="I762" s="8">
        <f t="shared" si="23"/>
        <v>43616.971928875937</v>
      </c>
      <c r="J762" s="8">
        <f t="shared" si="22"/>
        <v>10468073.262930226</v>
      </c>
      <c r="K762" s="1" t="s">
        <v>48</v>
      </c>
      <c r="L762" s="1">
        <v>737</v>
      </c>
      <c r="M762" s="1" t="s">
        <v>20</v>
      </c>
    </row>
    <row r="763" spans="1:13" x14ac:dyDescent="0.3">
      <c r="A763" s="1" t="s">
        <v>2040</v>
      </c>
      <c r="B763" s="1" t="s">
        <v>1420</v>
      </c>
      <c r="C763" s="1">
        <v>37</v>
      </c>
      <c r="D763" s="1" t="s">
        <v>18</v>
      </c>
      <c r="E763" s="1">
        <v>550000</v>
      </c>
      <c r="F763" s="7">
        <v>8.5000000000000006E-2</v>
      </c>
      <c r="G763" s="1">
        <v>120</v>
      </c>
      <c r="H763" s="1" t="s">
        <v>2041</v>
      </c>
      <c r="I763" s="8">
        <f t="shared" si="23"/>
        <v>6819.2128880981118</v>
      </c>
      <c r="J763" s="8">
        <f t="shared" si="22"/>
        <v>818305.54657177336</v>
      </c>
      <c r="K763" s="1" t="s">
        <v>191</v>
      </c>
      <c r="L763" s="1">
        <v>563</v>
      </c>
      <c r="M763" s="1" t="s">
        <v>16</v>
      </c>
    </row>
    <row r="764" spans="1:13" x14ac:dyDescent="0.3">
      <c r="A764" s="1" t="s">
        <v>2042</v>
      </c>
      <c r="B764" s="1" t="s">
        <v>58</v>
      </c>
      <c r="C764" s="1">
        <v>30</v>
      </c>
      <c r="D764" s="1" t="s">
        <v>32</v>
      </c>
      <c r="E764" s="1">
        <v>370000</v>
      </c>
      <c r="F764" s="7">
        <v>0.08</v>
      </c>
      <c r="G764" s="1">
        <v>60</v>
      </c>
      <c r="H764" s="1" t="s">
        <v>2043</v>
      </c>
      <c r="I764" s="8">
        <f t="shared" si="23"/>
        <v>7502.2658867130622</v>
      </c>
      <c r="J764" s="8">
        <f t="shared" si="22"/>
        <v>450135.95320278371</v>
      </c>
      <c r="K764" s="1" t="s">
        <v>68</v>
      </c>
      <c r="L764" s="1">
        <v>561</v>
      </c>
      <c r="M764" s="1" t="s">
        <v>16</v>
      </c>
    </row>
    <row r="765" spans="1:13" x14ac:dyDescent="0.3">
      <c r="A765" s="1" t="s">
        <v>2044</v>
      </c>
      <c r="B765" s="1" t="s">
        <v>2045</v>
      </c>
      <c r="C765" s="1">
        <v>37</v>
      </c>
      <c r="D765" s="1" t="s">
        <v>27</v>
      </c>
      <c r="E765" s="1">
        <v>250000</v>
      </c>
      <c r="F765" s="7">
        <v>9.5000000000000001E-2</v>
      </c>
      <c r="G765" s="1">
        <v>48</v>
      </c>
      <c r="H765" s="1" t="s">
        <v>2046</v>
      </c>
      <c r="I765" s="8">
        <f t="shared" si="23"/>
        <v>6280.7841677339256</v>
      </c>
      <c r="J765" s="8">
        <f t="shared" si="22"/>
        <v>301477.64005122846</v>
      </c>
      <c r="K765" s="1" t="s">
        <v>143</v>
      </c>
      <c r="L765" s="1">
        <v>636</v>
      </c>
      <c r="M765" s="1" t="s">
        <v>20</v>
      </c>
    </row>
    <row r="766" spans="1:13" x14ac:dyDescent="0.3">
      <c r="A766" s="1" t="s">
        <v>2047</v>
      </c>
      <c r="B766" s="1" t="s">
        <v>2048</v>
      </c>
      <c r="C766" s="1">
        <v>40</v>
      </c>
      <c r="D766" s="1" t="s">
        <v>27</v>
      </c>
      <c r="E766" s="1">
        <v>920000</v>
      </c>
      <c r="F766" s="7">
        <v>0.13</v>
      </c>
      <c r="G766" s="1">
        <v>12</v>
      </c>
      <c r="H766" s="1" t="s">
        <v>2049</v>
      </c>
      <c r="I766" s="8">
        <f t="shared" si="23"/>
        <v>82171.893654809057</v>
      </c>
      <c r="J766" s="8">
        <f t="shared" si="22"/>
        <v>986062.72385770874</v>
      </c>
      <c r="K766" s="1" t="s">
        <v>366</v>
      </c>
      <c r="L766" s="1">
        <v>561</v>
      </c>
      <c r="M766" s="1" t="s">
        <v>60</v>
      </c>
    </row>
    <row r="767" spans="1:13" x14ac:dyDescent="0.3">
      <c r="A767" s="1" t="s">
        <v>2050</v>
      </c>
      <c r="B767" s="1" t="s">
        <v>2051</v>
      </c>
      <c r="C767" s="1">
        <v>44</v>
      </c>
      <c r="D767" s="1" t="s">
        <v>15</v>
      </c>
      <c r="E767" s="1">
        <v>630000</v>
      </c>
      <c r="F767" s="7">
        <v>0.115</v>
      </c>
      <c r="G767" s="1">
        <v>12</v>
      </c>
      <c r="H767" s="1" t="s">
        <v>1401</v>
      </c>
      <c r="I767" s="8">
        <f t="shared" si="23"/>
        <v>55827.483935323828</v>
      </c>
      <c r="J767" s="8">
        <f t="shared" si="22"/>
        <v>669929.8072238859</v>
      </c>
      <c r="K767" s="1" t="s">
        <v>155</v>
      </c>
      <c r="L767" s="1">
        <v>574</v>
      </c>
      <c r="M767" s="1" t="s">
        <v>16</v>
      </c>
    </row>
    <row r="768" spans="1:13" x14ac:dyDescent="0.3">
      <c r="A768" s="1" t="s">
        <v>2052</v>
      </c>
      <c r="B768" s="1" t="s">
        <v>2053</v>
      </c>
      <c r="C768" s="1">
        <v>25</v>
      </c>
      <c r="D768" s="1" t="s">
        <v>37</v>
      </c>
      <c r="E768" s="1">
        <v>2240000</v>
      </c>
      <c r="F768" s="7">
        <v>0.105</v>
      </c>
      <c r="G768" s="1">
        <v>240</v>
      </c>
      <c r="H768" s="1" t="s">
        <v>2054</v>
      </c>
      <c r="I768" s="8">
        <f t="shared" si="23"/>
        <v>22363.709468116685</v>
      </c>
      <c r="J768" s="8">
        <f t="shared" si="22"/>
        <v>5367290.2723480044</v>
      </c>
      <c r="K768" s="1" t="s">
        <v>90</v>
      </c>
      <c r="L768" s="1">
        <v>850</v>
      </c>
      <c r="M768" s="1" t="s">
        <v>16</v>
      </c>
    </row>
    <row r="769" spans="1:13" x14ac:dyDescent="0.3">
      <c r="A769" s="1" t="s">
        <v>2055</v>
      </c>
      <c r="B769" s="1" t="s">
        <v>2056</v>
      </c>
      <c r="C769" s="1">
        <v>54</v>
      </c>
      <c r="D769" s="1" t="s">
        <v>32</v>
      </c>
      <c r="E769" s="1">
        <v>470000</v>
      </c>
      <c r="F769" s="7">
        <v>8.5000000000000006E-2</v>
      </c>
      <c r="G769" s="1">
        <v>24</v>
      </c>
      <c r="H769" s="1" t="s">
        <v>2057</v>
      </c>
      <c r="I769" s="8">
        <f t="shared" si="23"/>
        <v>21364.16719425144</v>
      </c>
      <c r="J769" s="8">
        <f t="shared" si="22"/>
        <v>512740.0126620346</v>
      </c>
      <c r="K769" s="1" t="s">
        <v>155</v>
      </c>
      <c r="L769" s="1">
        <v>792</v>
      </c>
      <c r="M769" s="1" t="s">
        <v>16</v>
      </c>
    </row>
    <row r="770" spans="1:13" x14ac:dyDescent="0.3">
      <c r="A770" s="1" t="s">
        <v>2058</v>
      </c>
      <c r="B770" s="1" t="s">
        <v>2059</v>
      </c>
      <c r="C770" s="1">
        <v>26</v>
      </c>
      <c r="D770" s="1" t="s">
        <v>37</v>
      </c>
      <c r="E770" s="1">
        <v>1000000</v>
      </c>
      <c r="F770" s="7">
        <v>0.115</v>
      </c>
      <c r="G770" s="1">
        <v>240</v>
      </c>
      <c r="H770" s="1" t="s">
        <v>2060</v>
      </c>
      <c r="I770" s="8">
        <f t="shared" si="23"/>
        <v>10664.296315128591</v>
      </c>
      <c r="J770" s="8">
        <f t="shared" si="22"/>
        <v>2559431.1156308618</v>
      </c>
      <c r="K770" s="1" t="s">
        <v>205</v>
      </c>
      <c r="L770" s="1">
        <v>671</v>
      </c>
      <c r="M770" s="1" t="s">
        <v>16</v>
      </c>
    </row>
    <row r="771" spans="1:13" x14ac:dyDescent="0.3">
      <c r="A771" s="1" t="s">
        <v>2061</v>
      </c>
      <c r="B771" s="1" t="s">
        <v>1704</v>
      </c>
      <c r="C771" s="1">
        <v>22</v>
      </c>
      <c r="D771" s="1" t="s">
        <v>42</v>
      </c>
      <c r="E771" s="1">
        <v>1500000</v>
      </c>
      <c r="F771" s="7">
        <v>0.12</v>
      </c>
      <c r="G771" s="1">
        <v>12</v>
      </c>
      <c r="H771" s="1" t="s">
        <v>2062</v>
      </c>
      <c r="I771" s="8">
        <f t="shared" si="23"/>
        <v>133273.18301751252</v>
      </c>
      <c r="J771" s="8">
        <f t="shared" si="22"/>
        <v>1599278.1962101501</v>
      </c>
      <c r="K771" s="1" t="s">
        <v>29</v>
      </c>
      <c r="L771" s="1">
        <v>696</v>
      </c>
      <c r="M771" s="1" t="s">
        <v>60</v>
      </c>
    </row>
    <row r="772" spans="1:13" x14ac:dyDescent="0.3">
      <c r="A772" s="1" t="s">
        <v>2063</v>
      </c>
      <c r="B772" s="1" t="s">
        <v>2064</v>
      </c>
      <c r="C772" s="1">
        <v>33</v>
      </c>
      <c r="D772" s="1" t="s">
        <v>42</v>
      </c>
      <c r="E772" s="1">
        <v>1040000</v>
      </c>
      <c r="F772" s="7">
        <v>7.4999999999999997E-2</v>
      </c>
      <c r="G772" s="1">
        <v>120</v>
      </c>
      <c r="H772" s="1" t="s">
        <v>2065</v>
      </c>
      <c r="I772" s="8">
        <f t="shared" si="23"/>
        <v>12344.98399012884</v>
      </c>
      <c r="J772" s="8">
        <f t="shared" ref="J772:J835" si="24">(I772*G772)</f>
        <v>1481398.0788154607</v>
      </c>
      <c r="K772" s="1" t="s">
        <v>64</v>
      </c>
      <c r="L772" s="1">
        <v>604</v>
      </c>
      <c r="M772" s="1" t="s">
        <v>16</v>
      </c>
    </row>
    <row r="773" spans="1:13" x14ac:dyDescent="0.3">
      <c r="A773" s="1" t="s">
        <v>2066</v>
      </c>
      <c r="B773" s="1" t="s">
        <v>486</v>
      </c>
      <c r="C773" s="1">
        <v>63</v>
      </c>
      <c r="D773" s="1" t="s">
        <v>18</v>
      </c>
      <c r="E773" s="1">
        <v>1320000</v>
      </c>
      <c r="F773" s="7">
        <v>8.5000000000000006E-2</v>
      </c>
      <c r="G773" s="1">
        <v>48</v>
      </c>
      <c r="H773" s="1" t="s">
        <v>2067</v>
      </c>
      <c r="I773" s="8">
        <f t="shared" ref="I773:I836" si="25">PMT(F773/12,G773, -E773)</f>
        <v>32535.760433663134</v>
      </c>
      <c r="J773" s="8">
        <f t="shared" si="24"/>
        <v>1561716.5008158304</v>
      </c>
      <c r="K773" s="1" t="s">
        <v>108</v>
      </c>
      <c r="L773" s="1">
        <v>787</v>
      </c>
      <c r="M773" s="1" t="s">
        <v>60</v>
      </c>
    </row>
    <row r="774" spans="1:13" x14ac:dyDescent="0.3">
      <c r="A774" s="1" t="s">
        <v>2068</v>
      </c>
      <c r="B774" s="1" t="s">
        <v>1418</v>
      </c>
      <c r="C774" s="1">
        <v>63</v>
      </c>
      <c r="D774" s="1" t="s">
        <v>27</v>
      </c>
      <c r="E774" s="1">
        <v>390000</v>
      </c>
      <c r="F774" s="7">
        <v>0.09</v>
      </c>
      <c r="G774" s="1">
        <v>84</v>
      </c>
      <c r="H774" s="1" t="s">
        <v>624</v>
      </c>
      <c r="I774" s="8">
        <f t="shared" si="25"/>
        <v>6274.740521415034</v>
      </c>
      <c r="J774" s="8">
        <f t="shared" si="24"/>
        <v>527078.20379886287</v>
      </c>
      <c r="K774" s="1" t="s">
        <v>75</v>
      </c>
      <c r="L774" s="1">
        <v>722</v>
      </c>
      <c r="M774" s="1" t="s">
        <v>16</v>
      </c>
    </row>
    <row r="775" spans="1:13" x14ac:dyDescent="0.3">
      <c r="A775" s="1" t="s">
        <v>2069</v>
      </c>
      <c r="B775" s="1" t="s">
        <v>2070</v>
      </c>
      <c r="C775" s="1">
        <v>31</v>
      </c>
      <c r="D775" s="1" t="s">
        <v>18</v>
      </c>
      <c r="E775" s="1">
        <v>1450000</v>
      </c>
      <c r="F775" s="7">
        <v>0.09</v>
      </c>
      <c r="G775" s="1">
        <v>120</v>
      </c>
      <c r="H775" s="1" t="s">
        <v>1404</v>
      </c>
      <c r="I775" s="8">
        <f t="shared" si="25"/>
        <v>18367.987193786172</v>
      </c>
      <c r="J775" s="8">
        <f t="shared" si="24"/>
        <v>2204158.4632543405</v>
      </c>
      <c r="K775" s="1" t="s">
        <v>155</v>
      </c>
      <c r="L775" s="1">
        <v>770</v>
      </c>
      <c r="M775" s="1" t="s">
        <v>16</v>
      </c>
    </row>
    <row r="776" spans="1:13" x14ac:dyDescent="0.3">
      <c r="A776" s="1" t="s">
        <v>2071</v>
      </c>
      <c r="B776" s="1" t="s">
        <v>854</v>
      </c>
      <c r="C776" s="1">
        <v>43</v>
      </c>
      <c r="D776" s="1" t="s">
        <v>18</v>
      </c>
      <c r="E776" s="1">
        <v>1330000</v>
      </c>
      <c r="F776" s="7">
        <v>7.4999999999999997E-2</v>
      </c>
      <c r="G776" s="1">
        <v>84</v>
      </c>
      <c r="H776" s="1" t="s">
        <v>2072</v>
      </c>
      <c r="I776" s="8">
        <f t="shared" si="25"/>
        <v>20399.906884656313</v>
      </c>
      <c r="J776" s="8">
        <f t="shared" si="24"/>
        <v>1713592.1783111303</v>
      </c>
      <c r="K776" s="1" t="s">
        <v>90</v>
      </c>
      <c r="L776" s="1">
        <v>668</v>
      </c>
      <c r="M776" s="1" t="s">
        <v>16</v>
      </c>
    </row>
    <row r="777" spans="1:13" x14ac:dyDescent="0.3">
      <c r="A777" s="1" t="s">
        <v>2073</v>
      </c>
      <c r="B777" s="1" t="s">
        <v>2074</v>
      </c>
      <c r="C777" s="1">
        <v>36</v>
      </c>
      <c r="D777" s="1" t="s">
        <v>23</v>
      </c>
      <c r="E777" s="1">
        <v>3820000</v>
      </c>
      <c r="F777" s="7">
        <v>0.09</v>
      </c>
      <c r="G777" s="1">
        <v>24</v>
      </c>
      <c r="H777" s="1" t="s">
        <v>2075</v>
      </c>
      <c r="I777" s="8">
        <f t="shared" si="25"/>
        <v>174515.71550644122</v>
      </c>
      <c r="J777" s="8">
        <f t="shared" si="24"/>
        <v>4188377.1721545896</v>
      </c>
      <c r="K777" s="1" t="s">
        <v>143</v>
      </c>
      <c r="L777" s="1">
        <v>858</v>
      </c>
      <c r="M777" s="1" t="s">
        <v>20</v>
      </c>
    </row>
    <row r="778" spans="1:13" x14ac:dyDescent="0.3">
      <c r="A778" s="1" t="s">
        <v>2076</v>
      </c>
      <c r="B778" s="1" t="s">
        <v>1615</v>
      </c>
      <c r="C778" s="1">
        <v>51</v>
      </c>
      <c r="D778" s="1" t="s">
        <v>27</v>
      </c>
      <c r="E778" s="1">
        <v>440000</v>
      </c>
      <c r="F778" s="7">
        <v>7.4999999999999997E-2</v>
      </c>
      <c r="G778" s="1">
        <v>36</v>
      </c>
      <c r="H778" s="1" t="s">
        <v>194</v>
      </c>
      <c r="I778" s="8">
        <f t="shared" si="25"/>
        <v>13686.735990688832</v>
      </c>
      <c r="J778" s="8">
        <f t="shared" si="24"/>
        <v>492722.49566479796</v>
      </c>
      <c r="K778" s="1" t="s">
        <v>39</v>
      </c>
      <c r="L778" s="1">
        <v>732</v>
      </c>
      <c r="M778" s="1" t="s">
        <v>20</v>
      </c>
    </row>
    <row r="779" spans="1:13" x14ac:dyDescent="0.3">
      <c r="A779" s="1" t="s">
        <v>2077</v>
      </c>
      <c r="B779" s="1" t="s">
        <v>1900</v>
      </c>
      <c r="C779" s="1">
        <v>31</v>
      </c>
      <c r="D779" s="1" t="s">
        <v>15</v>
      </c>
      <c r="E779" s="1">
        <v>1680000</v>
      </c>
      <c r="F779" s="7">
        <v>0.11</v>
      </c>
      <c r="G779" s="1">
        <v>120</v>
      </c>
      <c r="H779" s="1" t="s">
        <v>2078</v>
      </c>
      <c r="I779" s="8">
        <f t="shared" si="25"/>
        <v>23142.001897042977</v>
      </c>
      <c r="J779" s="8">
        <f t="shared" si="24"/>
        <v>2777040.2276451574</v>
      </c>
      <c r="K779" s="1" t="s">
        <v>104</v>
      </c>
      <c r="L779" s="1">
        <v>837</v>
      </c>
      <c r="M779" s="1" t="s">
        <v>312</v>
      </c>
    </row>
    <row r="780" spans="1:13" x14ac:dyDescent="0.3">
      <c r="A780" s="1" t="s">
        <v>2079</v>
      </c>
      <c r="B780" s="1" t="s">
        <v>2080</v>
      </c>
      <c r="C780" s="1">
        <v>36</v>
      </c>
      <c r="D780" s="1" t="s">
        <v>27</v>
      </c>
      <c r="E780" s="1">
        <v>410000</v>
      </c>
      <c r="F780" s="7">
        <v>7.4999999999999997E-2</v>
      </c>
      <c r="G780" s="1">
        <v>60</v>
      </c>
      <c r="H780" s="1" t="s">
        <v>2081</v>
      </c>
      <c r="I780" s="8">
        <f t="shared" si="25"/>
        <v>8215.5589242057431</v>
      </c>
      <c r="J780" s="8">
        <f t="shared" si="24"/>
        <v>492933.53545234457</v>
      </c>
      <c r="K780" s="1" t="s">
        <v>159</v>
      </c>
      <c r="L780" s="1">
        <v>856</v>
      </c>
      <c r="M780" s="1" t="s">
        <v>16</v>
      </c>
    </row>
    <row r="781" spans="1:13" x14ac:dyDescent="0.3">
      <c r="A781" s="1" t="s">
        <v>2082</v>
      </c>
      <c r="B781" s="1" t="s">
        <v>2083</v>
      </c>
      <c r="C781" s="1">
        <v>28</v>
      </c>
      <c r="D781" s="1" t="s">
        <v>32</v>
      </c>
      <c r="E781" s="1">
        <v>200000</v>
      </c>
      <c r="F781" s="7">
        <v>0.1</v>
      </c>
      <c r="G781" s="1">
        <v>60</v>
      </c>
      <c r="H781" s="1" t="s">
        <v>642</v>
      </c>
      <c r="I781" s="8">
        <f t="shared" si="25"/>
        <v>4249.4089422536554</v>
      </c>
      <c r="J781" s="8">
        <f t="shared" si="24"/>
        <v>254964.53653521932</v>
      </c>
      <c r="K781" s="1" t="s">
        <v>34</v>
      </c>
      <c r="L781" s="1">
        <v>849</v>
      </c>
      <c r="M781" s="1" t="s">
        <v>16</v>
      </c>
    </row>
    <row r="782" spans="1:13" x14ac:dyDescent="0.3">
      <c r="A782" s="1" t="s">
        <v>2084</v>
      </c>
      <c r="B782" s="1" t="s">
        <v>1867</v>
      </c>
      <c r="C782" s="1">
        <v>24</v>
      </c>
      <c r="D782" s="1" t="s">
        <v>15</v>
      </c>
      <c r="E782" s="1">
        <v>1400000</v>
      </c>
      <c r="F782" s="7">
        <v>0.13</v>
      </c>
      <c r="G782" s="1">
        <v>240</v>
      </c>
      <c r="H782" s="1" t="s">
        <v>2085</v>
      </c>
      <c r="I782" s="8">
        <f t="shared" si="25"/>
        <v>16402.05995789625</v>
      </c>
      <c r="J782" s="8">
        <f t="shared" si="24"/>
        <v>3936494.3898951001</v>
      </c>
      <c r="K782" s="1" t="s">
        <v>48</v>
      </c>
      <c r="L782" s="1">
        <v>631</v>
      </c>
      <c r="M782" s="1" t="s">
        <v>20</v>
      </c>
    </row>
    <row r="783" spans="1:13" x14ac:dyDescent="0.3">
      <c r="A783" s="1" t="s">
        <v>2086</v>
      </c>
      <c r="B783" s="1" t="s">
        <v>113</v>
      </c>
      <c r="C783" s="1">
        <v>60</v>
      </c>
      <c r="D783" s="1" t="s">
        <v>27</v>
      </c>
      <c r="E783" s="1">
        <v>380000</v>
      </c>
      <c r="F783" s="7">
        <v>0.09</v>
      </c>
      <c r="G783" s="1">
        <v>120</v>
      </c>
      <c r="H783" s="1" t="s">
        <v>1570</v>
      </c>
      <c r="I783" s="8">
        <f t="shared" si="25"/>
        <v>4813.6794025094796</v>
      </c>
      <c r="J783" s="8">
        <f t="shared" si="24"/>
        <v>577641.5283011375</v>
      </c>
      <c r="K783" s="1" t="s">
        <v>151</v>
      </c>
      <c r="L783" s="1">
        <v>760</v>
      </c>
      <c r="M783" s="1" t="s">
        <v>16</v>
      </c>
    </row>
    <row r="784" spans="1:13" x14ac:dyDescent="0.3">
      <c r="A784" s="1" t="s">
        <v>2087</v>
      </c>
      <c r="B784" s="1" t="s">
        <v>2088</v>
      </c>
      <c r="C784" s="1">
        <v>24</v>
      </c>
      <c r="D784" s="1" t="s">
        <v>42</v>
      </c>
      <c r="E784" s="1">
        <v>1380000</v>
      </c>
      <c r="F784" s="7">
        <v>9.5000000000000001E-2</v>
      </c>
      <c r="G784" s="1">
        <v>84</v>
      </c>
      <c r="H784" s="1" t="s">
        <v>2089</v>
      </c>
      <c r="I784" s="8">
        <f t="shared" si="25"/>
        <v>22554.694720191819</v>
      </c>
      <c r="J784" s="8">
        <f t="shared" si="24"/>
        <v>1894594.3564961129</v>
      </c>
      <c r="K784" s="1" t="s">
        <v>108</v>
      </c>
      <c r="L784" s="1">
        <v>699</v>
      </c>
      <c r="M784" s="1" t="s">
        <v>16</v>
      </c>
    </row>
    <row r="785" spans="1:13" x14ac:dyDescent="0.3">
      <c r="A785" s="1" t="s">
        <v>2090</v>
      </c>
      <c r="B785" s="1" t="s">
        <v>2091</v>
      </c>
      <c r="C785" s="1">
        <v>45</v>
      </c>
      <c r="D785" s="1" t="s">
        <v>32</v>
      </c>
      <c r="E785" s="1">
        <v>410000</v>
      </c>
      <c r="F785" s="7">
        <v>0.1</v>
      </c>
      <c r="G785" s="1">
        <v>60</v>
      </c>
      <c r="H785" s="1" t="s">
        <v>439</v>
      </c>
      <c r="I785" s="8">
        <f t="shared" si="25"/>
        <v>8711.2883316199932</v>
      </c>
      <c r="J785" s="8">
        <f t="shared" si="24"/>
        <v>522677.29989719961</v>
      </c>
      <c r="K785" s="1" t="s">
        <v>326</v>
      </c>
      <c r="L785" s="1">
        <v>586</v>
      </c>
      <c r="M785" s="1" t="s">
        <v>60</v>
      </c>
    </row>
    <row r="786" spans="1:13" x14ac:dyDescent="0.3">
      <c r="A786" s="1" t="s">
        <v>2092</v>
      </c>
      <c r="B786" s="1" t="s">
        <v>931</v>
      </c>
      <c r="C786" s="1">
        <v>23</v>
      </c>
      <c r="D786" s="1" t="s">
        <v>27</v>
      </c>
      <c r="E786" s="1">
        <v>950000</v>
      </c>
      <c r="F786" s="7">
        <v>0.11</v>
      </c>
      <c r="G786" s="1">
        <v>120</v>
      </c>
      <c r="H786" s="1" t="s">
        <v>2093</v>
      </c>
      <c r="I786" s="8">
        <f t="shared" si="25"/>
        <v>13086.251072732635</v>
      </c>
      <c r="J786" s="8">
        <f t="shared" si="24"/>
        <v>1570350.1287279162</v>
      </c>
      <c r="K786" s="1" t="s">
        <v>226</v>
      </c>
      <c r="L786" s="1">
        <v>861</v>
      </c>
      <c r="M786" s="1" t="s">
        <v>16</v>
      </c>
    </row>
    <row r="787" spans="1:13" x14ac:dyDescent="0.3">
      <c r="A787" s="1" t="s">
        <v>2094</v>
      </c>
      <c r="B787" s="1" t="s">
        <v>2095</v>
      </c>
      <c r="C787" s="1">
        <v>52</v>
      </c>
      <c r="D787" s="1" t="s">
        <v>32</v>
      </c>
      <c r="E787" s="1">
        <v>100000</v>
      </c>
      <c r="F787" s="7">
        <v>0.115</v>
      </c>
      <c r="G787" s="1">
        <v>48</v>
      </c>
      <c r="H787" s="1" t="s">
        <v>1710</v>
      </c>
      <c r="I787" s="8">
        <f t="shared" si="25"/>
        <v>2608.9008905857386</v>
      </c>
      <c r="J787" s="8">
        <f t="shared" si="24"/>
        <v>125227.24274811544</v>
      </c>
      <c r="K787" s="1" t="s">
        <v>143</v>
      </c>
      <c r="L787" s="1">
        <v>608</v>
      </c>
      <c r="M787" s="1" t="s">
        <v>16</v>
      </c>
    </row>
    <row r="788" spans="1:13" x14ac:dyDescent="0.3">
      <c r="A788" s="1" t="s">
        <v>2096</v>
      </c>
      <c r="B788" s="1" t="s">
        <v>2097</v>
      </c>
      <c r="C788" s="1">
        <v>23</v>
      </c>
      <c r="D788" s="1" t="s">
        <v>42</v>
      </c>
      <c r="E788" s="1">
        <v>580000</v>
      </c>
      <c r="F788" s="7">
        <v>0.105</v>
      </c>
      <c r="G788" s="1">
        <v>120</v>
      </c>
      <c r="H788" s="1" t="s">
        <v>2098</v>
      </c>
      <c r="I788" s="8">
        <f t="shared" si="25"/>
        <v>7826.2298129817254</v>
      </c>
      <c r="J788" s="8">
        <f t="shared" si="24"/>
        <v>939147.57755780709</v>
      </c>
      <c r="K788" s="1" t="s">
        <v>249</v>
      </c>
      <c r="L788" s="1">
        <v>680</v>
      </c>
      <c r="M788" s="1" t="s">
        <v>16</v>
      </c>
    </row>
    <row r="789" spans="1:13" x14ac:dyDescent="0.3">
      <c r="A789" s="1" t="s">
        <v>2099</v>
      </c>
      <c r="B789" s="1" t="s">
        <v>2100</v>
      </c>
      <c r="C789" s="1">
        <v>47</v>
      </c>
      <c r="D789" s="1" t="s">
        <v>23</v>
      </c>
      <c r="E789" s="1">
        <v>7910000</v>
      </c>
      <c r="F789" s="7">
        <v>0.125</v>
      </c>
      <c r="G789" s="1">
        <v>240</v>
      </c>
      <c r="H789" s="1" t="s">
        <v>1303</v>
      </c>
      <c r="I789" s="8">
        <f t="shared" si="25"/>
        <v>89868.717482406617</v>
      </c>
      <c r="J789" s="8">
        <f t="shared" si="24"/>
        <v>21568492.195777588</v>
      </c>
      <c r="K789" s="1" t="s">
        <v>187</v>
      </c>
      <c r="L789" s="1">
        <v>751</v>
      </c>
      <c r="M789" s="1" t="s">
        <v>60</v>
      </c>
    </row>
    <row r="790" spans="1:13" x14ac:dyDescent="0.3">
      <c r="A790" s="1" t="s">
        <v>2101</v>
      </c>
      <c r="B790" s="1" t="s">
        <v>1015</v>
      </c>
      <c r="C790" s="1">
        <v>49</v>
      </c>
      <c r="D790" s="1" t="s">
        <v>23</v>
      </c>
      <c r="E790" s="1">
        <v>1990000</v>
      </c>
      <c r="F790" s="7">
        <v>0.08</v>
      </c>
      <c r="G790" s="1">
        <v>240</v>
      </c>
      <c r="H790" s="1" t="s">
        <v>2102</v>
      </c>
      <c r="I790" s="8">
        <f t="shared" si="25"/>
        <v>16645.157372969912</v>
      </c>
      <c r="J790" s="8">
        <f t="shared" si="24"/>
        <v>3994837.7695127791</v>
      </c>
      <c r="K790" s="1" t="s">
        <v>143</v>
      </c>
      <c r="L790" s="1">
        <v>792</v>
      </c>
      <c r="M790" s="1" t="s">
        <v>20</v>
      </c>
    </row>
    <row r="791" spans="1:13" x14ac:dyDescent="0.3">
      <c r="A791" s="1" t="s">
        <v>2103</v>
      </c>
      <c r="B791" s="1" t="s">
        <v>2104</v>
      </c>
      <c r="C791" s="1">
        <v>52</v>
      </c>
      <c r="D791" s="1" t="s">
        <v>18</v>
      </c>
      <c r="E791" s="1">
        <v>780000</v>
      </c>
      <c r="F791" s="7">
        <v>0.125</v>
      </c>
      <c r="G791" s="1">
        <v>180</v>
      </c>
      <c r="H791" s="1" t="s">
        <v>2105</v>
      </c>
      <c r="I791" s="8">
        <f t="shared" si="25"/>
        <v>9613.6722434485</v>
      </c>
      <c r="J791" s="8">
        <f t="shared" si="24"/>
        <v>1730461.0038207299</v>
      </c>
      <c r="K791" s="1" t="s">
        <v>44</v>
      </c>
      <c r="L791" s="1">
        <v>584</v>
      </c>
      <c r="M791" s="1" t="s">
        <v>20</v>
      </c>
    </row>
    <row r="792" spans="1:13" x14ac:dyDescent="0.3">
      <c r="A792" s="1" t="s">
        <v>2106</v>
      </c>
      <c r="B792" s="1" t="s">
        <v>2107</v>
      </c>
      <c r="C792" s="1">
        <v>39</v>
      </c>
      <c r="D792" s="1" t="s">
        <v>37</v>
      </c>
      <c r="E792" s="1">
        <v>1560000</v>
      </c>
      <c r="F792" s="7">
        <v>7.4999999999999997E-2</v>
      </c>
      <c r="G792" s="1">
        <v>36</v>
      </c>
      <c r="H792" s="1" t="s">
        <v>1984</v>
      </c>
      <c r="I792" s="8">
        <f t="shared" si="25"/>
        <v>48525.700330624037</v>
      </c>
      <c r="J792" s="8">
        <f t="shared" si="24"/>
        <v>1746925.2119024652</v>
      </c>
      <c r="K792" s="1" t="s">
        <v>115</v>
      </c>
      <c r="L792" s="1">
        <v>642</v>
      </c>
      <c r="M792" s="1" t="s">
        <v>20</v>
      </c>
    </row>
    <row r="793" spans="1:13" x14ac:dyDescent="0.3">
      <c r="A793" s="1" t="s">
        <v>2108</v>
      </c>
      <c r="B793" s="1" t="s">
        <v>1918</v>
      </c>
      <c r="C793" s="1">
        <v>41</v>
      </c>
      <c r="D793" s="1" t="s">
        <v>27</v>
      </c>
      <c r="E793" s="1">
        <v>840000</v>
      </c>
      <c r="F793" s="7">
        <v>0.09</v>
      </c>
      <c r="G793" s="1">
        <v>84</v>
      </c>
      <c r="H793" s="1" t="s">
        <v>2109</v>
      </c>
      <c r="I793" s="8">
        <f t="shared" si="25"/>
        <v>13514.825738432382</v>
      </c>
      <c r="J793" s="8">
        <f t="shared" si="24"/>
        <v>1135245.3620283201</v>
      </c>
      <c r="K793" s="1" t="s">
        <v>21</v>
      </c>
      <c r="L793" s="1">
        <v>756</v>
      </c>
      <c r="M793" s="1" t="s">
        <v>20</v>
      </c>
    </row>
    <row r="794" spans="1:13" x14ac:dyDescent="0.3">
      <c r="A794" s="1" t="s">
        <v>2110</v>
      </c>
      <c r="B794" s="1" t="s">
        <v>1243</v>
      </c>
      <c r="C794" s="1">
        <v>25</v>
      </c>
      <c r="D794" s="1" t="s">
        <v>37</v>
      </c>
      <c r="E794" s="1">
        <v>1610000</v>
      </c>
      <c r="F794" s="7">
        <v>0.1</v>
      </c>
      <c r="G794" s="1">
        <v>240</v>
      </c>
      <c r="H794" s="1" t="s">
        <v>2111</v>
      </c>
      <c r="I794" s="8">
        <f t="shared" si="25"/>
        <v>15536.848485691527</v>
      </c>
      <c r="J794" s="8">
        <f t="shared" si="24"/>
        <v>3728843.6365659665</v>
      </c>
      <c r="K794" s="1" t="s">
        <v>94</v>
      </c>
      <c r="L794" s="1">
        <v>881</v>
      </c>
      <c r="M794" s="1" t="s">
        <v>16</v>
      </c>
    </row>
    <row r="795" spans="1:13" x14ac:dyDescent="0.3">
      <c r="A795" s="1" t="s">
        <v>2112</v>
      </c>
      <c r="B795" s="1" t="s">
        <v>404</v>
      </c>
      <c r="C795" s="1">
        <v>38</v>
      </c>
      <c r="D795" s="1" t="s">
        <v>32</v>
      </c>
      <c r="E795" s="1">
        <v>180000</v>
      </c>
      <c r="F795" s="7">
        <v>0.11</v>
      </c>
      <c r="G795" s="1">
        <v>240</v>
      </c>
      <c r="H795" s="1" t="s">
        <v>2113</v>
      </c>
      <c r="I795" s="8">
        <f t="shared" si="25"/>
        <v>1857.9391062769018</v>
      </c>
      <c r="J795" s="8">
        <f t="shared" si="24"/>
        <v>445905.38550645643</v>
      </c>
      <c r="K795" s="1" t="s">
        <v>75</v>
      </c>
      <c r="L795" s="1">
        <v>854</v>
      </c>
      <c r="M795" s="1" t="s">
        <v>312</v>
      </c>
    </row>
    <row r="796" spans="1:13" x14ac:dyDescent="0.3">
      <c r="A796" s="1" t="s">
        <v>2114</v>
      </c>
      <c r="B796" s="1" t="s">
        <v>207</v>
      </c>
      <c r="C796" s="1">
        <v>48</v>
      </c>
      <c r="D796" s="1" t="s">
        <v>27</v>
      </c>
      <c r="E796" s="1">
        <v>250000</v>
      </c>
      <c r="F796" s="7">
        <v>0.12</v>
      </c>
      <c r="G796" s="1">
        <v>180</v>
      </c>
      <c r="H796" s="1" t="s">
        <v>2115</v>
      </c>
      <c r="I796" s="8">
        <f t="shared" si="25"/>
        <v>3000.4201552287841</v>
      </c>
      <c r="J796" s="8">
        <f t="shared" si="24"/>
        <v>540075.62794118118</v>
      </c>
      <c r="K796" s="1" t="s">
        <v>48</v>
      </c>
      <c r="L796" s="1">
        <v>899</v>
      </c>
      <c r="M796" s="1" t="s">
        <v>60</v>
      </c>
    </row>
    <row r="797" spans="1:13" x14ac:dyDescent="0.3">
      <c r="A797" s="1" t="s">
        <v>2116</v>
      </c>
      <c r="B797" s="1" t="s">
        <v>823</v>
      </c>
      <c r="C797" s="1">
        <v>62</v>
      </c>
      <c r="D797" s="1" t="s">
        <v>23</v>
      </c>
      <c r="E797" s="1">
        <v>6400000</v>
      </c>
      <c r="F797" s="7">
        <v>0.11</v>
      </c>
      <c r="G797" s="1">
        <v>60</v>
      </c>
      <c r="H797" s="1" t="s">
        <v>1035</v>
      </c>
      <c r="I797" s="8">
        <f t="shared" si="25"/>
        <v>139151.50766491718</v>
      </c>
      <c r="J797" s="8">
        <f t="shared" si="24"/>
        <v>8349090.4598950306</v>
      </c>
      <c r="K797" s="1" t="s">
        <v>326</v>
      </c>
      <c r="L797" s="1">
        <v>762</v>
      </c>
      <c r="M797" s="1" t="s">
        <v>16</v>
      </c>
    </row>
    <row r="798" spans="1:13" x14ac:dyDescent="0.3">
      <c r="A798" s="1" t="s">
        <v>2117</v>
      </c>
      <c r="B798" s="1" t="s">
        <v>1515</v>
      </c>
      <c r="C798" s="1">
        <v>42</v>
      </c>
      <c r="D798" s="1" t="s">
        <v>15</v>
      </c>
      <c r="E798" s="1">
        <v>1940000</v>
      </c>
      <c r="F798" s="7">
        <v>8.5000000000000006E-2</v>
      </c>
      <c r="G798" s="1">
        <v>60</v>
      </c>
      <c r="H798" s="1" t="s">
        <v>2118</v>
      </c>
      <c r="I798" s="8">
        <f t="shared" si="25"/>
        <v>39802.070774479427</v>
      </c>
      <c r="J798" s="8">
        <f t="shared" si="24"/>
        <v>2388124.2464687657</v>
      </c>
      <c r="K798" s="1" t="s">
        <v>115</v>
      </c>
      <c r="L798" s="1">
        <v>708</v>
      </c>
      <c r="M798" s="1" t="s">
        <v>60</v>
      </c>
    </row>
    <row r="799" spans="1:13" x14ac:dyDescent="0.3">
      <c r="A799" s="1" t="s">
        <v>2119</v>
      </c>
      <c r="B799" s="1" t="s">
        <v>318</v>
      </c>
      <c r="C799" s="1">
        <v>41</v>
      </c>
      <c r="D799" s="1" t="s">
        <v>37</v>
      </c>
      <c r="E799" s="1">
        <v>2580000</v>
      </c>
      <c r="F799" s="7">
        <v>0.11</v>
      </c>
      <c r="G799" s="1">
        <v>84</v>
      </c>
      <c r="H799" s="1" t="s">
        <v>2120</v>
      </c>
      <c r="I799" s="8">
        <f t="shared" si="25"/>
        <v>44175.886002038802</v>
      </c>
      <c r="J799" s="8">
        <f t="shared" si="24"/>
        <v>3710774.4241712592</v>
      </c>
      <c r="K799" s="1" t="s">
        <v>191</v>
      </c>
      <c r="L799" s="1">
        <v>573</v>
      </c>
      <c r="M799" s="1" t="s">
        <v>16</v>
      </c>
    </row>
    <row r="800" spans="1:13" x14ac:dyDescent="0.3">
      <c r="A800" s="1" t="s">
        <v>2121</v>
      </c>
      <c r="B800" s="1" t="s">
        <v>2122</v>
      </c>
      <c r="C800" s="1">
        <v>26</v>
      </c>
      <c r="D800" s="1" t="s">
        <v>32</v>
      </c>
      <c r="E800" s="1">
        <v>450000</v>
      </c>
      <c r="F800" s="7">
        <v>0.12</v>
      </c>
      <c r="G800" s="1">
        <v>120</v>
      </c>
      <c r="H800" s="1" t="s">
        <v>2123</v>
      </c>
      <c r="I800" s="8">
        <f t="shared" si="25"/>
        <v>6456.1926781164311</v>
      </c>
      <c r="J800" s="8">
        <f t="shared" si="24"/>
        <v>774743.12137397169</v>
      </c>
      <c r="K800" s="1" t="s">
        <v>104</v>
      </c>
      <c r="L800" s="1">
        <v>842</v>
      </c>
      <c r="M800" s="1" t="s">
        <v>312</v>
      </c>
    </row>
    <row r="801" spans="1:13" x14ac:dyDescent="0.3">
      <c r="A801" s="1" t="s">
        <v>2124</v>
      </c>
      <c r="B801" s="1" t="s">
        <v>2125</v>
      </c>
      <c r="C801" s="1">
        <v>21</v>
      </c>
      <c r="D801" s="1" t="s">
        <v>37</v>
      </c>
      <c r="E801" s="1">
        <v>3790000</v>
      </c>
      <c r="F801" s="7">
        <v>0.115</v>
      </c>
      <c r="G801" s="1">
        <v>36</v>
      </c>
      <c r="H801" s="1" t="s">
        <v>2126</v>
      </c>
      <c r="I801" s="8">
        <f t="shared" si="25"/>
        <v>124979.06438040707</v>
      </c>
      <c r="J801" s="8">
        <f t="shared" si="24"/>
        <v>4499246.3176946547</v>
      </c>
      <c r="K801" s="1" t="s">
        <v>143</v>
      </c>
      <c r="L801" s="1">
        <v>553</v>
      </c>
      <c r="M801" s="1" t="s">
        <v>20</v>
      </c>
    </row>
    <row r="802" spans="1:13" x14ac:dyDescent="0.3">
      <c r="A802" s="1" t="s">
        <v>2127</v>
      </c>
      <c r="B802" s="1" t="s">
        <v>2128</v>
      </c>
      <c r="C802" s="1">
        <v>25</v>
      </c>
      <c r="D802" s="1" t="s">
        <v>23</v>
      </c>
      <c r="E802" s="1">
        <v>9210000</v>
      </c>
      <c r="F802" s="7">
        <v>0.1</v>
      </c>
      <c r="G802" s="1">
        <v>24</v>
      </c>
      <c r="H802" s="1" t="s">
        <v>2129</v>
      </c>
      <c r="I802" s="8">
        <f t="shared" si="25"/>
        <v>424994.77156852698</v>
      </c>
      <c r="J802" s="8">
        <f t="shared" si="24"/>
        <v>10199874.517644648</v>
      </c>
      <c r="K802" s="1" t="s">
        <v>119</v>
      </c>
      <c r="L802" s="1">
        <v>769</v>
      </c>
      <c r="M802" s="1" t="s">
        <v>20</v>
      </c>
    </row>
    <row r="803" spans="1:13" x14ac:dyDescent="0.3">
      <c r="A803" s="1" t="s">
        <v>2130</v>
      </c>
      <c r="B803" s="1" t="s">
        <v>2131</v>
      </c>
      <c r="C803" s="1">
        <v>61</v>
      </c>
      <c r="D803" s="1" t="s">
        <v>23</v>
      </c>
      <c r="E803" s="1">
        <v>3390000</v>
      </c>
      <c r="F803" s="7">
        <v>0.1</v>
      </c>
      <c r="G803" s="1">
        <v>48</v>
      </c>
      <c r="H803" s="1" t="s">
        <v>2132</v>
      </c>
      <c r="I803" s="8">
        <f t="shared" si="25"/>
        <v>85979.157843792971</v>
      </c>
      <c r="J803" s="8">
        <f t="shared" si="24"/>
        <v>4126999.5765020624</v>
      </c>
      <c r="K803" s="1" t="s">
        <v>115</v>
      </c>
      <c r="L803" s="1">
        <v>569</v>
      </c>
      <c r="M803" s="1" t="s">
        <v>16</v>
      </c>
    </row>
    <row r="804" spans="1:13" x14ac:dyDescent="0.3">
      <c r="A804" s="1" t="s">
        <v>2133</v>
      </c>
      <c r="B804" s="1" t="s">
        <v>2134</v>
      </c>
      <c r="C804" s="1">
        <v>32</v>
      </c>
      <c r="D804" s="1" t="s">
        <v>15</v>
      </c>
      <c r="E804" s="1">
        <v>1410000</v>
      </c>
      <c r="F804" s="7">
        <v>8.5000000000000006E-2</v>
      </c>
      <c r="G804" s="1">
        <v>180</v>
      </c>
      <c r="H804" s="1" t="s">
        <v>168</v>
      </c>
      <c r="I804" s="8">
        <f t="shared" si="25"/>
        <v>13884.827766750866</v>
      </c>
      <c r="J804" s="8">
        <f t="shared" si="24"/>
        <v>2499268.998015156</v>
      </c>
      <c r="K804" s="1" t="s">
        <v>94</v>
      </c>
      <c r="L804" s="1">
        <v>701</v>
      </c>
      <c r="M804" s="1" t="s">
        <v>20</v>
      </c>
    </row>
    <row r="805" spans="1:13" x14ac:dyDescent="0.3">
      <c r="A805" s="1" t="s">
        <v>2135</v>
      </c>
      <c r="B805" s="1" t="s">
        <v>2136</v>
      </c>
      <c r="C805" s="1">
        <v>46</v>
      </c>
      <c r="D805" s="1" t="s">
        <v>32</v>
      </c>
      <c r="E805" s="1">
        <v>380000</v>
      </c>
      <c r="F805" s="7">
        <v>9.5000000000000001E-2</v>
      </c>
      <c r="G805" s="1">
        <v>36</v>
      </c>
      <c r="H805" s="1" t="s">
        <v>2137</v>
      </c>
      <c r="I805" s="8">
        <f t="shared" si="25"/>
        <v>12172.520901497042</v>
      </c>
      <c r="J805" s="8">
        <f t="shared" si="24"/>
        <v>438210.75245389354</v>
      </c>
      <c r="K805" s="1" t="s">
        <v>68</v>
      </c>
      <c r="L805" s="1">
        <v>599</v>
      </c>
      <c r="M805" s="1" t="s">
        <v>20</v>
      </c>
    </row>
    <row r="806" spans="1:13" x14ac:dyDescent="0.3">
      <c r="A806" s="1" t="s">
        <v>2138</v>
      </c>
      <c r="B806" s="1" t="s">
        <v>2139</v>
      </c>
      <c r="C806" s="1">
        <v>54</v>
      </c>
      <c r="D806" s="1" t="s">
        <v>37</v>
      </c>
      <c r="E806" s="1">
        <v>2750000</v>
      </c>
      <c r="F806" s="7">
        <v>0.13</v>
      </c>
      <c r="G806" s="1">
        <v>24</v>
      </c>
      <c r="H806" s="1" t="s">
        <v>2140</v>
      </c>
      <c r="I806" s="8">
        <f t="shared" si="25"/>
        <v>130740.01211824028</v>
      </c>
      <c r="J806" s="8">
        <f t="shared" si="24"/>
        <v>3137760.2908377666</v>
      </c>
      <c r="K806" s="1" t="s">
        <v>29</v>
      </c>
      <c r="L806" s="1">
        <v>726</v>
      </c>
      <c r="M806" s="1" t="s">
        <v>16</v>
      </c>
    </row>
    <row r="807" spans="1:13" x14ac:dyDescent="0.3">
      <c r="A807" s="1" t="s">
        <v>2141</v>
      </c>
      <c r="B807" s="1" t="s">
        <v>185</v>
      </c>
      <c r="C807" s="1">
        <v>34</v>
      </c>
      <c r="D807" s="1" t="s">
        <v>23</v>
      </c>
      <c r="E807" s="1">
        <v>7950000</v>
      </c>
      <c r="F807" s="7">
        <v>0.13</v>
      </c>
      <c r="G807" s="1">
        <v>48</v>
      </c>
      <c r="H807" s="1" t="s">
        <v>2142</v>
      </c>
      <c r="I807" s="8">
        <f t="shared" si="25"/>
        <v>213278.59235543091</v>
      </c>
      <c r="J807" s="8">
        <f t="shared" si="24"/>
        <v>10237372.433060683</v>
      </c>
      <c r="K807" s="1" t="s">
        <v>82</v>
      </c>
      <c r="L807" s="1">
        <v>645</v>
      </c>
      <c r="M807" s="1" t="s">
        <v>16</v>
      </c>
    </row>
    <row r="808" spans="1:13" x14ac:dyDescent="0.3">
      <c r="A808" s="1" t="s">
        <v>2143</v>
      </c>
      <c r="B808" s="1" t="s">
        <v>2144</v>
      </c>
      <c r="C808" s="1">
        <v>46</v>
      </c>
      <c r="D808" s="1" t="s">
        <v>32</v>
      </c>
      <c r="E808" s="1">
        <v>250000</v>
      </c>
      <c r="F808" s="7">
        <v>0.08</v>
      </c>
      <c r="G808" s="1">
        <v>240</v>
      </c>
      <c r="H808" s="1" t="s">
        <v>2145</v>
      </c>
      <c r="I808" s="8">
        <f t="shared" si="25"/>
        <v>2091.1001724836569</v>
      </c>
      <c r="J808" s="8">
        <f t="shared" si="24"/>
        <v>501864.04139607766</v>
      </c>
      <c r="K808" s="1" t="s">
        <v>56</v>
      </c>
      <c r="L808" s="1">
        <v>654</v>
      </c>
      <c r="M808" s="1" t="s">
        <v>20</v>
      </c>
    </row>
    <row r="809" spans="1:13" x14ac:dyDescent="0.3">
      <c r="A809" s="1" t="s">
        <v>2146</v>
      </c>
      <c r="B809" s="1" t="s">
        <v>2147</v>
      </c>
      <c r="C809" s="1">
        <v>47</v>
      </c>
      <c r="D809" s="1" t="s">
        <v>23</v>
      </c>
      <c r="E809" s="1">
        <v>8580000</v>
      </c>
      <c r="F809" s="7">
        <v>9.5000000000000001E-2</v>
      </c>
      <c r="G809" s="1">
        <v>120</v>
      </c>
      <c r="H809" s="1" t="s">
        <v>2148</v>
      </c>
      <c r="I809" s="8">
        <f t="shared" si="25"/>
        <v>111023.10438714668</v>
      </c>
      <c r="J809" s="8">
        <f t="shared" si="24"/>
        <v>13322772.526457602</v>
      </c>
      <c r="K809" s="1" t="s">
        <v>34</v>
      </c>
      <c r="L809" s="1">
        <v>799</v>
      </c>
      <c r="M809" s="1" t="s">
        <v>60</v>
      </c>
    </row>
    <row r="810" spans="1:13" x14ac:dyDescent="0.3">
      <c r="A810" s="1" t="s">
        <v>2149</v>
      </c>
      <c r="B810" s="1" t="s">
        <v>84</v>
      </c>
      <c r="C810" s="1">
        <v>29</v>
      </c>
      <c r="D810" s="1" t="s">
        <v>15</v>
      </c>
      <c r="E810" s="1">
        <v>360000</v>
      </c>
      <c r="F810" s="7">
        <v>7.4999999999999997E-2</v>
      </c>
      <c r="G810" s="1">
        <v>84</v>
      </c>
      <c r="H810" s="1" t="s">
        <v>2150</v>
      </c>
      <c r="I810" s="8">
        <f t="shared" si="25"/>
        <v>5521.7793071250171</v>
      </c>
      <c r="J810" s="8">
        <f t="shared" si="24"/>
        <v>463829.46179850143</v>
      </c>
      <c r="K810" s="1" t="s">
        <v>212</v>
      </c>
      <c r="L810" s="1">
        <v>666</v>
      </c>
      <c r="M810" s="1" t="s">
        <v>20</v>
      </c>
    </row>
    <row r="811" spans="1:13" x14ac:dyDescent="0.3">
      <c r="A811" s="1" t="s">
        <v>2151</v>
      </c>
      <c r="B811" s="1" t="s">
        <v>2152</v>
      </c>
      <c r="C811" s="1">
        <v>46</v>
      </c>
      <c r="D811" s="1" t="s">
        <v>15</v>
      </c>
      <c r="E811" s="1">
        <v>1530000</v>
      </c>
      <c r="F811" s="7">
        <v>0.105</v>
      </c>
      <c r="G811" s="1">
        <v>240</v>
      </c>
      <c r="H811" s="1" t="s">
        <v>2153</v>
      </c>
      <c r="I811" s="8">
        <f t="shared" si="25"/>
        <v>15275.212270633272</v>
      </c>
      <c r="J811" s="8">
        <f t="shared" si="24"/>
        <v>3666050.9449519855</v>
      </c>
      <c r="K811" s="1" t="s">
        <v>56</v>
      </c>
      <c r="L811" s="1">
        <v>777</v>
      </c>
      <c r="M811" s="1" t="s">
        <v>16</v>
      </c>
    </row>
    <row r="812" spans="1:13" x14ac:dyDescent="0.3">
      <c r="A812" s="1" t="s">
        <v>2154</v>
      </c>
      <c r="B812" s="1" t="s">
        <v>2155</v>
      </c>
      <c r="C812" s="1">
        <v>42</v>
      </c>
      <c r="D812" s="1" t="s">
        <v>42</v>
      </c>
      <c r="E812" s="1">
        <v>500000</v>
      </c>
      <c r="F812" s="7">
        <v>7.4999999999999997E-2</v>
      </c>
      <c r="G812" s="1">
        <v>12</v>
      </c>
      <c r="H812" s="1" t="s">
        <v>1745</v>
      </c>
      <c r="I812" s="8">
        <f t="shared" si="25"/>
        <v>43378.70844270361</v>
      </c>
      <c r="J812" s="8">
        <f t="shared" si="24"/>
        <v>520544.50131244329</v>
      </c>
      <c r="K812" s="1" t="s">
        <v>132</v>
      </c>
      <c r="L812" s="1">
        <v>615</v>
      </c>
      <c r="M812" s="1" t="s">
        <v>20</v>
      </c>
    </row>
    <row r="813" spans="1:13" x14ac:dyDescent="0.3">
      <c r="A813" s="1" t="s">
        <v>2156</v>
      </c>
      <c r="B813" s="1" t="s">
        <v>2157</v>
      </c>
      <c r="C813" s="1">
        <v>50</v>
      </c>
      <c r="D813" s="1" t="s">
        <v>27</v>
      </c>
      <c r="E813" s="1">
        <v>520000</v>
      </c>
      <c r="F813" s="7">
        <v>8.5000000000000006E-2</v>
      </c>
      <c r="G813" s="1">
        <v>36</v>
      </c>
      <c r="H813" s="1" t="s">
        <v>1416</v>
      </c>
      <c r="I813" s="8">
        <f t="shared" si="25"/>
        <v>16415.119460249847</v>
      </c>
      <c r="J813" s="8">
        <f t="shared" si="24"/>
        <v>590944.30056899448</v>
      </c>
      <c r="K813" s="1" t="s">
        <v>52</v>
      </c>
      <c r="L813" s="1">
        <v>884</v>
      </c>
      <c r="M813" s="1" t="s">
        <v>16</v>
      </c>
    </row>
    <row r="814" spans="1:13" x14ac:dyDescent="0.3">
      <c r="A814" s="1" t="s">
        <v>2158</v>
      </c>
      <c r="B814" s="1" t="s">
        <v>923</v>
      </c>
      <c r="C814" s="1">
        <v>63</v>
      </c>
      <c r="D814" s="1" t="s">
        <v>32</v>
      </c>
      <c r="E814" s="1">
        <v>320000</v>
      </c>
      <c r="F814" s="7">
        <v>0.12</v>
      </c>
      <c r="G814" s="1">
        <v>120</v>
      </c>
      <c r="H814" s="1" t="s">
        <v>2159</v>
      </c>
      <c r="I814" s="8">
        <f t="shared" si="25"/>
        <v>4591.0703488827958</v>
      </c>
      <c r="J814" s="8">
        <f t="shared" si="24"/>
        <v>550928.44186593546</v>
      </c>
      <c r="K814" s="1" t="s">
        <v>25</v>
      </c>
      <c r="L814" s="1">
        <v>811</v>
      </c>
      <c r="M814" s="1" t="s">
        <v>312</v>
      </c>
    </row>
    <row r="815" spans="1:13" x14ac:dyDescent="0.3">
      <c r="A815" s="1" t="s">
        <v>2160</v>
      </c>
      <c r="B815" s="1" t="s">
        <v>2161</v>
      </c>
      <c r="C815" s="1">
        <v>37</v>
      </c>
      <c r="D815" s="1" t="s">
        <v>42</v>
      </c>
      <c r="E815" s="1">
        <v>880000</v>
      </c>
      <c r="F815" s="7">
        <v>0.09</v>
      </c>
      <c r="G815" s="1">
        <v>12</v>
      </c>
      <c r="H815" s="1" t="s">
        <v>2162</v>
      </c>
      <c r="I815" s="8">
        <f t="shared" si="25"/>
        <v>76957.29955753086</v>
      </c>
      <c r="J815" s="8">
        <f t="shared" si="24"/>
        <v>923487.59469037037</v>
      </c>
      <c r="K815" s="1" t="s">
        <v>82</v>
      </c>
      <c r="L815" s="1">
        <v>844</v>
      </c>
      <c r="M815" s="1" t="s">
        <v>16</v>
      </c>
    </row>
    <row r="816" spans="1:13" x14ac:dyDescent="0.3">
      <c r="A816" s="1" t="s">
        <v>2163</v>
      </c>
      <c r="B816" s="1" t="s">
        <v>2122</v>
      </c>
      <c r="C816" s="1">
        <v>46</v>
      </c>
      <c r="D816" s="1" t="s">
        <v>15</v>
      </c>
      <c r="E816" s="1">
        <v>1660000</v>
      </c>
      <c r="F816" s="7">
        <v>0.09</v>
      </c>
      <c r="G816" s="1">
        <v>24</v>
      </c>
      <c r="H816" s="1" t="s">
        <v>1973</v>
      </c>
      <c r="I816" s="8">
        <f t="shared" si="25"/>
        <v>75836.672183427334</v>
      </c>
      <c r="J816" s="8">
        <f t="shared" si="24"/>
        <v>1820080.1324022561</v>
      </c>
      <c r="K816" s="1" t="s">
        <v>56</v>
      </c>
      <c r="L816" s="1">
        <v>792</v>
      </c>
      <c r="M816" s="1" t="s">
        <v>16</v>
      </c>
    </row>
    <row r="817" spans="1:13" x14ac:dyDescent="0.3">
      <c r="A817" s="1" t="s">
        <v>2164</v>
      </c>
      <c r="B817" s="1" t="s">
        <v>2165</v>
      </c>
      <c r="C817" s="1">
        <v>56</v>
      </c>
      <c r="D817" s="1" t="s">
        <v>32</v>
      </c>
      <c r="E817" s="1">
        <v>240000</v>
      </c>
      <c r="F817" s="7">
        <v>0.125</v>
      </c>
      <c r="G817" s="1">
        <v>36</v>
      </c>
      <c r="H817" s="1" t="s">
        <v>2166</v>
      </c>
      <c r="I817" s="8">
        <f t="shared" si="25"/>
        <v>8028.8701384119668</v>
      </c>
      <c r="J817" s="8">
        <f t="shared" si="24"/>
        <v>289039.32498283079</v>
      </c>
      <c r="K817" s="1" t="s">
        <v>249</v>
      </c>
      <c r="L817" s="1">
        <v>735</v>
      </c>
      <c r="M817" s="1" t="s">
        <v>20</v>
      </c>
    </row>
    <row r="818" spans="1:13" x14ac:dyDescent="0.3">
      <c r="A818" s="1" t="s">
        <v>2167</v>
      </c>
      <c r="B818" s="1" t="s">
        <v>2168</v>
      </c>
      <c r="C818" s="1">
        <v>21</v>
      </c>
      <c r="D818" s="1" t="s">
        <v>18</v>
      </c>
      <c r="E818" s="1">
        <v>1150000</v>
      </c>
      <c r="F818" s="7">
        <v>0.09</v>
      </c>
      <c r="G818" s="1">
        <v>180</v>
      </c>
      <c r="H818" s="1" t="s">
        <v>2169</v>
      </c>
      <c r="I818" s="8">
        <f t="shared" si="25"/>
        <v>11664.065717860525</v>
      </c>
      <c r="J818" s="8">
        <f t="shared" si="24"/>
        <v>2099531.8292148947</v>
      </c>
      <c r="K818" s="1" t="s">
        <v>132</v>
      </c>
      <c r="L818" s="1">
        <v>795</v>
      </c>
      <c r="M818" s="1" t="s">
        <v>16</v>
      </c>
    </row>
    <row r="819" spans="1:13" x14ac:dyDescent="0.3">
      <c r="A819" s="1" t="s">
        <v>2170</v>
      </c>
      <c r="B819" s="1" t="s">
        <v>552</v>
      </c>
      <c r="C819" s="1">
        <v>28</v>
      </c>
      <c r="D819" s="1" t="s">
        <v>23</v>
      </c>
      <c r="E819" s="1">
        <v>9190000</v>
      </c>
      <c r="F819" s="7">
        <v>0.125</v>
      </c>
      <c r="G819" s="1">
        <v>120</v>
      </c>
      <c r="H819" s="1" t="s">
        <v>2171</v>
      </c>
      <c r="I819" s="8">
        <f t="shared" si="25"/>
        <v>134519.69901049451</v>
      </c>
      <c r="J819" s="8">
        <f t="shared" si="24"/>
        <v>16142363.881259341</v>
      </c>
      <c r="K819" s="1" t="s">
        <v>155</v>
      </c>
      <c r="L819" s="1">
        <v>674</v>
      </c>
      <c r="M819" s="1" t="s">
        <v>20</v>
      </c>
    </row>
    <row r="820" spans="1:13" x14ac:dyDescent="0.3">
      <c r="A820" s="1" t="s">
        <v>2172</v>
      </c>
      <c r="B820" s="1" t="s">
        <v>237</v>
      </c>
      <c r="C820" s="1">
        <v>55</v>
      </c>
      <c r="D820" s="1" t="s">
        <v>15</v>
      </c>
      <c r="E820" s="1">
        <v>890000</v>
      </c>
      <c r="F820" s="7">
        <v>0.09</v>
      </c>
      <c r="G820" s="1">
        <v>24</v>
      </c>
      <c r="H820" s="1" t="s">
        <v>276</v>
      </c>
      <c r="I820" s="8">
        <f t="shared" si="25"/>
        <v>40659.420628464053</v>
      </c>
      <c r="J820" s="8">
        <f t="shared" si="24"/>
        <v>975826.09508313728</v>
      </c>
      <c r="K820" s="1" t="s">
        <v>151</v>
      </c>
      <c r="L820" s="1">
        <v>817</v>
      </c>
      <c r="M820" s="1" t="s">
        <v>16</v>
      </c>
    </row>
    <row r="821" spans="1:13" x14ac:dyDescent="0.3">
      <c r="A821" s="1" t="s">
        <v>2173</v>
      </c>
      <c r="B821" s="1" t="s">
        <v>1088</v>
      </c>
      <c r="C821" s="1">
        <v>35</v>
      </c>
      <c r="D821" s="1" t="s">
        <v>37</v>
      </c>
      <c r="E821" s="1">
        <v>520000</v>
      </c>
      <c r="F821" s="7">
        <v>9.5000000000000001E-2</v>
      </c>
      <c r="G821" s="1">
        <v>24</v>
      </c>
      <c r="H821" s="1" t="s">
        <v>2174</v>
      </c>
      <c r="I821" s="8">
        <f t="shared" si="25"/>
        <v>23875.536354241165</v>
      </c>
      <c r="J821" s="8">
        <f t="shared" si="24"/>
        <v>573012.87250178796</v>
      </c>
      <c r="K821" s="1" t="s">
        <v>34</v>
      </c>
      <c r="L821" s="1">
        <v>680</v>
      </c>
      <c r="M821" s="1" t="s">
        <v>20</v>
      </c>
    </row>
    <row r="822" spans="1:13" x14ac:dyDescent="0.3">
      <c r="A822" s="1" t="s">
        <v>2175</v>
      </c>
      <c r="B822" s="1" t="s">
        <v>2176</v>
      </c>
      <c r="C822" s="1">
        <v>42</v>
      </c>
      <c r="D822" s="1" t="s">
        <v>23</v>
      </c>
      <c r="E822" s="1">
        <v>2560000</v>
      </c>
      <c r="F822" s="7">
        <v>0.125</v>
      </c>
      <c r="G822" s="1">
        <v>60</v>
      </c>
      <c r="H822" s="1" t="s">
        <v>2177</v>
      </c>
      <c r="I822" s="8">
        <f t="shared" si="25"/>
        <v>57594.721857064549</v>
      </c>
      <c r="J822" s="8">
        <f t="shared" si="24"/>
        <v>3455683.3114238731</v>
      </c>
      <c r="K822" s="1" t="s">
        <v>226</v>
      </c>
      <c r="L822" s="1">
        <v>786</v>
      </c>
      <c r="M822" s="1" t="s">
        <v>20</v>
      </c>
    </row>
    <row r="823" spans="1:13" x14ac:dyDescent="0.3">
      <c r="A823" s="1" t="s">
        <v>2178</v>
      </c>
      <c r="B823" s="1" t="s">
        <v>2179</v>
      </c>
      <c r="C823" s="1">
        <v>34</v>
      </c>
      <c r="D823" s="1" t="s">
        <v>42</v>
      </c>
      <c r="E823" s="1">
        <v>1260000</v>
      </c>
      <c r="F823" s="7">
        <v>0.105</v>
      </c>
      <c r="G823" s="1">
        <v>48</v>
      </c>
      <c r="H823" s="1" t="s">
        <v>2180</v>
      </c>
      <c r="I823" s="8">
        <f t="shared" si="25"/>
        <v>32260.258487399082</v>
      </c>
      <c r="J823" s="8">
        <f t="shared" si="24"/>
        <v>1548492.4073951559</v>
      </c>
      <c r="K823" s="1" t="s">
        <v>56</v>
      </c>
      <c r="L823" s="1">
        <v>567</v>
      </c>
      <c r="M823" s="1" t="s">
        <v>16</v>
      </c>
    </row>
    <row r="824" spans="1:13" x14ac:dyDescent="0.3">
      <c r="A824" s="1" t="s">
        <v>2181</v>
      </c>
      <c r="B824" s="1" t="s">
        <v>2182</v>
      </c>
      <c r="C824" s="1">
        <v>46</v>
      </c>
      <c r="D824" s="1" t="s">
        <v>32</v>
      </c>
      <c r="E824" s="1">
        <v>380000</v>
      </c>
      <c r="F824" s="7">
        <v>0.115</v>
      </c>
      <c r="G824" s="1">
        <v>84</v>
      </c>
      <c r="H824" s="1" t="s">
        <v>2183</v>
      </c>
      <c r="I824" s="8">
        <f t="shared" si="25"/>
        <v>6606.8551116912513</v>
      </c>
      <c r="J824" s="8">
        <f t="shared" si="24"/>
        <v>554975.8293820651</v>
      </c>
      <c r="K824" s="1" t="s">
        <v>39</v>
      </c>
      <c r="L824" s="1">
        <v>589</v>
      </c>
      <c r="M824" s="1" t="s">
        <v>16</v>
      </c>
    </row>
    <row r="825" spans="1:13" x14ac:dyDescent="0.3">
      <c r="A825" s="1" t="s">
        <v>2184</v>
      </c>
      <c r="B825" s="1" t="s">
        <v>1787</v>
      </c>
      <c r="C825" s="1">
        <v>48</v>
      </c>
      <c r="D825" s="1" t="s">
        <v>42</v>
      </c>
      <c r="E825" s="1">
        <v>1050000</v>
      </c>
      <c r="F825" s="7">
        <v>7.4999999999999997E-2</v>
      </c>
      <c r="G825" s="1">
        <v>24</v>
      </c>
      <c r="H825" s="1" t="s">
        <v>2185</v>
      </c>
      <c r="I825" s="8">
        <f t="shared" si="25"/>
        <v>47249.572284205758</v>
      </c>
      <c r="J825" s="8">
        <f t="shared" si="24"/>
        <v>1133989.7348209382</v>
      </c>
      <c r="K825" s="1" t="s">
        <v>34</v>
      </c>
      <c r="L825" s="1">
        <v>570</v>
      </c>
      <c r="M825" s="1" t="s">
        <v>20</v>
      </c>
    </row>
    <row r="826" spans="1:13" x14ac:dyDescent="0.3">
      <c r="A826" s="1" t="s">
        <v>2186</v>
      </c>
      <c r="B826" s="1" t="s">
        <v>2187</v>
      </c>
      <c r="C826" s="1">
        <v>43</v>
      </c>
      <c r="D826" s="1" t="s">
        <v>42</v>
      </c>
      <c r="E826" s="1">
        <v>430000</v>
      </c>
      <c r="F826" s="7">
        <v>0.125</v>
      </c>
      <c r="G826" s="1">
        <v>12</v>
      </c>
      <c r="H826" s="1" t="s">
        <v>2188</v>
      </c>
      <c r="I826" s="8">
        <f t="shared" si="25"/>
        <v>38305.630965558099</v>
      </c>
      <c r="J826" s="8">
        <f t="shared" si="24"/>
        <v>459667.57158669719</v>
      </c>
      <c r="K826" s="1" t="s">
        <v>226</v>
      </c>
      <c r="L826" s="1">
        <v>774</v>
      </c>
      <c r="M826" s="1" t="s">
        <v>16</v>
      </c>
    </row>
    <row r="827" spans="1:13" x14ac:dyDescent="0.3">
      <c r="A827" s="1" t="s">
        <v>2189</v>
      </c>
      <c r="B827" s="1" t="s">
        <v>2190</v>
      </c>
      <c r="C827" s="1">
        <v>34</v>
      </c>
      <c r="D827" s="1" t="s">
        <v>32</v>
      </c>
      <c r="E827" s="1">
        <v>470000</v>
      </c>
      <c r="F827" s="7">
        <v>7.4999999999999997E-2</v>
      </c>
      <c r="G827" s="1">
        <v>120</v>
      </c>
      <c r="H827" s="1" t="s">
        <v>2191</v>
      </c>
      <c r="I827" s="8">
        <f t="shared" si="25"/>
        <v>5578.983149385148</v>
      </c>
      <c r="J827" s="8">
        <f t="shared" si="24"/>
        <v>669477.97792621772</v>
      </c>
      <c r="K827" s="1" t="s">
        <v>201</v>
      </c>
      <c r="L827" s="1">
        <v>831</v>
      </c>
      <c r="M827" s="1" t="s">
        <v>20</v>
      </c>
    </row>
    <row r="828" spans="1:13" x14ac:dyDescent="0.3">
      <c r="A828" s="1" t="s">
        <v>2192</v>
      </c>
      <c r="B828" s="1" t="s">
        <v>2193</v>
      </c>
      <c r="C828" s="1">
        <v>44</v>
      </c>
      <c r="D828" s="1" t="s">
        <v>23</v>
      </c>
      <c r="E828" s="1">
        <v>9970000</v>
      </c>
      <c r="F828" s="7">
        <v>0.11</v>
      </c>
      <c r="G828" s="1">
        <v>120</v>
      </c>
      <c r="H828" s="1" t="s">
        <v>2194</v>
      </c>
      <c r="I828" s="8">
        <f t="shared" si="25"/>
        <v>137336.76125804672</v>
      </c>
      <c r="J828" s="8">
        <f t="shared" si="24"/>
        <v>16480411.350965608</v>
      </c>
      <c r="K828" s="1" t="s">
        <v>64</v>
      </c>
      <c r="L828" s="1">
        <v>557</v>
      </c>
      <c r="M828" s="1" t="s">
        <v>60</v>
      </c>
    </row>
    <row r="829" spans="1:13" x14ac:dyDescent="0.3">
      <c r="A829" s="1" t="s">
        <v>2195</v>
      </c>
      <c r="B829" s="1" t="s">
        <v>2196</v>
      </c>
      <c r="C829" s="1">
        <v>22</v>
      </c>
      <c r="D829" s="1" t="s">
        <v>18</v>
      </c>
      <c r="E829" s="1">
        <v>1030000</v>
      </c>
      <c r="F829" s="7">
        <v>8.5000000000000006E-2</v>
      </c>
      <c r="G829" s="1">
        <v>240</v>
      </c>
      <c r="H829" s="1" t="s">
        <v>2197</v>
      </c>
      <c r="I829" s="8">
        <f t="shared" si="25"/>
        <v>8938.5793036649993</v>
      </c>
      <c r="J829" s="8">
        <f t="shared" si="24"/>
        <v>2145259.0328795998</v>
      </c>
      <c r="K829" s="1" t="s">
        <v>39</v>
      </c>
      <c r="L829" s="1">
        <v>649</v>
      </c>
      <c r="M829" s="1" t="s">
        <v>16</v>
      </c>
    </row>
    <row r="830" spans="1:13" x14ac:dyDescent="0.3">
      <c r="A830" s="1" t="s">
        <v>2198</v>
      </c>
      <c r="B830" s="1" t="s">
        <v>441</v>
      </c>
      <c r="C830" s="1">
        <v>46</v>
      </c>
      <c r="D830" s="1" t="s">
        <v>27</v>
      </c>
      <c r="E830" s="1">
        <v>330000</v>
      </c>
      <c r="F830" s="7">
        <v>0.125</v>
      </c>
      <c r="G830" s="1">
        <v>60</v>
      </c>
      <c r="H830" s="1" t="s">
        <v>319</v>
      </c>
      <c r="I830" s="8">
        <f t="shared" si="25"/>
        <v>7424.3196143872274</v>
      </c>
      <c r="J830" s="8">
        <f t="shared" si="24"/>
        <v>445459.17686323362</v>
      </c>
      <c r="K830" s="1" t="s">
        <v>249</v>
      </c>
      <c r="L830" s="1">
        <v>789</v>
      </c>
      <c r="M830" s="1" t="s">
        <v>16</v>
      </c>
    </row>
    <row r="831" spans="1:13" x14ac:dyDescent="0.3">
      <c r="A831" s="1" t="s">
        <v>2199</v>
      </c>
      <c r="B831" s="1" t="s">
        <v>102</v>
      </c>
      <c r="C831" s="1">
        <v>34</v>
      </c>
      <c r="D831" s="1" t="s">
        <v>27</v>
      </c>
      <c r="E831" s="1">
        <v>550000</v>
      </c>
      <c r="F831" s="7">
        <v>8.5000000000000006E-2</v>
      </c>
      <c r="G831" s="1">
        <v>12</v>
      </c>
      <c r="H831" s="1" t="s">
        <v>2200</v>
      </c>
      <c r="I831" s="8">
        <f t="shared" si="25"/>
        <v>47970.880353050998</v>
      </c>
      <c r="J831" s="8">
        <f t="shared" si="24"/>
        <v>575650.56423661194</v>
      </c>
      <c r="K831" s="1" t="s">
        <v>56</v>
      </c>
      <c r="L831" s="1">
        <v>636</v>
      </c>
      <c r="M831" s="1" t="s">
        <v>20</v>
      </c>
    </row>
    <row r="832" spans="1:13" x14ac:dyDescent="0.3">
      <c r="A832" s="1" t="s">
        <v>2201</v>
      </c>
      <c r="B832" s="1" t="s">
        <v>1924</v>
      </c>
      <c r="C832" s="1">
        <v>27</v>
      </c>
      <c r="D832" s="1" t="s">
        <v>27</v>
      </c>
      <c r="E832" s="1">
        <v>960000</v>
      </c>
      <c r="F832" s="7">
        <v>0.12</v>
      </c>
      <c r="G832" s="1">
        <v>36</v>
      </c>
      <c r="H832" s="1" t="s">
        <v>2202</v>
      </c>
      <c r="I832" s="8">
        <f t="shared" si="25"/>
        <v>31885.737420337144</v>
      </c>
      <c r="J832" s="8">
        <f t="shared" si="24"/>
        <v>1147886.5471321372</v>
      </c>
      <c r="K832" s="1" t="s">
        <v>136</v>
      </c>
      <c r="L832" s="1">
        <v>847</v>
      </c>
      <c r="M832" s="1" t="s">
        <v>16</v>
      </c>
    </row>
    <row r="833" spans="1:13" x14ac:dyDescent="0.3">
      <c r="A833" s="1" t="s">
        <v>2203</v>
      </c>
      <c r="B833" s="1" t="s">
        <v>1177</v>
      </c>
      <c r="C833" s="1">
        <v>23</v>
      </c>
      <c r="D833" s="1" t="s">
        <v>32</v>
      </c>
      <c r="E833" s="1">
        <v>160000</v>
      </c>
      <c r="F833" s="7">
        <v>7.4999999999999997E-2</v>
      </c>
      <c r="G833" s="1">
        <v>180</v>
      </c>
      <c r="H833" s="1" t="s">
        <v>2204</v>
      </c>
      <c r="I833" s="8">
        <f t="shared" si="25"/>
        <v>1483.2197760043812</v>
      </c>
      <c r="J833" s="8">
        <f t="shared" si="24"/>
        <v>266979.5596807886</v>
      </c>
      <c r="K833" s="1" t="s">
        <v>21</v>
      </c>
      <c r="L833" s="1">
        <v>563</v>
      </c>
      <c r="M833" s="1" t="s">
        <v>16</v>
      </c>
    </row>
    <row r="834" spans="1:13" x14ac:dyDescent="0.3">
      <c r="A834" s="1" t="s">
        <v>2205</v>
      </c>
      <c r="B834" s="1" t="s">
        <v>1547</v>
      </c>
      <c r="C834" s="1">
        <v>43</v>
      </c>
      <c r="D834" s="1" t="s">
        <v>15</v>
      </c>
      <c r="E834" s="1">
        <v>1240000</v>
      </c>
      <c r="F834" s="7">
        <v>0.09</v>
      </c>
      <c r="G834" s="1">
        <v>180</v>
      </c>
      <c r="H834" s="1" t="s">
        <v>2206</v>
      </c>
      <c r="I834" s="8">
        <f t="shared" si="25"/>
        <v>12576.905643606133</v>
      </c>
      <c r="J834" s="8">
        <f t="shared" si="24"/>
        <v>2263843.0158491037</v>
      </c>
      <c r="K834" s="1" t="s">
        <v>191</v>
      </c>
      <c r="L834" s="1">
        <v>883</v>
      </c>
      <c r="M834" s="1" t="s">
        <v>16</v>
      </c>
    </row>
    <row r="835" spans="1:13" x14ac:dyDescent="0.3">
      <c r="A835" s="1" t="s">
        <v>2207</v>
      </c>
      <c r="B835" s="1" t="s">
        <v>2208</v>
      </c>
      <c r="C835" s="1">
        <v>63</v>
      </c>
      <c r="D835" s="1" t="s">
        <v>18</v>
      </c>
      <c r="E835" s="1">
        <v>760000</v>
      </c>
      <c r="F835" s="7">
        <v>9.5000000000000001E-2</v>
      </c>
      <c r="G835" s="1">
        <v>12</v>
      </c>
      <c r="H835" s="1" t="s">
        <v>2209</v>
      </c>
      <c r="I835" s="8">
        <f t="shared" si="25"/>
        <v>66639.468948238413</v>
      </c>
      <c r="J835" s="8">
        <f t="shared" si="24"/>
        <v>799673.62737886095</v>
      </c>
      <c r="K835" s="1" t="s">
        <v>21</v>
      </c>
      <c r="L835" s="1">
        <v>551</v>
      </c>
      <c r="M835" s="1" t="s">
        <v>20</v>
      </c>
    </row>
    <row r="836" spans="1:13" x14ac:dyDescent="0.3">
      <c r="A836" s="1" t="s">
        <v>2210</v>
      </c>
      <c r="B836" s="1" t="s">
        <v>2182</v>
      </c>
      <c r="C836" s="1">
        <v>38</v>
      </c>
      <c r="D836" s="1" t="s">
        <v>15</v>
      </c>
      <c r="E836" s="1">
        <v>880000</v>
      </c>
      <c r="F836" s="7">
        <v>0.12</v>
      </c>
      <c r="G836" s="1">
        <v>48</v>
      </c>
      <c r="H836" s="1" t="s">
        <v>2211</v>
      </c>
      <c r="I836" s="8">
        <f t="shared" si="25"/>
        <v>23173.775180096436</v>
      </c>
      <c r="J836" s="8">
        <f t="shared" ref="J836:J899" si="26">(I836*G836)</f>
        <v>1112341.208644629</v>
      </c>
      <c r="K836" s="1" t="s">
        <v>201</v>
      </c>
      <c r="L836" s="1">
        <v>842</v>
      </c>
      <c r="M836" s="1" t="s">
        <v>60</v>
      </c>
    </row>
    <row r="837" spans="1:13" x14ac:dyDescent="0.3">
      <c r="A837" s="1" t="s">
        <v>2212</v>
      </c>
      <c r="B837" s="1" t="s">
        <v>1302</v>
      </c>
      <c r="C837" s="1">
        <v>58</v>
      </c>
      <c r="D837" s="1" t="s">
        <v>32</v>
      </c>
      <c r="E837" s="1">
        <v>480000</v>
      </c>
      <c r="F837" s="7">
        <v>9.5000000000000001E-2</v>
      </c>
      <c r="G837" s="1">
        <v>240</v>
      </c>
      <c r="H837" s="1" t="s">
        <v>2213</v>
      </c>
      <c r="I837" s="8">
        <f t="shared" ref="I837:I900" si="27">PMT(F837/12,G837, -E837)</f>
        <v>4474.229701600887</v>
      </c>
      <c r="J837" s="8">
        <f t="shared" si="26"/>
        <v>1073815.128384213</v>
      </c>
      <c r="K837" s="1" t="s">
        <v>56</v>
      </c>
      <c r="L837" s="1">
        <v>874</v>
      </c>
      <c r="M837" s="1" t="s">
        <v>20</v>
      </c>
    </row>
    <row r="838" spans="1:13" x14ac:dyDescent="0.3">
      <c r="A838" s="1" t="s">
        <v>2214</v>
      </c>
      <c r="B838" s="1" t="s">
        <v>2215</v>
      </c>
      <c r="C838" s="1">
        <v>55</v>
      </c>
      <c r="D838" s="1" t="s">
        <v>37</v>
      </c>
      <c r="E838" s="1">
        <v>2880000</v>
      </c>
      <c r="F838" s="7">
        <v>0.13</v>
      </c>
      <c r="G838" s="1">
        <v>60</v>
      </c>
      <c r="H838" s="1" t="s">
        <v>2216</v>
      </c>
      <c r="I838" s="8">
        <f t="shared" si="27"/>
        <v>65528.850367365179</v>
      </c>
      <c r="J838" s="8">
        <f t="shared" si="26"/>
        <v>3931731.0220419108</v>
      </c>
      <c r="K838" s="1" t="s">
        <v>94</v>
      </c>
      <c r="L838" s="1">
        <v>590</v>
      </c>
      <c r="M838" s="1" t="s">
        <v>16</v>
      </c>
    </row>
    <row r="839" spans="1:13" x14ac:dyDescent="0.3">
      <c r="A839" s="1" t="s">
        <v>2217</v>
      </c>
      <c r="B839" s="1" t="s">
        <v>1636</v>
      </c>
      <c r="C839" s="1">
        <v>35</v>
      </c>
      <c r="D839" s="1" t="s">
        <v>23</v>
      </c>
      <c r="E839" s="1">
        <v>6670000</v>
      </c>
      <c r="F839" s="7">
        <v>0.13</v>
      </c>
      <c r="G839" s="1">
        <v>48</v>
      </c>
      <c r="H839" s="1" t="s">
        <v>2218</v>
      </c>
      <c r="I839" s="8">
        <f t="shared" si="27"/>
        <v>178939.39761141184</v>
      </c>
      <c r="J839" s="8">
        <f t="shared" si="26"/>
        <v>8589091.0853477679</v>
      </c>
      <c r="K839" s="1" t="s">
        <v>201</v>
      </c>
      <c r="L839" s="1">
        <v>867</v>
      </c>
      <c r="M839" s="1" t="s">
        <v>16</v>
      </c>
    </row>
    <row r="840" spans="1:13" x14ac:dyDescent="0.3">
      <c r="A840" s="1" t="s">
        <v>2219</v>
      </c>
      <c r="B840" s="1" t="s">
        <v>2220</v>
      </c>
      <c r="C840" s="1">
        <v>45</v>
      </c>
      <c r="D840" s="1" t="s">
        <v>37</v>
      </c>
      <c r="E840" s="1">
        <v>1600000</v>
      </c>
      <c r="F840" s="7">
        <v>0.125</v>
      </c>
      <c r="G840" s="1">
        <v>12</v>
      </c>
      <c r="H840" s="1" t="s">
        <v>2221</v>
      </c>
      <c r="I840" s="8">
        <f t="shared" si="27"/>
        <v>142532.58033696038</v>
      </c>
      <c r="J840" s="8">
        <f t="shared" si="26"/>
        <v>1710390.9640435246</v>
      </c>
      <c r="K840" s="1" t="s">
        <v>155</v>
      </c>
      <c r="L840" s="1">
        <v>865</v>
      </c>
      <c r="M840" s="1" t="s">
        <v>20</v>
      </c>
    </row>
    <row r="841" spans="1:13" x14ac:dyDescent="0.3">
      <c r="A841" s="1" t="s">
        <v>2222</v>
      </c>
      <c r="B841" s="1" t="s">
        <v>2223</v>
      </c>
      <c r="C841" s="1">
        <v>57</v>
      </c>
      <c r="D841" s="1" t="s">
        <v>32</v>
      </c>
      <c r="E841" s="1">
        <v>350000</v>
      </c>
      <c r="F841" s="7">
        <v>9.5000000000000001E-2</v>
      </c>
      <c r="G841" s="1">
        <v>240</v>
      </c>
      <c r="H841" s="1" t="s">
        <v>2224</v>
      </c>
      <c r="I841" s="8">
        <f t="shared" si="27"/>
        <v>3262.4591574173132</v>
      </c>
      <c r="J841" s="8">
        <f t="shared" si="26"/>
        <v>782990.19778015523</v>
      </c>
      <c r="K841" s="1" t="s">
        <v>104</v>
      </c>
      <c r="L841" s="1">
        <v>660</v>
      </c>
      <c r="M841" s="1" t="s">
        <v>60</v>
      </c>
    </row>
    <row r="842" spans="1:13" x14ac:dyDescent="0.3">
      <c r="A842" s="1" t="s">
        <v>2225</v>
      </c>
      <c r="B842" s="1" t="s">
        <v>486</v>
      </c>
      <c r="C842" s="1">
        <v>48</v>
      </c>
      <c r="D842" s="1" t="s">
        <v>32</v>
      </c>
      <c r="E842" s="1">
        <v>500000</v>
      </c>
      <c r="F842" s="7">
        <v>0.105</v>
      </c>
      <c r="G842" s="1">
        <v>240</v>
      </c>
      <c r="H842" s="1" t="s">
        <v>2226</v>
      </c>
      <c r="I842" s="8">
        <f t="shared" si="27"/>
        <v>4991.8994348474753</v>
      </c>
      <c r="J842" s="8">
        <f t="shared" si="26"/>
        <v>1198055.864363394</v>
      </c>
      <c r="K842" s="1" t="s">
        <v>151</v>
      </c>
      <c r="L842" s="1">
        <v>563</v>
      </c>
      <c r="M842" s="1" t="s">
        <v>16</v>
      </c>
    </row>
    <row r="843" spans="1:13" x14ac:dyDescent="0.3">
      <c r="A843" s="1" t="s">
        <v>2227</v>
      </c>
      <c r="B843" s="1" t="s">
        <v>2228</v>
      </c>
      <c r="C843" s="1">
        <v>30</v>
      </c>
      <c r="D843" s="1" t="s">
        <v>18</v>
      </c>
      <c r="E843" s="1">
        <v>1220000</v>
      </c>
      <c r="F843" s="7">
        <v>0.105</v>
      </c>
      <c r="G843" s="1">
        <v>48</v>
      </c>
      <c r="H843" s="1" t="s">
        <v>2229</v>
      </c>
      <c r="I843" s="8">
        <f t="shared" si="27"/>
        <v>31236.12329732292</v>
      </c>
      <c r="J843" s="8">
        <f t="shared" si="26"/>
        <v>1499333.9182715002</v>
      </c>
      <c r="K843" s="1" t="s">
        <v>108</v>
      </c>
      <c r="L843" s="1">
        <v>780</v>
      </c>
      <c r="M843" s="1" t="s">
        <v>20</v>
      </c>
    </row>
    <row r="844" spans="1:13" x14ac:dyDescent="0.3">
      <c r="A844" s="1" t="s">
        <v>2230</v>
      </c>
      <c r="B844" s="1" t="s">
        <v>2231</v>
      </c>
      <c r="C844" s="1">
        <v>59</v>
      </c>
      <c r="D844" s="1" t="s">
        <v>15</v>
      </c>
      <c r="E844" s="1">
        <v>1850000</v>
      </c>
      <c r="F844" s="7">
        <v>0.1</v>
      </c>
      <c r="G844" s="1">
        <v>36</v>
      </c>
      <c r="H844" s="1" t="s">
        <v>2232</v>
      </c>
      <c r="I844" s="8">
        <f t="shared" si="27"/>
        <v>59694.296308599347</v>
      </c>
      <c r="J844" s="8">
        <f t="shared" si="26"/>
        <v>2148994.6671095765</v>
      </c>
      <c r="K844" s="1" t="s">
        <v>108</v>
      </c>
      <c r="L844" s="1">
        <v>633</v>
      </c>
      <c r="M844" s="1" t="s">
        <v>16</v>
      </c>
    </row>
    <row r="845" spans="1:13" x14ac:dyDescent="0.3">
      <c r="A845" s="1" t="s">
        <v>2233</v>
      </c>
      <c r="B845" s="1" t="s">
        <v>2234</v>
      </c>
      <c r="C845" s="1">
        <v>37</v>
      </c>
      <c r="D845" s="1" t="s">
        <v>23</v>
      </c>
      <c r="E845" s="1">
        <v>6770000</v>
      </c>
      <c r="F845" s="7">
        <v>0.11</v>
      </c>
      <c r="G845" s="1">
        <v>12</v>
      </c>
      <c r="H845" s="1" t="s">
        <v>2235</v>
      </c>
      <c r="I845" s="8">
        <f t="shared" si="27"/>
        <v>598343.82819125929</v>
      </c>
      <c r="J845" s="8">
        <f t="shared" si="26"/>
        <v>7180125.9382951111</v>
      </c>
      <c r="K845" s="1" t="s">
        <v>147</v>
      </c>
      <c r="L845" s="1">
        <v>679</v>
      </c>
      <c r="M845" s="1" t="s">
        <v>16</v>
      </c>
    </row>
    <row r="846" spans="1:13" x14ac:dyDescent="0.3">
      <c r="A846" s="1" t="s">
        <v>2236</v>
      </c>
      <c r="B846" s="1" t="s">
        <v>2237</v>
      </c>
      <c r="C846" s="1">
        <v>59</v>
      </c>
      <c r="D846" s="1" t="s">
        <v>42</v>
      </c>
      <c r="E846" s="1">
        <v>400000</v>
      </c>
      <c r="F846" s="7">
        <v>9.5000000000000001E-2</v>
      </c>
      <c r="G846" s="1">
        <v>84</v>
      </c>
      <c r="H846" s="1" t="s">
        <v>2238</v>
      </c>
      <c r="I846" s="8">
        <f t="shared" si="27"/>
        <v>6537.5926725193685</v>
      </c>
      <c r="J846" s="8">
        <f t="shared" si="26"/>
        <v>549157.78449162701</v>
      </c>
      <c r="K846" s="1" t="s">
        <v>132</v>
      </c>
      <c r="L846" s="1">
        <v>780</v>
      </c>
      <c r="M846" s="1" t="s">
        <v>20</v>
      </c>
    </row>
    <row r="847" spans="1:13" x14ac:dyDescent="0.3">
      <c r="A847" s="1" t="s">
        <v>2239</v>
      </c>
      <c r="B847" s="1" t="s">
        <v>2240</v>
      </c>
      <c r="C847" s="1">
        <v>42</v>
      </c>
      <c r="D847" s="1" t="s">
        <v>18</v>
      </c>
      <c r="E847" s="1">
        <v>300000</v>
      </c>
      <c r="F847" s="7">
        <v>0.09</v>
      </c>
      <c r="G847" s="1">
        <v>48</v>
      </c>
      <c r="H847" s="1" t="s">
        <v>494</v>
      </c>
      <c r="I847" s="8">
        <f t="shared" si="27"/>
        <v>7465.5127121802625</v>
      </c>
      <c r="J847" s="8">
        <f t="shared" si="26"/>
        <v>358344.61018465261</v>
      </c>
      <c r="K847" s="1" t="s">
        <v>136</v>
      </c>
      <c r="L847" s="1">
        <v>875</v>
      </c>
      <c r="M847" s="1" t="s">
        <v>60</v>
      </c>
    </row>
    <row r="848" spans="1:13" x14ac:dyDescent="0.3">
      <c r="A848" s="1" t="s">
        <v>2241</v>
      </c>
      <c r="B848" s="1" t="s">
        <v>2242</v>
      </c>
      <c r="C848" s="1">
        <v>46</v>
      </c>
      <c r="D848" s="1" t="s">
        <v>23</v>
      </c>
      <c r="E848" s="1">
        <v>2670000</v>
      </c>
      <c r="F848" s="7">
        <v>0.11</v>
      </c>
      <c r="G848" s="1">
        <v>12</v>
      </c>
      <c r="H848" s="1" t="s">
        <v>1840</v>
      </c>
      <c r="I848" s="8">
        <f t="shared" si="27"/>
        <v>235979.02825268279</v>
      </c>
      <c r="J848" s="8">
        <f t="shared" si="26"/>
        <v>2831748.3390321936</v>
      </c>
      <c r="K848" s="1" t="s">
        <v>34</v>
      </c>
      <c r="L848" s="1">
        <v>694</v>
      </c>
      <c r="M848" s="1" t="s">
        <v>16</v>
      </c>
    </row>
    <row r="849" spans="1:13" x14ac:dyDescent="0.3">
      <c r="A849" s="1" t="s">
        <v>2243</v>
      </c>
      <c r="B849" s="1" t="s">
        <v>1111</v>
      </c>
      <c r="C849" s="1">
        <v>64</v>
      </c>
      <c r="D849" s="1" t="s">
        <v>15</v>
      </c>
      <c r="E849" s="1">
        <v>1510000</v>
      </c>
      <c r="F849" s="7">
        <v>9.5000000000000001E-2</v>
      </c>
      <c r="G849" s="1">
        <v>36</v>
      </c>
      <c r="H849" s="1" t="s">
        <v>2244</v>
      </c>
      <c r="I849" s="8">
        <f t="shared" si="27"/>
        <v>48369.754108580346</v>
      </c>
      <c r="J849" s="8">
        <f t="shared" si="26"/>
        <v>1741311.1479088925</v>
      </c>
      <c r="K849" s="1" t="s">
        <v>136</v>
      </c>
      <c r="L849" s="1">
        <v>894</v>
      </c>
      <c r="M849" s="1" t="s">
        <v>60</v>
      </c>
    </row>
    <row r="850" spans="1:13" x14ac:dyDescent="0.3">
      <c r="A850" s="1" t="s">
        <v>2245</v>
      </c>
      <c r="B850" s="1" t="s">
        <v>2246</v>
      </c>
      <c r="C850" s="1">
        <v>45</v>
      </c>
      <c r="D850" s="1" t="s">
        <v>18</v>
      </c>
      <c r="E850" s="1">
        <v>1840000</v>
      </c>
      <c r="F850" s="7">
        <v>0.125</v>
      </c>
      <c r="G850" s="1">
        <v>24</v>
      </c>
      <c r="H850" s="1" t="s">
        <v>2247</v>
      </c>
      <c r="I850" s="8">
        <f t="shared" si="27"/>
        <v>87045.44715331911</v>
      </c>
      <c r="J850" s="8">
        <f t="shared" si="26"/>
        <v>2089090.7316796586</v>
      </c>
      <c r="K850" s="1" t="s">
        <v>115</v>
      </c>
      <c r="L850" s="1">
        <v>577</v>
      </c>
      <c r="M850" s="1" t="s">
        <v>16</v>
      </c>
    </row>
    <row r="851" spans="1:13" x14ac:dyDescent="0.3">
      <c r="A851" s="1" t="s">
        <v>2248</v>
      </c>
      <c r="B851" s="1" t="s">
        <v>2249</v>
      </c>
      <c r="C851" s="1">
        <v>37</v>
      </c>
      <c r="D851" s="1" t="s">
        <v>42</v>
      </c>
      <c r="E851" s="1">
        <v>1260000</v>
      </c>
      <c r="F851" s="7">
        <v>0.115</v>
      </c>
      <c r="G851" s="1">
        <v>60</v>
      </c>
      <c r="H851" s="1" t="s">
        <v>1723</v>
      </c>
      <c r="I851" s="8">
        <f t="shared" si="27"/>
        <v>27710.685292336704</v>
      </c>
      <c r="J851" s="8">
        <f t="shared" si="26"/>
        <v>1662641.1175402023</v>
      </c>
      <c r="K851" s="1" t="s">
        <v>104</v>
      </c>
      <c r="L851" s="1">
        <v>615</v>
      </c>
      <c r="M851" s="1" t="s">
        <v>16</v>
      </c>
    </row>
    <row r="852" spans="1:13" x14ac:dyDescent="0.3">
      <c r="A852" s="1" t="s">
        <v>2250</v>
      </c>
      <c r="B852" s="1" t="s">
        <v>2251</v>
      </c>
      <c r="C852" s="1">
        <v>33</v>
      </c>
      <c r="D852" s="1" t="s">
        <v>18</v>
      </c>
      <c r="E852" s="1">
        <v>230000</v>
      </c>
      <c r="F852" s="7">
        <v>0.12</v>
      </c>
      <c r="G852" s="1">
        <v>120</v>
      </c>
      <c r="H852" s="1" t="s">
        <v>1479</v>
      </c>
      <c r="I852" s="8">
        <f t="shared" si="27"/>
        <v>3299.8318132595095</v>
      </c>
      <c r="J852" s="8">
        <f t="shared" si="26"/>
        <v>395979.81759114115</v>
      </c>
      <c r="K852" s="1" t="s">
        <v>187</v>
      </c>
      <c r="L852" s="1">
        <v>712</v>
      </c>
      <c r="M852" s="1" t="s">
        <v>16</v>
      </c>
    </row>
    <row r="853" spans="1:13" x14ac:dyDescent="0.3">
      <c r="A853" s="1" t="s">
        <v>2252</v>
      </c>
      <c r="B853" s="1" t="s">
        <v>2253</v>
      </c>
      <c r="C853" s="1">
        <v>40</v>
      </c>
      <c r="D853" s="1" t="s">
        <v>42</v>
      </c>
      <c r="E853" s="1">
        <v>560000</v>
      </c>
      <c r="F853" s="7">
        <v>0.105</v>
      </c>
      <c r="G853" s="1">
        <v>84</v>
      </c>
      <c r="H853" s="1" t="s">
        <v>2254</v>
      </c>
      <c r="I853" s="8">
        <f t="shared" si="27"/>
        <v>9441.9769632824373</v>
      </c>
      <c r="J853" s="8">
        <f t="shared" si="26"/>
        <v>793126.06491572468</v>
      </c>
      <c r="K853" s="1" t="s">
        <v>212</v>
      </c>
      <c r="L853" s="1">
        <v>778</v>
      </c>
      <c r="M853" s="1" t="s">
        <v>16</v>
      </c>
    </row>
    <row r="854" spans="1:13" x14ac:dyDescent="0.3">
      <c r="A854" s="1" t="s">
        <v>2255</v>
      </c>
      <c r="B854" s="1" t="s">
        <v>2256</v>
      </c>
      <c r="C854" s="1">
        <v>45</v>
      </c>
      <c r="D854" s="1" t="s">
        <v>23</v>
      </c>
      <c r="E854" s="1">
        <v>3650000</v>
      </c>
      <c r="F854" s="7">
        <v>0.12</v>
      </c>
      <c r="G854" s="1">
        <v>120</v>
      </c>
      <c r="H854" s="1" t="s">
        <v>2257</v>
      </c>
      <c r="I854" s="8">
        <f t="shared" si="27"/>
        <v>52366.896166944382</v>
      </c>
      <c r="J854" s="8">
        <f t="shared" si="26"/>
        <v>6284027.5400333256</v>
      </c>
      <c r="K854" s="1" t="s">
        <v>21</v>
      </c>
      <c r="L854" s="1">
        <v>810</v>
      </c>
      <c r="M854" s="1" t="s">
        <v>60</v>
      </c>
    </row>
    <row r="855" spans="1:13" x14ac:dyDescent="0.3">
      <c r="A855" s="1" t="s">
        <v>2258</v>
      </c>
      <c r="B855" s="1" t="s">
        <v>2259</v>
      </c>
      <c r="C855" s="1">
        <v>24</v>
      </c>
      <c r="D855" s="1" t="s">
        <v>32</v>
      </c>
      <c r="E855" s="1">
        <v>280000</v>
      </c>
      <c r="F855" s="7">
        <v>0.08</v>
      </c>
      <c r="G855" s="1">
        <v>120</v>
      </c>
      <c r="H855" s="1" t="s">
        <v>2260</v>
      </c>
      <c r="I855" s="8">
        <f t="shared" si="27"/>
        <v>3397.1726419499937</v>
      </c>
      <c r="J855" s="8">
        <f t="shared" si="26"/>
        <v>407660.71703399927</v>
      </c>
      <c r="K855" s="1" t="s">
        <v>151</v>
      </c>
      <c r="L855" s="1">
        <v>713</v>
      </c>
      <c r="M855" s="1" t="s">
        <v>20</v>
      </c>
    </row>
    <row r="856" spans="1:13" x14ac:dyDescent="0.3">
      <c r="A856" s="1" t="s">
        <v>2261</v>
      </c>
      <c r="B856" s="1" t="s">
        <v>2262</v>
      </c>
      <c r="C856" s="1">
        <v>30</v>
      </c>
      <c r="D856" s="1" t="s">
        <v>18</v>
      </c>
      <c r="E856" s="1">
        <v>1160000</v>
      </c>
      <c r="F856" s="7">
        <v>7.4999999999999997E-2</v>
      </c>
      <c r="G856" s="1">
        <v>48</v>
      </c>
      <c r="H856" s="1" t="s">
        <v>2263</v>
      </c>
      <c r="I856" s="8">
        <f t="shared" si="27"/>
        <v>28047.52624776823</v>
      </c>
      <c r="J856" s="8">
        <f t="shared" si="26"/>
        <v>1346281.2598928751</v>
      </c>
      <c r="K856" s="1" t="s">
        <v>86</v>
      </c>
      <c r="L856" s="1">
        <v>850</v>
      </c>
      <c r="M856" s="1" t="s">
        <v>20</v>
      </c>
    </row>
    <row r="857" spans="1:13" x14ac:dyDescent="0.3">
      <c r="A857" s="1" t="s">
        <v>2264</v>
      </c>
      <c r="B857" s="1" t="s">
        <v>2265</v>
      </c>
      <c r="C857" s="1">
        <v>23</v>
      </c>
      <c r="D857" s="1" t="s">
        <v>27</v>
      </c>
      <c r="E857" s="1">
        <v>100000</v>
      </c>
      <c r="F857" s="7">
        <v>0.115</v>
      </c>
      <c r="G857" s="1">
        <v>240</v>
      </c>
      <c r="H857" s="1" t="s">
        <v>2266</v>
      </c>
      <c r="I857" s="8">
        <f t="shared" si="27"/>
        <v>1066.429631512859</v>
      </c>
      <c r="J857" s="8">
        <f t="shared" si="26"/>
        <v>255943.11156308616</v>
      </c>
      <c r="K857" s="1" t="s">
        <v>104</v>
      </c>
      <c r="L857" s="1">
        <v>852</v>
      </c>
      <c r="M857" s="1" t="s">
        <v>20</v>
      </c>
    </row>
    <row r="858" spans="1:13" x14ac:dyDescent="0.3">
      <c r="A858" s="1" t="s">
        <v>2267</v>
      </c>
      <c r="B858" s="1" t="s">
        <v>1418</v>
      </c>
      <c r="C858" s="1">
        <v>61</v>
      </c>
      <c r="D858" s="1" t="s">
        <v>15</v>
      </c>
      <c r="E858" s="1">
        <v>1100000</v>
      </c>
      <c r="F858" s="7">
        <v>0.125</v>
      </c>
      <c r="G858" s="1">
        <v>12</v>
      </c>
      <c r="H858" s="1" t="s">
        <v>2268</v>
      </c>
      <c r="I858" s="8">
        <f t="shared" si="27"/>
        <v>97991.148981660255</v>
      </c>
      <c r="J858" s="8">
        <f t="shared" si="26"/>
        <v>1175893.7877799231</v>
      </c>
      <c r="K858" s="1" t="s">
        <v>108</v>
      </c>
      <c r="L858" s="1">
        <v>836</v>
      </c>
      <c r="M858" s="1" t="s">
        <v>16</v>
      </c>
    </row>
    <row r="859" spans="1:13" x14ac:dyDescent="0.3">
      <c r="A859" s="1" t="s">
        <v>2269</v>
      </c>
      <c r="B859" s="1" t="s">
        <v>2270</v>
      </c>
      <c r="C859" s="1">
        <v>38</v>
      </c>
      <c r="D859" s="1" t="s">
        <v>15</v>
      </c>
      <c r="E859" s="1">
        <v>620000</v>
      </c>
      <c r="F859" s="7">
        <v>0.1</v>
      </c>
      <c r="G859" s="1">
        <v>24</v>
      </c>
      <c r="H859" s="1" t="s">
        <v>2271</v>
      </c>
      <c r="I859" s="8">
        <f t="shared" si="27"/>
        <v>28609.854329260233</v>
      </c>
      <c r="J859" s="8">
        <f t="shared" si="26"/>
        <v>686636.50390224555</v>
      </c>
      <c r="K859" s="1" t="s">
        <v>90</v>
      </c>
      <c r="L859" s="1">
        <v>559</v>
      </c>
      <c r="M859" s="1" t="s">
        <v>60</v>
      </c>
    </row>
    <row r="860" spans="1:13" x14ac:dyDescent="0.3">
      <c r="A860" s="1" t="s">
        <v>2272</v>
      </c>
      <c r="B860" s="1" t="s">
        <v>1448</v>
      </c>
      <c r="C860" s="1">
        <v>56</v>
      </c>
      <c r="D860" s="1" t="s">
        <v>27</v>
      </c>
      <c r="E860" s="1">
        <v>820000</v>
      </c>
      <c r="F860" s="7">
        <v>0.115</v>
      </c>
      <c r="G860" s="1">
        <v>24</v>
      </c>
      <c r="H860" s="1" t="s">
        <v>2254</v>
      </c>
      <c r="I860" s="8">
        <f t="shared" si="27"/>
        <v>38409.058544917054</v>
      </c>
      <c r="J860" s="8">
        <f t="shared" si="26"/>
        <v>921817.40507800924</v>
      </c>
      <c r="K860" s="1" t="s">
        <v>212</v>
      </c>
      <c r="L860" s="1">
        <v>744</v>
      </c>
      <c r="M860" s="1" t="s">
        <v>20</v>
      </c>
    </row>
    <row r="861" spans="1:13" x14ac:dyDescent="0.3">
      <c r="A861" s="1" t="s">
        <v>2273</v>
      </c>
      <c r="B861" s="1" t="s">
        <v>1257</v>
      </c>
      <c r="C861" s="1">
        <v>42</v>
      </c>
      <c r="D861" s="1" t="s">
        <v>37</v>
      </c>
      <c r="E861" s="1">
        <v>1610000</v>
      </c>
      <c r="F861" s="7">
        <v>0.125</v>
      </c>
      <c r="G861" s="1">
        <v>240</v>
      </c>
      <c r="H861" s="1" t="s">
        <v>2274</v>
      </c>
      <c r="I861" s="8">
        <f t="shared" si="27"/>
        <v>18291.862850401347</v>
      </c>
      <c r="J861" s="8">
        <f t="shared" si="26"/>
        <v>4390047.0840963237</v>
      </c>
      <c r="K861" s="1" t="s">
        <v>222</v>
      </c>
      <c r="L861" s="1">
        <v>667</v>
      </c>
      <c r="M861" s="1" t="s">
        <v>16</v>
      </c>
    </row>
    <row r="862" spans="1:13" x14ac:dyDescent="0.3">
      <c r="A862" s="1" t="s">
        <v>2275</v>
      </c>
      <c r="B862" s="1" t="s">
        <v>2276</v>
      </c>
      <c r="C862" s="1">
        <v>54</v>
      </c>
      <c r="D862" s="1" t="s">
        <v>37</v>
      </c>
      <c r="E862" s="1">
        <v>3030000</v>
      </c>
      <c r="F862" s="7">
        <v>0.12</v>
      </c>
      <c r="G862" s="1">
        <v>60</v>
      </c>
      <c r="H862" s="1" t="s">
        <v>782</v>
      </c>
      <c r="I862" s="8">
        <f t="shared" si="27"/>
        <v>67400.676485252377</v>
      </c>
      <c r="J862" s="8">
        <f t="shared" si="26"/>
        <v>4044040.5891151428</v>
      </c>
      <c r="K862" s="1" t="s">
        <v>21</v>
      </c>
      <c r="L862" s="1">
        <v>819</v>
      </c>
      <c r="M862" s="1" t="s">
        <v>60</v>
      </c>
    </row>
    <row r="863" spans="1:13" x14ac:dyDescent="0.3">
      <c r="A863" s="1" t="s">
        <v>2277</v>
      </c>
      <c r="B863" s="1" t="s">
        <v>1082</v>
      </c>
      <c r="C863" s="1">
        <v>28</v>
      </c>
      <c r="D863" s="1" t="s">
        <v>15</v>
      </c>
      <c r="E863" s="1">
        <v>530000</v>
      </c>
      <c r="F863" s="7">
        <v>0.12</v>
      </c>
      <c r="G863" s="1">
        <v>240</v>
      </c>
      <c r="H863" s="1" t="s">
        <v>2140</v>
      </c>
      <c r="I863" s="8">
        <f t="shared" si="27"/>
        <v>5835.7565079189326</v>
      </c>
      <c r="J863" s="8">
        <f t="shared" si="26"/>
        <v>1400581.5619005437</v>
      </c>
      <c r="K863" s="1" t="s">
        <v>119</v>
      </c>
      <c r="L863" s="1">
        <v>629</v>
      </c>
      <c r="M863" s="1" t="s">
        <v>20</v>
      </c>
    </row>
    <row r="864" spans="1:13" x14ac:dyDescent="0.3">
      <c r="A864" s="1" t="s">
        <v>2278</v>
      </c>
      <c r="B864" s="1" t="s">
        <v>2279</v>
      </c>
      <c r="C864" s="1">
        <v>60</v>
      </c>
      <c r="D864" s="1" t="s">
        <v>27</v>
      </c>
      <c r="E864" s="1">
        <v>390000</v>
      </c>
      <c r="F864" s="7">
        <v>9.5000000000000001E-2</v>
      </c>
      <c r="G864" s="1">
        <v>84</v>
      </c>
      <c r="H864" s="1" t="s">
        <v>2280</v>
      </c>
      <c r="I864" s="8">
        <f t="shared" si="27"/>
        <v>6374.1528557063839</v>
      </c>
      <c r="J864" s="8">
        <f t="shared" si="26"/>
        <v>535428.8398793363</v>
      </c>
      <c r="K864" s="1" t="s">
        <v>159</v>
      </c>
      <c r="L864" s="1">
        <v>642</v>
      </c>
      <c r="M864" s="1" t="s">
        <v>60</v>
      </c>
    </row>
    <row r="865" spans="1:13" x14ac:dyDescent="0.3">
      <c r="A865" s="1" t="s">
        <v>2281</v>
      </c>
      <c r="B865" s="1" t="s">
        <v>1133</v>
      </c>
      <c r="C865" s="1">
        <v>64</v>
      </c>
      <c r="D865" s="1" t="s">
        <v>27</v>
      </c>
      <c r="E865" s="1">
        <v>200000</v>
      </c>
      <c r="F865" s="7">
        <v>9.5000000000000001E-2</v>
      </c>
      <c r="G865" s="1">
        <v>84</v>
      </c>
      <c r="H865" s="1" t="s">
        <v>346</v>
      </c>
      <c r="I865" s="8">
        <f t="shared" si="27"/>
        <v>3268.7963362596843</v>
      </c>
      <c r="J865" s="8">
        <f t="shared" si="26"/>
        <v>274578.89224581351</v>
      </c>
      <c r="K865" s="1" t="s">
        <v>68</v>
      </c>
      <c r="L865" s="1">
        <v>815</v>
      </c>
      <c r="M865" s="1" t="s">
        <v>16</v>
      </c>
    </row>
    <row r="866" spans="1:13" x14ac:dyDescent="0.3">
      <c r="A866" s="1" t="s">
        <v>2282</v>
      </c>
      <c r="B866" s="1" t="s">
        <v>92</v>
      </c>
      <c r="C866" s="1">
        <v>39</v>
      </c>
      <c r="D866" s="1" t="s">
        <v>42</v>
      </c>
      <c r="E866" s="1">
        <v>1060000</v>
      </c>
      <c r="F866" s="7">
        <v>0.125</v>
      </c>
      <c r="G866" s="1">
        <v>60</v>
      </c>
      <c r="H866" s="1" t="s">
        <v>2283</v>
      </c>
      <c r="I866" s="8">
        <f t="shared" si="27"/>
        <v>23847.814518940788</v>
      </c>
      <c r="J866" s="8">
        <f t="shared" si="26"/>
        <v>1430868.8711364472</v>
      </c>
      <c r="K866" s="1" t="s">
        <v>136</v>
      </c>
      <c r="L866" s="1">
        <v>881</v>
      </c>
      <c r="M866" s="1" t="s">
        <v>16</v>
      </c>
    </row>
    <row r="867" spans="1:13" x14ac:dyDescent="0.3">
      <c r="A867" s="1" t="s">
        <v>2284</v>
      </c>
      <c r="B867" s="1" t="s">
        <v>2285</v>
      </c>
      <c r="C867" s="1">
        <v>62</v>
      </c>
      <c r="D867" s="1" t="s">
        <v>32</v>
      </c>
      <c r="E867" s="1">
        <v>180000</v>
      </c>
      <c r="F867" s="7">
        <v>0.08</v>
      </c>
      <c r="G867" s="1">
        <v>48</v>
      </c>
      <c r="H867" s="1" t="s">
        <v>2286</v>
      </c>
      <c r="I867" s="8">
        <f t="shared" si="27"/>
        <v>4394.3260214704469</v>
      </c>
      <c r="J867" s="8">
        <f t="shared" si="26"/>
        <v>210927.64903058147</v>
      </c>
      <c r="K867" s="1" t="s">
        <v>119</v>
      </c>
      <c r="L867" s="1">
        <v>899</v>
      </c>
      <c r="M867" s="1" t="s">
        <v>20</v>
      </c>
    </row>
    <row r="868" spans="1:13" x14ac:dyDescent="0.3">
      <c r="A868" s="1" t="s">
        <v>2287</v>
      </c>
      <c r="B868" s="1" t="s">
        <v>2288</v>
      </c>
      <c r="C868" s="1">
        <v>61</v>
      </c>
      <c r="D868" s="1" t="s">
        <v>37</v>
      </c>
      <c r="E868" s="1">
        <v>1190000</v>
      </c>
      <c r="F868" s="7">
        <v>0.11</v>
      </c>
      <c r="G868" s="1">
        <v>48</v>
      </c>
      <c r="H868" s="1" t="s">
        <v>876</v>
      </c>
      <c r="I868" s="8">
        <f t="shared" si="27"/>
        <v>30756.171907628846</v>
      </c>
      <c r="J868" s="8">
        <f t="shared" si="26"/>
        <v>1476296.2515661847</v>
      </c>
      <c r="K868" s="1" t="s">
        <v>90</v>
      </c>
      <c r="L868" s="1">
        <v>806</v>
      </c>
      <c r="M868" s="1" t="s">
        <v>16</v>
      </c>
    </row>
    <row r="869" spans="1:13" x14ac:dyDescent="0.3">
      <c r="A869" s="1" t="s">
        <v>2289</v>
      </c>
      <c r="B869" s="1" t="s">
        <v>2290</v>
      </c>
      <c r="C869" s="1">
        <v>57</v>
      </c>
      <c r="D869" s="1" t="s">
        <v>37</v>
      </c>
      <c r="E869" s="1">
        <v>3620000</v>
      </c>
      <c r="F869" s="7">
        <v>0.08</v>
      </c>
      <c r="G869" s="1">
        <v>180</v>
      </c>
      <c r="H869" s="1" t="s">
        <v>726</v>
      </c>
      <c r="I869" s="8">
        <f t="shared" si="27"/>
        <v>34594.605452758718</v>
      </c>
      <c r="J869" s="8">
        <f t="shared" si="26"/>
        <v>6227028.9814965697</v>
      </c>
      <c r="K869" s="1" t="s">
        <v>366</v>
      </c>
      <c r="L869" s="1">
        <v>682</v>
      </c>
      <c r="M869" s="1" t="s">
        <v>16</v>
      </c>
    </row>
    <row r="870" spans="1:13" x14ac:dyDescent="0.3">
      <c r="A870" s="1" t="s">
        <v>2291</v>
      </c>
      <c r="B870" s="1" t="s">
        <v>2292</v>
      </c>
      <c r="C870" s="1">
        <v>26</v>
      </c>
      <c r="D870" s="1" t="s">
        <v>42</v>
      </c>
      <c r="E870" s="1">
        <v>650000</v>
      </c>
      <c r="F870" s="7">
        <v>0.1</v>
      </c>
      <c r="G870" s="1">
        <v>120</v>
      </c>
      <c r="H870" s="1" t="s">
        <v>2293</v>
      </c>
      <c r="I870" s="8">
        <f t="shared" si="27"/>
        <v>8589.7978973145073</v>
      </c>
      <c r="J870" s="8">
        <f t="shared" si="26"/>
        <v>1030775.7476777409</v>
      </c>
      <c r="K870" s="1" t="s">
        <v>52</v>
      </c>
      <c r="L870" s="1">
        <v>825</v>
      </c>
      <c r="M870" s="1" t="s">
        <v>20</v>
      </c>
    </row>
    <row r="871" spans="1:13" x14ac:dyDescent="0.3">
      <c r="A871" s="1" t="s">
        <v>2294</v>
      </c>
      <c r="B871" s="1" t="s">
        <v>2295</v>
      </c>
      <c r="C871" s="1">
        <v>46</v>
      </c>
      <c r="D871" s="1" t="s">
        <v>23</v>
      </c>
      <c r="E871" s="1">
        <v>1870000</v>
      </c>
      <c r="F871" s="7">
        <v>9.5000000000000001E-2</v>
      </c>
      <c r="G871" s="1">
        <v>12</v>
      </c>
      <c r="H871" s="1" t="s">
        <v>2296</v>
      </c>
      <c r="I871" s="8">
        <f t="shared" si="27"/>
        <v>163968.16701737608</v>
      </c>
      <c r="J871" s="8">
        <f t="shared" si="26"/>
        <v>1967618.0042085131</v>
      </c>
      <c r="K871" s="1" t="s">
        <v>39</v>
      </c>
      <c r="L871" s="1">
        <v>813</v>
      </c>
      <c r="M871" s="1" t="s">
        <v>16</v>
      </c>
    </row>
    <row r="872" spans="1:13" x14ac:dyDescent="0.3">
      <c r="A872" s="1" t="s">
        <v>2297</v>
      </c>
      <c r="B872" s="1" t="s">
        <v>2298</v>
      </c>
      <c r="C872" s="1">
        <v>54</v>
      </c>
      <c r="D872" s="1" t="s">
        <v>18</v>
      </c>
      <c r="E872" s="1">
        <v>1030000</v>
      </c>
      <c r="F872" s="7">
        <v>0.125</v>
      </c>
      <c r="G872" s="1">
        <v>60</v>
      </c>
      <c r="H872" s="1" t="s">
        <v>749</v>
      </c>
      <c r="I872" s="8">
        <f t="shared" si="27"/>
        <v>23172.876372178311</v>
      </c>
      <c r="J872" s="8">
        <f t="shared" si="26"/>
        <v>1390372.5823306986</v>
      </c>
      <c r="K872" s="1" t="s">
        <v>44</v>
      </c>
      <c r="L872" s="1">
        <v>720</v>
      </c>
      <c r="M872" s="1" t="s">
        <v>20</v>
      </c>
    </row>
    <row r="873" spans="1:13" x14ac:dyDescent="0.3">
      <c r="A873" s="1" t="s">
        <v>2299</v>
      </c>
      <c r="B873" s="1" t="s">
        <v>1031</v>
      </c>
      <c r="C873" s="1">
        <v>26</v>
      </c>
      <c r="D873" s="1" t="s">
        <v>37</v>
      </c>
      <c r="E873" s="1">
        <v>3060000</v>
      </c>
      <c r="F873" s="7">
        <v>0.1</v>
      </c>
      <c r="G873" s="1">
        <v>36</v>
      </c>
      <c r="H873" s="1" t="s">
        <v>2300</v>
      </c>
      <c r="I873" s="8">
        <f t="shared" si="27"/>
        <v>98737.592813142692</v>
      </c>
      <c r="J873" s="8">
        <f t="shared" si="26"/>
        <v>3554553.3412731369</v>
      </c>
      <c r="K873" s="1" t="s">
        <v>25</v>
      </c>
      <c r="L873" s="1">
        <v>550</v>
      </c>
      <c r="M873" s="1" t="s">
        <v>16</v>
      </c>
    </row>
    <row r="874" spans="1:13" x14ac:dyDescent="0.3">
      <c r="A874" s="1" t="s">
        <v>2301</v>
      </c>
      <c r="B874" s="1" t="s">
        <v>2302</v>
      </c>
      <c r="C874" s="1">
        <v>57</v>
      </c>
      <c r="D874" s="1" t="s">
        <v>42</v>
      </c>
      <c r="E874" s="1">
        <v>790000</v>
      </c>
      <c r="F874" s="7">
        <v>9.5000000000000001E-2</v>
      </c>
      <c r="G874" s="1">
        <v>120</v>
      </c>
      <c r="H874" s="1" t="s">
        <v>2303</v>
      </c>
      <c r="I874" s="8">
        <f t="shared" si="27"/>
        <v>10222.407047301385</v>
      </c>
      <c r="J874" s="8">
        <f t="shared" si="26"/>
        <v>1226688.8456761662</v>
      </c>
      <c r="K874" s="1" t="s">
        <v>201</v>
      </c>
      <c r="L874" s="1">
        <v>862</v>
      </c>
      <c r="M874" s="1" t="s">
        <v>312</v>
      </c>
    </row>
    <row r="875" spans="1:13" x14ac:dyDescent="0.3">
      <c r="A875" s="1" t="s">
        <v>2304</v>
      </c>
      <c r="B875" s="1" t="s">
        <v>2305</v>
      </c>
      <c r="C875" s="1">
        <v>53</v>
      </c>
      <c r="D875" s="1" t="s">
        <v>27</v>
      </c>
      <c r="E875" s="1">
        <v>550000</v>
      </c>
      <c r="F875" s="7">
        <v>9.5000000000000001E-2</v>
      </c>
      <c r="G875" s="1">
        <v>240</v>
      </c>
      <c r="H875" s="1" t="s">
        <v>2306</v>
      </c>
      <c r="I875" s="8">
        <f t="shared" si="27"/>
        <v>5126.7215330843492</v>
      </c>
      <c r="J875" s="8">
        <f t="shared" si="26"/>
        <v>1230413.1679402438</v>
      </c>
      <c r="K875" s="1" t="s">
        <v>44</v>
      </c>
      <c r="L875" s="1">
        <v>613</v>
      </c>
      <c r="M875" s="1" t="s">
        <v>16</v>
      </c>
    </row>
    <row r="876" spans="1:13" x14ac:dyDescent="0.3">
      <c r="A876" s="1" t="s">
        <v>2307</v>
      </c>
      <c r="B876" s="1" t="s">
        <v>1839</v>
      </c>
      <c r="C876" s="1">
        <v>42</v>
      </c>
      <c r="D876" s="1" t="s">
        <v>23</v>
      </c>
      <c r="E876" s="1">
        <v>2530000</v>
      </c>
      <c r="F876" s="7">
        <v>0.125</v>
      </c>
      <c r="G876" s="1">
        <v>24</v>
      </c>
      <c r="H876" s="1" t="s">
        <v>402</v>
      </c>
      <c r="I876" s="8">
        <f t="shared" si="27"/>
        <v>119687.48983581377</v>
      </c>
      <c r="J876" s="8">
        <f t="shared" si="26"/>
        <v>2872499.7560595307</v>
      </c>
      <c r="K876" s="1" t="s">
        <v>82</v>
      </c>
      <c r="L876" s="1">
        <v>833</v>
      </c>
      <c r="M876" s="1" t="s">
        <v>16</v>
      </c>
    </row>
    <row r="877" spans="1:13" x14ac:dyDescent="0.3">
      <c r="A877" s="1" t="s">
        <v>2308</v>
      </c>
      <c r="B877" s="1" t="s">
        <v>2309</v>
      </c>
      <c r="C877" s="1">
        <v>41</v>
      </c>
      <c r="D877" s="1" t="s">
        <v>18</v>
      </c>
      <c r="E877" s="1">
        <v>1680000</v>
      </c>
      <c r="F877" s="7">
        <v>0.13</v>
      </c>
      <c r="G877" s="1">
        <v>240</v>
      </c>
      <c r="H877" s="1" t="s">
        <v>2310</v>
      </c>
      <c r="I877" s="8">
        <f t="shared" si="27"/>
        <v>19682.471949475501</v>
      </c>
      <c r="J877" s="8">
        <f t="shared" si="26"/>
        <v>4723793.2678741198</v>
      </c>
      <c r="K877" s="1" t="s">
        <v>39</v>
      </c>
      <c r="L877" s="1">
        <v>670</v>
      </c>
      <c r="M877" s="1" t="s">
        <v>16</v>
      </c>
    </row>
    <row r="878" spans="1:13" x14ac:dyDescent="0.3">
      <c r="A878" s="1" t="s">
        <v>2311</v>
      </c>
      <c r="B878" s="1" t="s">
        <v>2312</v>
      </c>
      <c r="C878" s="1">
        <v>26</v>
      </c>
      <c r="D878" s="1" t="s">
        <v>15</v>
      </c>
      <c r="E878" s="1">
        <v>400000</v>
      </c>
      <c r="F878" s="7">
        <v>0.125</v>
      </c>
      <c r="G878" s="1">
        <v>24</v>
      </c>
      <c r="H878" s="1" t="s">
        <v>2313</v>
      </c>
      <c r="I878" s="8">
        <f t="shared" si="27"/>
        <v>18922.923294199805</v>
      </c>
      <c r="J878" s="8">
        <f t="shared" si="26"/>
        <v>454150.15906079533</v>
      </c>
      <c r="K878" s="1" t="s">
        <v>119</v>
      </c>
      <c r="L878" s="1">
        <v>656</v>
      </c>
      <c r="M878" s="1" t="s">
        <v>60</v>
      </c>
    </row>
    <row r="879" spans="1:13" x14ac:dyDescent="0.3">
      <c r="A879" s="1" t="s">
        <v>2314</v>
      </c>
      <c r="B879" s="1" t="s">
        <v>1592</v>
      </c>
      <c r="C879" s="1">
        <v>26</v>
      </c>
      <c r="D879" s="1" t="s">
        <v>27</v>
      </c>
      <c r="E879" s="1">
        <v>100000</v>
      </c>
      <c r="F879" s="7">
        <v>9.5000000000000001E-2</v>
      </c>
      <c r="G879" s="1">
        <v>240</v>
      </c>
      <c r="H879" s="1" t="s">
        <v>2315</v>
      </c>
      <c r="I879" s="8">
        <f t="shared" si="27"/>
        <v>932.13118783351808</v>
      </c>
      <c r="J879" s="8">
        <f t="shared" si="26"/>
        <v>223711.48508004434</v>
      </c>
      <c r="K879" s="1" t="s">
        <v>52</v>
      </c>
      <c r="L879" s="1">
        <v>724</v>
      </c>
      <c r="M879" s="1" t="s">
        <v>20</v>
      </c>
    </row>
    <row r="880" spans="1:13" x14ac:dyDescent="0.3">
      <c r="A880" s="1" t="s">
        <v>2316</v>
      </c>
      <c r="B880" s="1" t="s">
        <v>2317</v>
      </c>
      <c r="C880" s="1">
        <v>24</v>
      </c>
      <c r="D880" s="1" t="s">
        <v>23</v>
      </c>
      <c r="E880" s="1">
        <v>4580000</v>
      </c>
      <c r="F880" s="7">
        <v>0.09</v>
      </c>
      <c r="G880" s="1">
        <v>60</v>
      </c>
      <c r="H880" s="1" t="s">
        <v>190</v>
      </c>
      <c r="I880" s="8">
        <f t="shared" si="27"/>
        <v>95073.266936701359</v>
      </c>
      <c r="J880" s="8">
        <f t="shared" si="26"/>
        <v>5704396.0162020819</v>
      </c>
      <c r="K880" s="1" t="s">
        <v>34</v>
      </c>
      <c r="L880" s="1">
        <v>753</v>
      </c>
      <c r="M880" s="1" t="s">
        <v>312</v>
      </c>
    </row>
    <row r="881" spans="1:13" x14ac:dyDescent="0.3">
      <c r="A881" s="1" t="s">
        <v>2318</v>
      </c>
      <c r="B881" s="1" t="s">
        <v>2319</v>
      </c>
      <c r="C881" s="1">
        <v>50</v>
      </c>
      <c r="D881" s="1" t="s">
        <v>32</v>
      </c>
      <c r="E881" s="1">
        <v>300000</v>
      </c>
      <c r="F881" s="7">
        <v>8.5000000000000006E-2</v>
      </c>
      <c r="G881" s="1">
        <v>84</v>
      </c>
      <c r="H881" s="1" t="s">
        <v>2320</v>
      </c>
      <c r="I881" s="8">
        <f t="shared" si="27"/>
        <v>4750.9456311422091</v>
      </c>
      <c r="J881" s="8">
        <f t="shared" si="26"/>
        <v>399079.43301594554</v>
      </c>
      <c r="K881" s="1" t="s">
        <v>187</v>
      </c>
      <c r="L881" s="1">
        <v>714</v>
      </c>
      <c r="M881" s="1" t="s">
        <v>16</v>
      </c>
    </row>
    <row r="882" spans="1:13" x14ac:dyDescent="0.3">
      <c r="A882" s="1" t="s">
        <v>2321</v>
      </c>
      <c r="B882" s="1" t="s">
        <v>2322</v>
      </c>
      <c r="C882" s="1">
        <v>31</v>
      </c>
      <c r="D882" s="1" t="s">
        <v>42</v>
      </c>
      <c r="E882" s="1">
        <v>460000</v>
      </c>
      <c r="F882" s="7">
        <v>0.115</v>
      </c>
      <c r="G882" s="1">
        <v>24</v>
      </c>
      <c r="H882" s="1" t="s">
        <v>276</v>
      </c>
      <c r="I882" s="8">
        <f t="shared" si="27"/>
        <v>21546.54503739249</v>
      </c>
      <c r="J882" s="8">
        <f t="shared" si="26"/>
        <v>517117.08089741977</v>
      </c>
      <c r="K882" s="1" t="s">
        <v>187</v>
      </c>
      <c r="L882" s="1">
        <v>854</v>
      </c>
      <c r="M882" s="1" t="s">
        <v>20</v>
      </c>
    </row>
    <row r="883" spans="1:13" x14ac:dyDescent="0.3">
      <c r="A883" s="1" t="s">
        <v>2323</v>
      </c>
      <c r="B883" s="1" t="s">
        <v>644</v>
      </c>
      <c r="C883" s="1">
        <v>50</v>
      </c>
      <c r="D883" s="1" t="s">
        <v>32</v>
      </c>
      <c r="E883" s="1">
        <v>120000</v>
      </c>
      <c r="F883" s="7">
        <v>0.09</v>
      </c>
      <c r="G883" s="1">
        <v>240</v>
      </c>
      <c r="H883" s="1" t="s">
        <v>2324</v>
      </c>
      <c r="I883" s="8">
        <f t="shared" si="27"/>
        <v>1079.6711470202076</v>
      </c>
      <c r="J883" s="8">
        <f t="shared" si="26"/>
        <v>259121.07528484982</v>
      </c>
      <c r="K883" s="1" t="s">
        <v>52</v>
      </c>
      <c r="L883" s="1">
        <v>669</v>
      </c>
      <c r="M883" s="1" t="s">
        <v>16</v>
      </c>
    </row>
    <row r="884" spans="1:13" x14ac:dyDescent="0.3">
      <c r="A884" s="1" t="s">
        <v>2325</v>
      </c>
      <c r="B884" s="1" t="s">
        <v>54</v>
      </c>
      <c r="C884" s="1">
        <v>51</v>
      </c>
      <c r="D884" s="1" t="s">
        <v>27</v>
      </c>
      <c r="E884" s="1">
        <v>720000</v>
      </c>
      <c r="F884" s="7">
        <v>7.4999999999999997E-2</v>
      </c>
      <c r="G884" s="1">
        <v>60</v>
      </c>
      <c r="H884" s="1" t="s">
        <v>1008</v>
      </c>
      <c r="I884" s="8">
        <f t="shared" si="27"/>
        <v>14427.32298884911</v>
      </c>
      <c r="J884" s="8">
        <f t="shared" si="26"/>
        <v>865639.3793309466</v>
      </c>
      <c r="K884" s="1" t="s">
        <v>132</v>
      </c>
      <c r="L884" s="1">
        <v>593</v>
      </c>
      <c r="M884" s="1" t="s">
        <v>16</v>
      </c>
    </row>
    <row r="885" spans="1:13" x14ac:dyDescent="0.3">
      <c r="A885" s="1" t="s">
        <v>2326</v>
      </c>
      <c r="B885" s="1" t="s">
        <v>2327</v>
      </c>
      <c r="C885" s="1">
        <v>44</v>
      </c>
      <c r="D885" s="1" t="s">
        <v>32</v>
      </c>
      <c r="E885" s="1">
        <v>170000</v>
      </c>
      <c r="F885" s="7">
        <v>0.12</v>
      </c>
      <c r="G885" s="1">
        <v>240</v>
      </c>
      <c r="H885" s="1" t="s">
        <v>2328</v>
      </c>
      <c r="I885" s="8">
        <f t="shared" si="27"/>
        <v>1871.8464270683369</v>
      </c>
      <c r="J885" s="8">
        <f t="shared" si="26"/>
        <v>449243.14249640086</v>
      </c>
      <c r="K885" s="1" t="s">
        <v>25</v>
      </c>
      <c r="L885" s="1">
        <v>861</v>
      </c>
      <c r="M885" s="1" t="s">
        <v>16</v>
      </c>
    </row>
    <row r="886" spans="1:13" x14ac:dyDescent="0.3">
      <c r="A886" s="1" t="s">
        <v>2329</v>
      </c>
      <c r="B886" s="1" t="s">
        <v>2330</v>
      </c>
      <c r="C886" s="1">
        <v>29</v>
      </c>
      <c r="D886" s="1" t="s">
        <v>23</v>
      </c>
      <c r="E886" s="1">
        <v>9710000</v>
      </c>
      <c r="F886" s="7">
        <v>0.105</v>
      </c>
      <c r="G886" s="1">
        <v>60</v>
      </c>
      <c r="H886" s="1" t="s">
        <v>2324</v>
      </c>
      <c r="I886" s="8">
        <f t="shared" si="27"/>
        <v>208705.77267152054</v>
      </c>
      <c r="J886" s="8">
        <f t="shared" si="26"/>
        <v>12522346.360291231</v>
      </c>
      <c r="K886" s="1" t="s">
        <v>90</v>
      </c>
      <c r="L886" s="1">
        <v>705</v>
      </c>
      <c r="M886" s="1" t="s">
        <v>20</v>
      </c>
    </row>
    <row r="887" spans="1:13" x14ac:dyDescent="0.3">
      <c r="A887" s="1" t="s">
        <v>2331</v>
      </c>
      <c r="B887" s="1" t="s">
        <v>1595</v>
      </c>
      <c r="C887" s="1">
        <v>23</v>
      </c>
      <c r="D887" s="1" t="s">
        <v>15</v>
      </c>
      <c r="E887" s="1">
        <v>1630000</v>
      </c>
      <c r="F887" s="7">
        <v>0.125</v>
      </c>
      <c r="G887" s="1">
        <v>180</v>
      </c>
      <c r="H887" s="1" t="s">
        <v>2332</v>
      </c>
      <c r="I887" s="8">
        <f t="shared" si="27"/>
        <v>20090.10994464238</v>
      </c>
      <c r="J887" s="8">
        <f t="shared" si="26"/>
        <v>3616219.7900356282</v>
      </c>
      <c r="K887" s="1" t="s">
        <v>56</v>
      </c>
      <c r="L887" s="1">
        <v>756</v>
      </c>
      <c r="M887" s="1" t="s">
        <v>16</v>
      </c>
    </row>
    <row r="888" spans="1:13" x14ac:dyDescent="0.3">
      <c r="A888" s="1" t="s">
        <v>2333</v>
      </c>
      <c r="B888" s="1" t="s">
        <v>2334</v>
      </c>
      <c r="C888" s="1">
        <v>51</v>
      </c>
      <c r="D888" s="1" t="s">
        <v>32</v>
      </c>
      <c r="E888" s="1">
        <v>280000</v>
      </c>
      <c r="F888" s="7">
        <v>0.1</v>
      </c>
      <c r="G888" s="1">
        <v>120</v>
      </c>
      <c r="H888" s="1" t="s">
        <v>2335</v>
      </c>
      <c r="I888" s="8">
        <f t="shared" si="27"/>
        <v>3700.2206326893265</v>
      </c>
      <c r="J888" s="8">
        <f t="shared" si="26"/>
        <v>444026.47592271917</v>
      </c>
      <c r="K888" s="1" t="s">
        <v>205</v>
      </c>
      <c r="L888" s="1">
        <v>657</v>
      </c>
      <c r="M888" s="1" t="s">
        <v>16</v>
      </c>
    </row>
    <row r="889" spans="1:13" x14ac:dyDescent="0.3">
      <c r="A889" s="1" t="s">
        <v>2336</v>
      </c>
      <c r="B889" s="1" t="s">
        <v>2337</v>
      </c>
      <c r="C889" s="1">
        <v>60</v>
      </c>
      <c r="D889" s="1" t="s">
        <v>27</v>
      </c>
      <c r="E889" s="1">
        <v>110000</v>
      </c>
      <c r="F889" s="7">
        <v>0.125</v>
      </c>
      <c r="G889" s="1">
        <v>180</v>
      </c>
      <c r="H889" s="1" t="s">
        <v>2338</v>
      </c>
      <c r="I889" s="8">
        <f t="shared" si="27"/>
        <v>1355.7742907427373</v>
      </c>
      <c r="J889" s="8">
        <f t="shared" si="26"/>
        <v>244039.37233369271</v>
      </c>
      <c r="K889" s="1" t="s">
        <v>119</v>
      </c>
      <c r="L889" s="1">
        <v>800</v>
      </c>
      <c r="M889" s="1" t="s">
        <v>16</v>
      </c>
    </row>
    <row r="890" spans="1:13" x14ac:dyDescent="0.3">
      <c r="A890" s="1" t="s">
        <v>2339</v>
      </c>
      <c r="B890" s="1" t="s">
        <v>2340</v>
      </c>
      <c r="C890" s="1">
        <v>57</v>
      </c>
      <c r="D890" s="1" t="s">
        <v>18</v>
      </c>
      <c r="E890" s="1">
        <v>220000</v>
      </c>
      <c r="F890" s="7">
        <v>8.5000000000000006E-2</v>
      </c>
      <c r="G890" s="1">
        <v>48</v>
      </c>
      <c r="H890" s="1" t="s">
        <v>2341</v>
      </c>
      <c r="I890" s="8">
        <f t="shared" si="27"/>
        <v>5422.6267389438553</v>
      </c>
      <c r="J890" s="8">
        <f t="shared" si="26"/>
        <v>260286.08346930507</v>
      </c>
      <c r="K890" s="1" t="s">
        <v>212</v>
      </c>
      <c r="L890" s="1">
        <v>883</v>
      </c>
      <c r="M890" s="1" t="s">
        <v>16</v>
      </c>
    </row>
    <row r="891" spans="1:13" x14ac:dyDescent="0.3">
      <c r="A891" s="1" t="s">
        <v>2342</v>
      </c>
      <c r="B891" s="1" t="s">
        <v>2343</v>
      </c>
      <c r="C891" s="1">
        <v>56</v>
      </c>
      <c r="D891" s="1" t="s">
        <v>27</v>
      </c>
      <c r="E891" s="1">
        <v>830000</v>
      </c>
      <c r="F891" s="7">
        <v>0.13</v>
      </c>
      <c r="G891" s="1">
        <v>84</v>
      </c>
      <c r="H891" s="1" t="s">
        <v>2344</v>
      </c>
      <c r="I891" s="8">
        <f t="shared" si="27"/>
        <v>15099.329579483809</v>
      </c>
      <c r="J891" s="8">
        <f t="shared" si="26"/>
        <v>1268343.68467664</v>
      </c>
      <c r="K891" s="1" t="s">
        <v>155</v>
      </c>
      <c r="L891" s="1">
        <v>679</v>
      </c>
      <c r="M891" s="1" t="s">
        <v>20</v>
      </c>
    </row>
    <row r="892" spans="1:13" x14ac:dyDescent="0.3">
      <c r="A892" s="1" t="s">
        <v>2345</v>
      </c>
      <c r="B892" s="1" t="s">
        <v>2346</v>
      </c>
      <c r="C892" s="1">
        <v>44</v>
      </c>
      <c r="D892" s="1" t="s">
        <v>37</v>
      </c>
      <c r="E892" s="1">
        <v>3380000</v>
      </c>
      <c r="F892" s="7">
        <v>7.4999999999999997E-2</v>
      </c>
      <c r="G892" s="1">
        <v>180</v>
      </c>
      <c r="H892" s="1" t="s">
        <v>2347</v>
      </c>
      <c r="I892" s="8">
        <f t="shared" si="27"/>
        <v>31333.017768092548</v>
      </c>
      <c r="J892" s="8">
        <f t="shared" si="26"/>
        <v>5639943.1982566584</v>
      </c>
      <c r="K892" s="1" t="s">
        <v>34</v>
      </c>
      <c r="L892" s="1">
        <v>842</v>
      </c>
      <c r="M892" s="1" t="s">
        <v>16</v>
      </c>
    </row>
    <row r="893" spans="1:13" x14ac:dyDescent="0.3">
      <c r="A893" s="1" t="s">
        <v>2348</v>
      </c>
      <c r="B893" s="1" t="s">
        <v>866</v>
      </c>
      <c r="C893" s="1">
        <v>51</v>
      </c>
      <c r="D893" s="1" t="s">
        <v>32</v>
      </c>
      <c r="E893" s="1">
        <v>480000</v>
      </c>
      <c r="F893" s="7">
        <v>0.125</v>
      </c>
      <c r="G893" s="1">
        <v>180</v>
      </c>
      <c r="H893" s="1" t="s">
        <v>2349</v>
      </c>
      <c r="I893" s="8">
        <f t="shared" si="27"/>
        <v>5916.105995968308</v>
      </c>
      <c r="J893" s="8">
        <f t="shared" si="26"/>
        <v>1064899.0792742954</v>
      </c>
      <c r="K893" s="1" t="s">
        <v>151</v>
      </c>
      <c r="L893" s="1">
        <v>569</v>
      </c>
      <c r="M893" s="1" t="s">
        <v>20</v>
      </c>
    </row>
    <row r="894" spans="1:13" x14ac:dyDescent="0.3">
      <c r="A894" s="1" t="s">
        <v>2350</v>
      </c>
      <c r="B894" s="1" t="s">
        <v>2351</v>
      </c>
      <c r="C894" s="1">
        <v>26</v>
      </c>
      <c r="D894" s="1" t="s">
        <v>18</v>
      </c>
      <c r="E894" s="1">
        <v>450000</v>
      </c>
      <c r="F894" s="7">
        <v>0.11</v>
      </c>
      <c r="G894" s="1">
        <v>12</v>
      </c>
      <c r="H894" s="1" t="s">
        <v>1730</v>
      </c>
      <c r="I894" s="8">
        <f t="shared" si="27"/>
        <v>39771.746334721814</v>
      </c>
      <c r="J894" s="8">
        <f t="shared" si="26"/>
        <v>477260.95601666177</v>
      </c>
      <c r="K894" s="1" t="s">
        <v>159</v>
      </c>
      <c r="L894" s="1">
        <v>831</v>
      </c>
      <c r="M894" s="1" t="s">
        <v>20</v>
      </c>
    </row>
    <row r="895" spans="1:13" x14ac:dyDescent="0.3">
      <c r="A895" s="1" t="s">
        <v>2352</v>
      </c>
      <c r="B895" s="1" t="s">
        <v>826</v>
      </c>
      <c r="C895" s="1">
        <v>22</v>
      </c>
      <c r="D895" s="1" t="s">
        <v>23</v>
      </c>
      <c r="E895" s="1">
        <v>8090000</v>
      </c>
      <c r="F895" s="7">
        <v>9.5000000000000001E-2</v>
      </c>
      <c r="G895" s="1">
        <v>180</v>
      </c>
      <c r="H895" s="1" t="s">
        <v>2353</v>
      </c>
      <c r="I895" s="8">
        <f t="shared" si="27"/>
        <v>84477.776843680331</v>
      </c>
      <c r="J895" s="8">
        <f t="shared" si="26"/>
        <v>15205999.831862459</v>
      </c>
      <c r="K895" s="1" t="s">
        <v>159</v>
      </c>
      <c r="L895" s="1">
        <v>834</v>
      </c>
      <c r="M895" s="1" t="s">
        <v>20</v>
      </c>
    </row>
    <row r="896" spans="1:13" x14ac:dyDescent="0.3">
      <c r="A896" s="1" t="s">
        <v>2354</v>
      </c>
      <c r="B896" s="1" t="s">
        <v>2355</v>
      </c>
      <c r="C896" s="1">
        <v>40</v>
      </c>
      <c r="D896" s="1" t="s">
        <v>23</v>
      </c>
      <c r="E896" s="1">
        <v>3220000</v>
      </c>
      <c r="F896" s="7">
        <v>9.5000000000000001E-2</v>
      </c>
      <c r="G896" s="1">
        <v>24</v>
      </c>
      <c r="H896" s="1" t="s">
        <v>2356</v>
      </c>
      <c r="I896" s="8">
        <f t="shared" si="27"/>
        <v>147844.66742433954</v>
      </c>
      <c r="J896" s="8">
        <f t="shared" si="26"/>
        <v>3548272.0181841487</v>
      </c>
      <c r="K896" s="1" t="s">
        <v>136</v>
      </c>
      <c r="L896" s="1">
        <v>550</v>
      </c>
      <c r="M896" s="1" t="s">
        <v>16</v>
      </c>
    </row>
    <row r="897" spans="1:13" x14ac:dyDescent="0.3">
      <c r="A897" s="1" t="s">
        <v>2357</v>
      </c>
      <c r="B897" s="1" t="s">
        <v>263</v>
      </c>
      <c r="C897" s="1">
        <v>48</v>
      </c>
      <c r="D897" s="1" t="s">
        <v>37</v>
      </c>
      <c r="E897" s="1">
        <v>4510000</v>
      </c>
      <c r="F897" s="7">
        <v>0.105</v>
      </c>
      <c r="G897" s="1">
        <v>60</v>
      </c>
      <c r="H897" s="1" t="s">
        <v>2358</v>
      </c>
      <c r="I897" s="8">
        <f t="shared" si="27"/>
        <v>96937.490705309741</v>
      </c>
      <c r="J897" s="8">
        <f t="shared" si="26"/>
        <v>5816249.4423185848</v>
      </c>
      <c r="K897" s="1" t="s">
        <v>147</v>
      </c>
      <c r="L897" s="1">
        <v>668</v>
      </c>
      <c r="M897" s="1" t="s">
        <v>20</v>
      </c>
    </row>
    <row r="898" spans="1:13" x14ac:dyDescent="0.3">
      <c r="A898" s="1" t="s">
        <v>2359</v>
      </c>
      <c r="B898" s="1" t="s">
        <v>2360</v>
      </c>
      <c r="C898" s="1">
        <v>31</v>
      </c>
      <c r="D898" s="1" t="s">
        <v>18</v>
      </c>
      <c r="E898" s="1">
        <v>350000</v>
      </c>
      <c r="F898" s="7">
        <v>0.105</v>
      </c>
      <c r="G898" s="1">
        <v>24</v>
      </c>
      <c r="H898" s="1" t="s">
        <v>2361</v>
      </c>
      <c r="I898" s="8">
        <f t="shared" si="27"/>
        <v>16231.614573780074</v>
      </c>
      <c r="J898" s="8">
        <f t="shared" si="26"/>
        <v>389558.74977072177</v>
      </c>
      <c r="K898" s="1" t="s">
        <v>201</v>
      </c>
      <c r="L898" s="1">
        <v>584</v>
      </c>
      <c r="M898" s="1" t="s">
        <v>20</v>
      </c>
    </row>
    <row r="899" spans="1:13" x14ac:dyDescent="0.3">
      <c r="A899" s="1" t="s">
        <v>2362</v>
      </c>
      <c r="B899" s="1" t="s">
        <v>1219</v>
      </c>
      <c r="C899" s="1">
        <v>24</v>
      </c>
      <c r="D899" s="1" t="s">
        <v>32</v>
      </c>
      <c r="E899" s="1">
        <v>170000</v>
      </c>
      <c r="F899" s="7">
        <v>0.105</v>
      </c>
      <c r="G899" s="1">
        <v>120</v>
      </c>
      <c r="H899" s="1" t="s">
        <v>1906</v>
      </c>
      <c r="I899" s="8">
        <f t="shared" si="27"/>
        <v>2293.8949451842986</v>
      </c>
      <c r="J899" s="8">
        <f t="shared" si="26"/>
        <v>275267.39342211583</v>
      </c>
      <c r="K899" s="1" t="s">
        <v>104</v>
      </c>
      <c r="L899" s="1">
        <v>747</v>
      </c>
      <c r="M899" s="1" t="s">
        <v>60</v>
      </c>
    </row>
    <row r="900" spans="1:13" x14ac:dyDescent="0.3">
      <c r="A900" s="1" t="s">
        <v>2363</v>
      </c>
      <c r="B900" s="1" t="s">
        <v>2182</v>
      </c>
      <c r="C900" s="1">
        <v>35</v>
      </c>
      <c r="D900" s="1" t="s">
        <v>42</v>
      </c>
      <c r="E900" s="1">
        <v>1100000</v>
      </c>
      <c r="F900" s="7">
        <v>0.13</v>
      </c>
      <c r="G900" s="1">
        <v>48</v>
      </c>
      <c r="H900" s="1" t="s">
        <v>351</v>
      </c>
      <c r="I900" s="8">
        <f t="shared" si="27"/>
        <v>29510.245483141382</v>
      </c>
      <c r="J900" s="8">
        <f t="shared" ref="J900:J963" si="28">(I900*G900)</f>
        <v>1416491.7831907864</v>
      </c>
      <c r="K900" s="1" t="s">
        <v>132</v>
      </c>
      <c r="L900" s="1">
        <v>794</v>
      </c>
      <c r="M900" s="1" t="s">
        <v>20</v>
      </c>
    </row>
    <row r="901" spans="1:13" x14ac:dyDescent="0.3">
      <c r="A901" s="1" t="s">
        <v>2364</v>
      </c>
      <c r="B901" s="1" t="s">
        <v>474</v>
      </c>
      <c r="C901" s="1">
        <v>26</v>
      </c>
      <c r="D901" s="1" t="s">
        <v>18</v>
      </c>
      <c r="E901" s="1">
        <v>390000</v>
      </c>
      <c r="F901" s="7">
        <v>7.4999999999999997E-2</v>
      </c>
      <c r="G901" s="1">
        <v>48</v>
      </c>
      <c r="H901" s="1" t="s">
        <v>1225</v>
      </c>
      <c r="I901" s="8">
        <f t="shared" ref="I901:I964" si="29">PMT(F901/12,G901, -E901)</f>
        <v>9429.7717557151791</v>
      </c>
      <c r="J901" s="8">
        <f t="shared" si="28"/>
        <v>452629.04427432863</v>
      </c>
      <c r="K901" s="1" t="s">
        <v>115</v>
      </c>
      <c r="L901" s="1">
        <v>608</v>
      </c>
      <c r="M901" s="1" t="s">
        <v>60</v>
      </c>
    </row>
    <row r="902" spans="1:13" x14ac:dyDescent="0.3">
      <c r="A902" s="1" t="s">
        <v>2365</v>
      </c>
      <c r="B902" s="1" t="s">
        <v>2346</v>
      </c>
      <c r="C902" s="1">
        <v>50</v>
      </c>
      <c r="D902" s="1" t="s">
        <v>42</v>
      </c>
      <c r="E902" s="1">
        <v>510000</v>
      </c>
      <c r="F902" s="7">
        <v>0.12</v>
      </c>
      <c r="G902" s="1">
        <v>84</v>
      </c>
      <c r="H902" s="1" t="s">
        <v>1343</v>
      </c>
      <c r="I902" s="8">
        <f t="shared" si="29"/>
        <v>9002.8937265076474</v>
      </c>
      <c r="J902" s="8">
        <f t="shared" si="28"/>
        <v>756243.07302664244</v>
      </c>
      <c r="K902" s="1" t="s">
        <v>94</v>
      </c>
      <c r="L902" s="1">
        <v>874</v>
      </c>
      <c r="M902" s="1" t="s">
        <v>16</v>
      </c>
    </row>
    <row r="903" spans="1:13" x14ac:dyDescent="0.3">
      <c r="A903" s="1" t="s">
        <v>2366</v>
      </c>
      <c r="B903" s="1" t="s">
        <v>2367</v>
      </c>
      <c r="C903" s="1">
        <v>58</v>
      </c>
      <c r="D903" s="1" t="s">
        <v>37</v>
      </c>
      <c r="E903" s="1">
        <v>1370000</v>
      </c>
      <c r="F903" s="7">
        <v>0.13</v>
      </c>
      <c r="G903" s="1">
        <v>120</v>
      </c>
      <c r="H903" s="1" t="s">
        <v>2368</v>
      </c>
      <c r="I903" s="8">
        <f t="shared" si="29"/>
        <v>20455.571376879805</v>
      </c>
      <c r="J903" s="8">
        <f t="shared" si="28"/>
        <v>2454668.5652255765</v>
      </c>
      <c r="K903" s="1" t="s">
        <v>48</v>
      </c>
      <c r="L903" s="1">
        <v>710</v>
      </c>
      <c r="M903" s="1" t="s">
        <v>60</v>
      </c>
    </row>
    <row r="904" spans="1:13" x14ac:dyDescent="0.3">
      <c r="A904" s="1" t="s">
        <v>2369</v>
      </c>
      <c r="B904" s="1" t="s">
        <v>99</v>
      </c>
      <c r="C904" s="1">
        <v>22</v>
      </c>
      <c r="D904" s="1" t="s">
        <v>27</v>
      </c>
      <c r="E904" s="1">
        <v>430000</v>
      </c>
      <c r="F904" s="7">
        <v>0.12</v>
      </c>
      <c r="G904" s="1">
        <v>84</v>
      </c>
      <c r="H904" s="1" t="s">
        <v>2370</v>
      </c>
      <c r="I904" s="8">
        <f t="shared" si="29"/>
        <v>7590.6751027417431</v>
      </c>
      <c r="J904" s="8">
        <f t="shared" si="28"/>
        <v>637616.70863030641</v>
      </c>
      <c r="K904" s="1" t="s">
        <v>132</v>
      </c>
      <c r="L904" s="1">
        <v>728</v>
      </c>
      <c r="M904" s="1" t="s">
        <v>16</v>
      </c>
    </row>
    <row r="905" spans="1:13" x14ac:dyDescent="0.3">
      <c r="A905" s="1" t="s">
        <v>2371</v>
      </c>
      <c r="B905" s="1" t="s">
        <v>2256</v>
      </c>
      <c r="C905" s="1">
        <v>35</v>
      </c>
      <c r="D905" s="1" t="s">
        <v>15</v>
      </c>
      <c r="E905" s="1">
        <v>970000</v>
      </c>
      <c r="F905" s="7">
        <v>0.09</v>
      </c>
      <c r="G905" s="1">
        <v>240</v>
      </c>
      <c r="H905" s="1" t="s">
        <v>2372</v>
      </c>
      <c r="I905" s="8">
        <f t="shared" si="29"/>
        <v>8727.3417717466782</v>
      </c>
      <c r="J905" s="8">
        <f t="shared" si="28"/>
        <v>2094562.0252192027</v>
      </c>
      <c r="K905" s="1" t="s">
        <v>205</v>
      </c>
      <c r="L905" s="1">
        <v>755</v>
      </c>
      <c r="M905" s="1" t="s">
        <v>16</v>
      </c>
    </row>
    <row r="906" spans="1:13" x14ac:dyDescent="0.3">
      <c r="A906" s="1" t="s">
        <v>2373</v>
      </c>
      <c r="B906" s="1" t="s">
        <v>2026</v>
      </c>
      <c r="C906" s="1">
        <v>31</v>
      </c>
      <c r="D906" s="1" t="s">
        <v>42</v>
      </c>
      <c r="E906" s="1">
        <v>930000</v>
      </c>
      <c r="F906" s="7">
        <v>0.1</v>
      </c>
      <c r="G906" s="1">
        <v>240</v>
      </c>
      <c r="H906" s="1" t="s">
        <v>1411</v>
      </c>
      <c r="I906" s="8">
        <f t="shared" si="29"/>
        <v>8974.701299188273</v>
      </c>
      <c r="J906" s="8">
        <f t="shared" si="28"/>
        <v>2153928.3118051854</v>
      </c>
      <c r="K906" s="1" t="s">
        <v>108</v>
      </c>
      <c r="L906" s="1">
        <v>561</v>
      </c>
      <c r="M906" s="1" t="s">
        <v>60</v>
      </c>
    </row>
    <row r="907" spans="1:13" x14ac:dyDescent="0.3">
      <c r="A907" s="1" t="s">
        <v>2374</v>
      </c>
      <c r="B907" s="1" t="s">
        <v>2375</v>
      </c>
      <c r="C907" s="1">
        <v>28</v>
      </c>
      <c r="D907" s="1" t="s">
        <v>32</v>
      </c>
      <c r="E907" s="1">
        <v>120000</v>
      </c>
      <c r="F907" s="7">
        <v>0.13</v>
      </c>
      <c r="G907" s="1">
        <v>12</v>
      </c>
      <c r="H907" s="1" t="s">
        <v>2376</v>
      </c>
      <c r="I907" s="8">
        <f t="shared" si="29"/>
        <v>10718.073085409877</v>
      </c>
      <c r="J907" s="8">
        <f t="shared" si="28"/>
        <v>128616.87702491852</v>
      </c>
      <c r="K907" s="1" t="s">
        <v>34</v>
      </c>
      <c r="L907" s="1">
        <v>825</v>
      </c>
      <c r="M907" s="1" t="s">
        <v>16</v>
      </c>
    </row>
    <row r="908" spans="1:13" x14ac:dyDescent="0.3">
      <c r="A908" s="1" t="s">
        <v>2377</v>
      </c>
      <c r="B908" s="1" t="s">
        <v>2378</v>
      </c>
      <c r="C908" s="1">
        <v>46</v>
      </c>
      <c r="D908" s="1" t="s">
        <v>15</v>
      </c>
      <c r="E908" s="1">
        <v>1000000</v>
      </c>
      <c r="F908" s="7">
        <v>0.13</v>
      </c>
      <c r="G908" s="1">
        <v>60</v>
      </c>
      <c r="H908" s="1" t="s">
        <v>2379</v>
      </c>
      <c r="I908" s="8">
        <f t="shared" si="29"/>
        <v>22753.073044224024</v>
      </c>
      <c r="J908" s="8">
        <f t="shared" si="28"/>
        <v>1365184.3826534415</v>
      </c>
      <c r="K908" s="1" t="s">
        <v>108</v>
      </c>
      <c r="L908" s="1">
        <v>730</v>
      </c>
      <c r="M908" s="1" t="s">
        <v>312</v>
      </c>
    </row>
    <row r="909" spans="1:13" x14ac:dyDescent="0.3">
      <c r="A909" s="1" t="s">
        <v>2380</v>
      </c>
      <c r="B909" s="1" t="s">
        <v>1222</v>
      </c>
      <c r="C909" s="1">
        <v>64</v>
      </c>
      <c r="D909" s="1" t="s">
        <v>23</v>
      </c>
      <c r="E909" s="1">
        <v>3230000</v>
      </c>
      <c r="F909" s="7">
        <v>0.09</v>
      </c>
      <c r="G909" s="1">
        <v>48</v>
      </c>
      <c r="H909" s="1" t="s">
        <v>2381</v>
      </c>
      <c r="I909" s="8">
        <f t="shared" si="29"/>
        <v>80378.686867807497</v>
      </c>
      <c r="J909" s="8">
        <f t="shared" si="28"/>
        <v>3858176.9696547599</v>
      </c>
      <c r="K909" s="1" t="s">
        <v>64</v>
      </c>
      <c r="L909" s="1">
        <v>791</v>
      </c>
      <c r="M909" s="1" t="s">
        <v>16</v>
      </c>
    </row>
    <row r="910" spans="1:13" x14ac:dyDescent="0.3">
      <c r="A910" s="1" t="s">
        <v>2382</v>
      </c>
      <c r="B910" s="1" t="s">
        <v>2383</v>
      </c>
      <c r="C910" s="1">
        <v>25</v>
      </c>
      <c r="D910" s="1" t="s">
        <v>23</v>
      </c>
      <c r="E910" s="1">
        <v>3400000</v>
      </c>
      <c r="F910" s="7">
        <v>0.125</v>
      </c>
      <c r="G910" s="1">
        <v>60</v>
      </c>
      <c r="H910" s="1" t="s">
        <v>971</v>
      </c>
      <c r="I910" s="8">
        <f t="shared" si="29"/>
        <v>76492.98996641385</v>
      </c>
      <c r="J910" s="8">
        <f t="shared" si="28"/>
        <v>4589579.3979848307</v>
      </c>
      <c r="K910" s="1" t="s">
        <v>75</v>
      </c>
      <c r="L910" s="1">
        <v>765</v>
      </c>
      <c r="M910" s="1" t="s">
        <v>16</v>
      </c>
    </row>
    <row r="911" spans="1:13" x14ac:dyDescent="0.3">
      <c r="A911" s="1" t="s">
        <v>2384</v>
      </c>
      <c r="B911" s="1" t="s">
        <v>2385</v>
      </c>
      <c r="C911" s="1">
        <v>26</v>
      </c>
      <c r="D911" s="1" t="s">
        <v>42</v>
      </c>
      <c r="E911" s="1">
        <v>440000</v>
      </c>
      <c r="F911" s="7">
        <v>0.115</v>
      </c>
      <c r="G911" s="1">
        <v>24</v>
      </c>
      <c r="H911" s="1" t="s">
        <v>2386</v>
      </c>
      <c r="I911" s="8">
        <f t="shared" si="29"/>
        <v>20609.738731418907</v>
      </c>
      <c r="J911" s="8">
        <f t="shared" si="28"/>
        <v>494633.72955405375</v>
      </c>
      <c r="K911" s="1" t="s">
        <v>249</v>
      </c>
      <c r="L911" s="1">
        <v>800</v>
      </c>
      <c r="M911" s="1" t="s">
        <v>20</v>
      </c>
    </row>
    <row r="912" spans="1:13" x14ac:dyDescent="0.3">
      <c r="A912" s="1" t="s">
        <v>2387</v>
      </c>
      <c r="B912" s="1" t="s">
        <v>1789</v>
      </c>
      <c r="C912" s="1">
        <v>46</v>
      </c>
      <c r="D912" s="1" t="s">
        <v>27</v>
      </c>
      <c r="E912" s="1">
        <v>660000</v>
      </c>
      <c r="F912" s="7">
        <v>0.125</v>
      </c>
      <c r="G912" s="1">
        <v>120</v>
      </c>
      <c r="H912" s="1" t="s">
        <v>708</v>
      </c>
      <c r="I912" s="8">
        <f t="shared" si="29"/>
        <v>9660.8271324185407</v>
      </c>
      <c r="J912" s="8">
        <f t="shared" si="28"/>
        <v>1159299.2558902248</v>
      </c>
      <c r="K912" s="1" t="s">
        <v>68</v>
      </c>
      <c r="L912" s="1">
        <v>848</v>
      </c>
      <c r="M912" s="1" t="s">
        <v>16</v>
      </c>
    </row>
    <row r="913" spans="1:13" x14ac:dyDescent="0.3">
      <c r="A913" s="1" t="s">
        <v>2388</v>
      </c>
      <c r="B913" s="1" t="s">
        <v>1160</v>
      </c>
      <c r="C913" s="1">
        <v>24</v>
      </c>
      <c r="D913" s="1" t="s">
        <v>23</v>
      </c>
      <c r="E913" s="1">
        <v>1140000</v>
      </c>
      <c r="F913" s="7">
        <v>0.11</v>
      </c>
      <c r="G913" s="1">
        <v>84</v>
      </c>
      <c r="H913" s="1" t="s">
        <v>2389</v>
      </c>
      <c r="I913" s="8">
        <f t="shared" si="29"/>
        <v>19519.577535784585</v>
      </c>
      <c r="J913" s="8">
        <f t="shared" si="28"/>
        <v>1639644.5130059051</v>
      </c>
      <c r="K913" s="1" t="s">
        <v>205</v>
      </c>
      <c r="L913" s="1">
        <v>675</v>
      </c>
      <c r="M913" s="1" t="s">
        <v>60</v>
      </c>
    </row>
    <row r="914" spans="1:13" x14ac:dyDescent="0.3">
      <c r="A914" s="1" t="s">
        <v>2390</v>
      </c>
      <c r="B914" s="1" t="s">
        <v>2391</v>
      </c>
      <c r="C914" s="1">
        <v>39</v>
      </c>
      <c r="D914" s="1" t="s">
        <v>15</v>
      </c>
      <c r="E914" s="1">
        <v>1480000</v>
      </c>
      <c r="F914" s="7">
        <v>0.125</v>
      </c>
      <c r="G914" s="1">
        <v>24</v>
      </c>
      <c r="H914" s="1" t="s">
        <v>2392</v>
      </c>
      <c r="I914" s="8">
        <f t="shared" si="29"/>
        <v>70014.816188539291</v>
      </c>
      <c r="J914" s="8">
        <f t="shared" si="28"/>
        <v>1680355.588524943</v>
      </c>
      <c r="K914" s="1" t="s">
        <v>108</v>
      </c>
      <c r="L914" s="1">
        <v>766</v>
      </c>
      <c r="M914" s="1" t="s">
        <v>20</v>
      </c>
    </row>
    <row r="915" spans="1:13" x14ac:dyDescent="0.3">
      <c r="A915" s="1" t="s">
        <v>2393</v>
      </c>
      <c r="B915" s="1" t="s">
        <v>596</v>
      </c>
      <c r="C915" s="1">
        <v>40</v>
      </c>
      <c r="D915" s="1" t="s">
        <v>27</v>
      </c>
      <c r="E915" s="1">
        <v>780000</v>
      </c>
      <c r="F915" s="7">
        <v>0.1</v>
      </c>
      <c r="G915" s="1">
        <v>240</v>
      </c>
      <c r="H915" s="1" t="s">
        <v>2394</v>
      </c>
      <c r="I915" s="8">
        <f t="shared" si="29"/>
        <v>7527.1688315772617</v>
      </c>
      <c r="J915" s="8">
        <f t="shared" si="28"/>
        <v>1806520.5195785428</v>
      </c>
      <c r="K915" s="1" t="s">
        <v>316</v>
      </c>
      <c r="L915" s="1">
        <v>855</v>
      </c>
      <c r="M915" s="1" t="s">
        <v>20</v>
      </c>
    </row>
    <row r="916" spans="1:13" x14ac:dyDescent="0.3">
      <c r="A916" s="1" t="s">
        <v>2395</v>
      </c>
      <c r="B916" s="1" t="s">
        <v>881</v>
      </c>
      <c r="C916" s="1">
        <v>53</v>
      </c>
      <c r="D916" s="1" t="s">
        <v>42</v>
      </c>
      <c r="E916" s="1">
        <v>640000</v>
      </c>
      <c r="F916" s="7">
        <v>0.115</v>
      </c>
      <c r="G916" s="1">
        <v>36</v>
      </c>
      <c r="H916" s="1" t="s">
        <v>2396</v>
      </c>
      <c r="I916" s="8">
        <f t="shared" si="29"/>
        <v>21104.644117008058</v>
      </c>
      <c r="J916" s="8">
        <f t="shared" si="28"/>
        <v>759767.18821229006</v>
      </c>
      <c r="K916" s="1" t="s">
        <v>132</v>
      </c>
      <c r="L916" s="1">
        <v>834</v>
      </c>
      <c r="M916" s="1" t="s">
        <v>16</v>
      </c>
    </row>
    <row r="917" spans="1:13" x14ac:dyDescent="0.3">
      <c r="A917" s="1" t="s">
        <v>2397</v>
      </c>
      <c r="B917" s="1" t="s">
        <v>2398</v>
      </c>
      <c r="C917" s="1">
        <v>40</v>
      </c>
      <c r="D917" s="1" t="s">
        <v>23</v>
      </c>
      <c r="E917" s="1">
        <v>8380000</v>
      </c>
      <c r="F917" s="7">
        <v>9.5000000000000001E-2</v>
      </c>
      <c r="G917" s="1">
        <v>180</v>
      </c>
      <c r="H917" s="1" t="s">
        <v>2399</v>
      </c>
      <c r="I917" s="8">
        <f t="shared" si="29"/>
        <v>87506.028423985292</v>
      </c>
      <c r="J917" s="8">
        <f t="shared" si="28"/>
        <v>15751085.116317352</v>
      </c>
      <c r="K917" s="1" t="s">
        <v>143</v>
      </c>
      <c r="L917" s="1">
        <v>734</v>
      </c>
      <c r="M917" s="1" t="s">
        <v>312</v>
      </c>
    </row>
    <row r="918" spans="1:13" x14ac:dyDescent="0.3">
      <c r="A918" s="1" t="s">
        <v>2400</v>
      </c>
      <c r="B918" s="1" t="s">
        <v>2401</v>
      </c>
      <c r="C918" s="1">
        <v>32</v>
      </c>
      <c r="D918" s="1" t="s">
        <v>42</v>
      </c>
      <c r="E918" s="1">
        <v>1040000</v>
      </c>
      <c r="F918" s="7">
        <v>8.5000000000000006E-2</v>
      </c>
      <c r="G918" s="1">
        <v>84</v>
      </c>
      <c r="H918" s="1" t="s">
        <v>503</v>
      </c>
      <c r="I918" s="8">
        <f t="shared" si="29"/>
        <v>16469.944854626323</v>
      </c>
      <c r="J918" s="8">
        <f t="shared" si="28"/>
        <v>1383475.3677886112</v>
      </c>
      <c r="K918" s="1" t="s">
        <v>108</v>
      </c>
      <c r="L918" s="1">
        <v>588</v>
      </c>
      <c r="M918" s="1" t="s">
        <v>20</v>
      </c>
    </row>
    <row r="919" spans="1:13" x14ac:dyDescent="0.3">
      <c r="A919" s="1" t="s">
        <v>2402</v>
      </c>
      <c r="B919" s="1" t="s">
        <v>1311</v>
      </c>
      <c r="C919" s="1">
        <v>21</v>
      </c>
      <c r="D919" s="1" t="s">
        <v>18</v>
      </c>
      <c r="E919" s="1">
        <v>1720000</v>
      </c>
      <c r="F919" s="7">
        <v>0.125</v>
      </c>
      <c r="G919" s="1">
        <v>84</v>
      </c>
      <c r="H919" s="1" t="s">
        <v>2403</v>
      </c>
      <c r="I919" s="8">
        <f t="shared" si="29"/>
        <v>30824.530093262092</v>
      </c>
      <c r="J919" s="8">
        <f t="shared" si="28"/>
        <v>2589260.5278340159</v>
      </c>
      <c r="K919" s="1" t="s">
        <v>29</v>
      </c>
      <c r="L919" s="1">
        <v>772</v>
      </c>
      <c r="M919" s="1" t="s">
        <v>16</v>
      </c>
    </row>
    <row r="920" spans="1:13" x14ac:dyDescent="0.3">
      <c r="A920" s="1" t="s">
        <v>2404</v>
      </c>
      <c r="B920" s="1" t="s">
        <v>2405</v>
      </c>
      <c r="C920" s="1">
        <v>46</v>
      </c>
      <c r="D920" s="1" t="s">
        <v>27</v>
      </c>
      <c r="E920" s="1">
        <v>320000</v>
      </c>
      <c r="F920" s="7">
        <v>0.115</v>
      </c>
      <c r="G920" s="1">
        <v>48</v>
      </c>
      <c r="H920" s="1" t="s">
        <v>2313</v>
      </c>
      <c r="I920" s="8">
        <f t="shared" si="29"/>
        <v>8348.4828498743645</v>
      </c>
      <c r="J920" s="8">
        <f t="shared" si="28"/>
        <v>400727.17679396947</v>
      </c>
      <c r="K920" s="1" t="s">
        <v>222</v>
      </c>
      <c r="L920" s="1">
        <v>733</v>
      </c>
      <c r="M920" s="1" t="s">
        <v>16</v>
      </c>
    </row>
    <row r="921" spans="1:13" x14ac:dyDescent="0.3">
      <c r="A921" s="1" t="s">
        <v>2406</v>
      </c>
      <c r="B921" s="1" t="s">
        <v>2407</v>
      </c>
      <c r="C921" s="1">
        <v>34</v>
      </c>
      <c r="D921" s="1" t="s">
        <v>27</v>
      </c>
      <c r="E921" s="1">
        <v>760000</v>
      </c>
      <c r="F921" s="7">
        <v>8.5000000000000006E-2</v>
      </c>
      <c r="G921" s="1">
        <v>60</v>
      </c>
      <c r="H921" s="1" t="s">
        <v>1303</v>
      </c>
      <c r="I921" s="8">
        <f t="shared" si="29"/>
        <v>15592.563808558949</v>
      </c>
      <c r="J921" s="8">
        <f t="shared" si="28"/>
        <v>935553.82851353695</v>
      </c>
      <c r="K921" s="1" t="s">
        <v>191</v>
      </c>
      <c r="L921" s="1">
        <v>727</v>
      </c>
      <c r="M921" s="1" t="s">
        <v>16</v>
      </c>
    </row>
    <row r="922" spans="1:13" x14ac:dyDescent="0.3">
      <c r="A922" s="1" t="s">
        <v>2408</v>
      </c>
      <c r="B922" s="1" t="s">
        <v>1415</v>
      </c>
      <c r="C922" s="1">
        <v>58</v>
      </c>
      <c r="D922" s="1" t="s">
        <v>27</v>
      </c>
      <c r="E922" s="1">
        <v>880000</v>
      </c>
      <c r="F922" s="7">
        <v>9.5000000000000001E-2</v>
      </c>
      <c r="G922" s="1">
        <v>36</v>
      </c>
      <c r="H922" s="1" t="s">
        <v>603</v>
      </c>
      <c r="I922" s="8">
        <f t="shared" si="29"/>
        <v>28188.995771887887</v>
      </c>
      <c r="J922" s="8">
        <f t="shared" si="28"/>
        <v>1014803.8477879639</v>
      </c>
      <c r="K922" s="1" t="s">
        <v>75</v>
      </c>
      <c r="L922" s="1">
        <v>843</v>
      </c>
      <c r="M922" s="1" t="s">
        <v>20</v>
      </c>
    </row>
    <row r="923" spans="1:13" x14ac:dyDescent="0.3">
      <c r="A923" s="1" t="s">
        <v>2409</v>
      </c>
      <c r="B923" s="1" t="s">
        <v>920</v>
      </c>
      <c r="C923" s="1">
        <v>57</v>
      </c>
      <c r="D923" s="1" t="s">
        <v>37</v>
      </c>
      <c r="E923" s="1">
        <v>1770000</v>
      </c>
      <c r="F923" s="7">
        <v>0.08</v>
      </c>
      <c r="G923" s="1">
        <v>48</v>
      </c>
      <c r="H923" s="1" t="s">
        <v>2410</v>
      </c>
      <c r="I923" s="8">
        <f t="shared" si="29"/>
        <v>43210.872544459402</v>
      </c>
      <c r="J923" s="8">
        <f t="shared" si="28"/>
        <v>2074121.8821340513</v>
      </c>
      <c r="K923" s="1" t="s">
        <v>155</v>
      </c>
      <c r="L923" s="1">
        <v>889</v>
      </c>
      <c r="M923" s="1" t="s">
        <v>16</v>
      </c>
    </row>
    <row r="924" spans="1:13" x14ac:dyDescent="0.3">
      <c r="A924" s="1" t="s">
        <v>2411</v>
      </c>
      <c r="B924" s="1" t="s">
        <v>2412</v>
      </c>
      <c r="C924" s="1">
        <v>31</v>
      </c>
      <c r="D924" s="1" t="s">
        <v>32</v>
      </c>
      <c r="E924" s="1">
        <v>270000</v>
      </c>
      <c r="F924" s="7">
        <v>0.11</v>
      </c>
      <c r="G924" s="1">
        <v>180</v>
      </c>
      <c r="H924" s="1" t="s">
        <v>2413</v>
      </c>
      <c r="I924" s="8">
        <f t="shared" si="29"/>
        <v>3068.8117233014395</v>
      </c>
      <c r="J924" s="8">
        <f t="shared" si="28"/>
        <v>552386.11019425909</v>
      </c>
      <c r="K924" s="1" t="s">
        <v>25</v>
      </c>
      <c r="L924" s="1">
        <v>700</v>
      </c>
      <c r="M924" s="1" t="s">
        <v>16</v>
      </c>
    </row>
    <row r="925" spans="1:13" x14ac:dyDescent="0.3">
      <c r="A925" s="1" t="s">
        <v>2414</v>
      </c>
      <c r="B925" s="1" t="s">
        <v>1015</v>
      </c>
      <c r="C925" s="1">
        <v>56</v>
      </c>
      <c r="D925" s="1" t="s">
        <v>37</v>
      </c>
      <c r="E925" s="1">
        <v>4210000</v>
      </c>
      <c r="F925" s="7">
        <v>8.5000000000000006E-2</v>
      </c>
      <c r="G925" s="1">
        <v>48</v>
      </c>
      <c r="H925" s="1" t="s">
        <v>2415</v>
      </c>
      <c r="I925" s="8">
        <f t="shared" si="29"/>
        <v>103769.35714069834</v>
      </c>
      <c r="J925" s="8">
        <f t="shared" si="28"/>
        <v>4980929.14275352</v>
      </c>
      <c r="K925" s="1" t="s">
        <v>159</v>
      </c>
      <c r="L925" s="1">
        <v>675</v>
      </c>
      <c r="M925" s="1" t="s">
        <v>60</v>
      </c>
    </row>
    <row r="926" spans="1:13" x14ac:dyDescent="0.3">
      <c r="A926" s="1" t="s">
        <v>2416</v>
      </c>
      <c r="B926" s="1" t="s">
        <v>1001</v>
      </c>
      <c r="C926" s="1">
        <v>33</v>
      </c>
      <c r="D926" s="1" t="s">
        <v>15</v>
      </c>
      <c r="E926" s="1">
        <v>660000</v>
      </c>
      <c r="F926" s="7">
        <v>0.13</v>
      </c>
      <c r="G926" s="1">
        <v>48</v>
      </c>
      <c r="H926" s="1" t="s">
        <v>2417</v>
      </c>
      <c r="I926" s="8">
        <f t="shared" si="29"/>
        <v>17706.14728988483</v>
      </c>
      <c r="J926" s="8">
        <f t="shared" si="28"/>
        <v>849895.06991447182</v>
      </c>
      <c r="K926" s="1" t="s">
        <v>136</v>
      </c>
      <c r="L926" s="1">
        <v>850</v>
      </c>
      <c r="M926" s="1" t="s">
        <v>16</v>
      </c>
    </row>
    <row r="927" spans="1:13" x14ac:dyDescent="0.3">
      <c r="A927" s="1" t="s">
        <v>2418</v>
      </c>
      <c r="B927" s="1" t="s">
        <v>2419</v>
      </c>
      <c r="C927" s="1">
        <v>63</v>
      </c>
      <c r="D927" s="1" t="s">
        <v>27</v>
      </c>
      <c r="E927" s="1">
        <v>190000</v>
      </c>
      <c r="F927" s="7">
        <v>9.5000000000000001E-2</v>
      </c>
      <c r="G927" s="1">
        <v>48</v>
      </c>
      <c r="H927" s="1" t="s">
        <v>2420</v>
      </c>
      <c r="I927" s="8">
        <f t="shared" si="29"/>
        <v>4773.3959674777834</v>
      </c>
      <c r="J927" s="8">
        <f t="shared" si="28"/>
        <v>229123.0064389336</v>
      </c>
      <c r="K927" s="1" t="s">
        <v>187</v>
      </c>
      <c r="L927" s="1">
        <v>857</v>
      </c>
      <c r="M927" s="1" t="s">
        <v>60</v>
      </c>
    </row>
    <row r="928" spans="1:13" x14ac:dyDescent="0.3">
      <c r="A928" s="1" t="s">
        <v>2421</v>
      </c>
      <c r="B928" s="1" t="s">
        <v>1547</v>
      </c>
      <c r="C928" s="1">
        <v>23</v>
      </c>
      <c r="D928" s="1" t="s">
        <v>32</v>
      </c>
      <c r="E928" s="1">
        <v>100000</v>
      </c>
      <c r="F928" s="7">
        <v>0.13</v>
      </c>
      <c r="G928" s="1">
        <v>60</v>
      </c>
      <c r="H928" s="1" t="s">
        <v>2422</v>
      </c>
      <c r="I928" s="8">
        <f t="shared" si="29"/>
        <v>2275.307304422402</v>
      </c>
      <c r="J928" s="8">
        <f t="shared" si="28"/>
        <v>136518.43826534413</v>
      </c>
      <c r="K928" s="1" t="s">
        <v>29</v>
      </c>
      <c r="L928" s="1">
        <v>885</v>
      </c>
      <c r="M928" s="1" t="s">
        <v>20</v>
      </c>
    </row>
    <row r="929" spans="1:13" x14ac:dyDescent="0.3">
      <c r="A929" s="1" t="s">
        <v>2423</v>
      </c>
      <c r="B929" s="1" t="s">
        <v>2424</v>
      </c>
      <c r="C929" s="1">
        <v>53</v>
      </c>
      <c r="D929" s="1" t="s">
        <v>27</v>
      </c>
      <c r="E929" s="1">
        <v>250000</v>
      </c>
      <c r="F929" s="7">
        <v>0.115</v>
      </c>
      <c r="G929" s="1">
        <v>48</v>
      </c>
      <c r="H929" s="1" t="s">
        <v>2425</v>
      </c>
      <c r="I929" s="8">
        <f t="shared" si="29"/>
        <v>6522.2522264643467</v>
      </c>
      <c r="J929" s="8">
        <f t="shared" si="28"/>
        <v>313068.10687028861</v>
      </c>
      <c r="K929" s="1" t="s">
        <v>48</v>
      </c>
      <c r="L929" s="1">
        <v>783</v>
      </c>
      <c r="M929" s="1" t="s">
        <v>16</v>
      </c>
    </row>
    <row r="930" spans="1:13" x14ac:dyDescent="0.3">
      <c r="A930" s="1" t="s">
        <v>2426</v>
      </c>
      <c r="B930" s="1" t="s">
        <v>2427</v>
      </c>
      <c r="C930" s="1">
        <v>26</v>
      </c>
      <c r="D930" s="1" t="s">
        <v>32</v>
      </c>
      <c r="E930" s="1">
        <v>440000</v>
      </c>
      <c r="F930" s="7">
        <v>8.5000000000000006E-2</v>
      </c>
      <c r="G930" s="1">
        <v>48</v>
      </c>
      <c r="H930" s="1" t="s">
        <v>2428</v>
      </c>
      <c r="I930" s="8">
        <f t="shared" si="29"/>
        <v>10845.253477887711</v>
      </c>
      <c r="J930" s="8">
        <f t="shared" si="28"/>
        <v>520572.16693861014</v>
      </c>
      <c r="K930" s="1" t="s">
        <v>222</v>
      </c>
      <c r="L930" s="1">
        <v>557</v>
      </c>
      <c r="M930" s="1" t="s">
        <v>16</v>
      </c>
    </row>
    <row r="931" spans="1:13" x14ac:dyDescent="0.3">
      <c r="A931" s="1" t="s">
        <v>2429</v>
      </c>
      <c r="B931" s="1" t="s">
        <v>608</v>
      </c>
      <c r="C931" s="1">
        <v>30</v>
      </c>
      <c r="D931" s="1" t="s">
        <v>23</v>
      </c>
      <c r="E931" s="1">
        <v>3070000</v>
      </c>
      <c r="F931" s="7">
        <v>0.125</v>
      </c>
      <c r="G931" s="1">
        <v>48</v>
      </c>
      <c r="H931" s="1" t="s">
        <v>2430</v>
      </c>
      <c r="I931" s="8">
        <f t="shared" si="29"/>
        <v>81600.596597737545</v>
      </c>
      <c r="J931" s="8">
        <f t="shared" si="28"/>
        <v>3916828.6366914022</v>
      </c>
      <c r="K931" s="1" t="s">
        <v>151</v>
      </c>
      <c r="L931" s="1">
        <v>890</v>
      </c>
      <c r="M931" s="1" t="s">
        <v>20</v>
      </c>
    </row>
    <row r="932" spans="1:13" x14ac:dyDescent="0.3">
      <c r="A932" s="1" t="s">
        <v>2431</v>
      </c>
      <c r="B932" s="1" t="s">
        <v>1882</v>
      </c>
      <c r="C932" s="1">
        <v>25</v>
      </c>
      <c r="D932" s="1" t="s">
        <v>15</v>
      </c>
      <c r="E932" s="1">
        <v>1440000</v>
      </c>
      <c r="F932" s="7">
        <v>0.1</v>
      </c>
      <c r="G932" s="1">
        <v>48</v>
      </c>
      <c r="H932" s="1" t="s">
        <v>2432</v>
      </c>
      <c r="I932" s="8">
        <f t="shared" si="29"/>
        <v>36522.120146035952</v>
      </c>
      <c r="J932" s="8">
        <f t="shared" si="28"/>
        <v>1753061.7670097258</v>
      </c>
      <c r="K932" s="1" t="s">
        <v>159</v>
      </c>
      <c r="L932" s="1">
        <v>678</v>
      </c>
      <c r="M932" s="1" t="s">
        <v>16</v>
      </c>
    </row>
    <row r="933" spans="1:13" x14ac:dyDescent="0.3">
      <c r="A933" s="1" t="s">
        <v>2433</v>
      </c>
      <c r="B933" s="1" t="s">
        <v>2424</v>
      </c>
      <c r="C933" s="1">
        <v>43</v>
      </c>
      <c r="D933" s="1" t="s">
        <v>32</v>
      </c>
      <c r="E933" s="1">
        <v>430000</v>
      </c>
      <c r="F933" s="7">
        <v>0.125</v>
      </c>
      <c r="G933" s="1">
        <v>84</v>
      </c>
      <c r="H933" s="1" t="s">
        <v>2434</v>
      </c>
      <c r="I933" s="8">
        <f t="shared" si="29"/>
        <v>7706.132523315523</v>
      </c>
      <c r="J933" s="8">
        <f t="shared" si="28"/>
        <v>647315.13195850397</v>
      </c>
      <c r="K933" s="1" t="s">
        <v>68</v>
      </c>
      <c r="L933" s="1">
        <v>813</v>
      </c>
      <c r="M933" s="1" t="s">
        <v>20</v>
      </c>
    </row>
    <row r="934" spans="1:13" x14ac:dyDescent="0.3">
      <c r="A934" s="1" t="s">
        <v>2435</v>
      </c>
      <c r="B934" s="1" t="s">
        <v>149</v>
      </c>
      <c r="C934" s="1">
        <v>30</v>
      </c>
      <c r="D934" s="1" t="s">
        <v>15</v>
      </c>
      <c r="E934" s="1">
        <v>1010000</v>
      </c>
      <c r="F934" s="7">
        <v>0.08</v>
      </c>
      <c r="G934" s="1">
        <v>36</v>
      </c>
      <c r="H934" s="1" t="s">
        <v>2436</v>
      </c>
      <c r="I934" s="8">
        <f t="shared" si="29"/>
        <v>31649.729116045157</v>
      </c>
      <c r="J934" s="8">
        <f t="shared" si="28"/>
        <v>1139390.2481776257</v>
      </c>
      <c r="K934" s="1" t="s">
        <v>155</v>
      </c>
      <c r="L934" s="1">
        <v>706</v>
      </c>
      <c r="M934" s="1" t="s">
        <v>20</v>
      </c>
    </row>
    <row r="935" spans="1:13" x14ac:dyDescent="0.3">
      <c r="A935" s="1" t="s">
        <v>2437</v>
      </c>
      <c r="B935" s="1" t="s">
        <v>1530</v>
      </c>
      <c r="C935" s="1">
        <v>64</v>
      </c>
      <c r="D935" s="1" t="s">
        <v>42</v>
      </c>
      <c r="E935" s="1">
        <v>1040000</v>
      </c>
      <c r="F935" s="7">
        <v>0.09</v>
      </c>
      <c r="G935" s="1">
        <v>24</v>
      </c>
      <c r="H935" s="1" t="s">
        <v>2438</v>
      </c>
      <c r="I935" s="8">
        <f t="shared" si="29"/>
        <v>47512.131970340022</v>
      </c>
      <c r="J935" s="8">
        <f t="shared" si="28"/>
        <v>1140291.1672881604</v>
      </c>
      <c r="K935" s="1" t="s">
        <v>222</v>
      </c>
      <c r="L935" s="1">
        <v>554</v>
      </c>
      <c r="M935" s="1" t="s">
        <v>20</v>
      </c>
    </row>
    <row r="936" spans="1:13" x14ac:dyDescent="0.3">
      <c r="A936" s="1" t="s">
        <v>2439</v>
      </c>
      <c r="B936" s="1" t="s">
        <v>823</v>
      </c>
      <c r="C936" s="1">
        <v>22</v>
      </c>
      <c r="D936" s="1" t="s">
        <v>27</v>
      </c>
      <c r="E936" s="1">
        <v>550000</v>
      </c>
      <c r="F936" s="7">
        <v>0.1</v>
      </c>
      <c r="G936" s="1">
        <v>24</v>
      </c>
      <c r="H936" s="1" t="s">
        <v>1870</v>
      </c>
      <c r="I936" s="8">
        <f t="shared" si="29"/>
        <v>25379.709485634077</v>
      </c>
      <c r="J936" s="8">
        <f t="shared" si="28"/>
        <v>609113.0276552178</v>
      </c>
      <c r="K936" s="1" t="s">
        <v>48</v>
      </c>
      <c r="L936" s="1">
        <v>635</v>
      </c>
      <c r="M936" s="1" t="s">
        <v>16</v>
      </c>
    </row>
    <row r="937" spans="1:13" x14ac:dyDescent="0.3">
      <c r="A937" s="1" t="s">
        <v>2440</v>
      </c>
      <c r="B937" s="1" t="s">
        <v>1977</v>
      </c>
      <c r="C937" s="1">
        <v>33</v>
      </c>
      <c r="D937" s="1" t="s">
        <v>23</v>
      </c>
      <c r="E937" s="1">
        <v>6280000</v>
      </c>
      <c r="F937" s="7">
        <v>0.09</v>
      </c>
      <c r="G937" s="1">
        <v>24</v>
      </c>
      <c r="H937" s="1" t="s">
        <v>1054</v>
      </c>
      <c r="I937" s="8">
        <f t="shared" si="29"/>
        <v>286900.18151320698</v>
      </c>
      <c r="J937" s="8">
        <f t="shared" si="28"/>
        <v>6885604.3563169669</v>
      </c>
      <c r="K937" s="1" t="s">
        <v>86</v>
      </c>
      <c r="L937" s="1">
        <v>724</v>
      </c>
      <c r="M937" s="1" t="s">
        <v>16</v>
      </c>
    </row>
    <row r="938" spans="1:13" x14ac:dyDescent="0.3">
      <c r="A938" s="1" t="s">
        <v>2441</v>
      </c>
      <c r="B938" s="1" t="s">
        <v>404</v>
      </c>
      <c r="C938" s="1">
        <v>60</v>
      </c>
      <c r="D938" s="1" t="s">
        <v>42</v>
      </c>
      <c r="E938" s="1">
        <v>590000</v>
      </c>
      <c r="F938" s="7">
        <v>0.13</v>
      </c>
      <c r="G938" s="1">
        <v>180</v>
      </c>
      <c r="H938" s="1" t="s">
        <v>2442</v>
      </c>
      <c r="I938" s="8">
        <f t="shared" si="29"/>
        <v>7464.9287869458703</v>
      </c>
      <c r="J938" s="8">
        <f t="shared" si="28"/>
        <v>1343687.1816502567</v>
      </c>
      <c r="K938" s="1" t="s">
        <v>29</v>
      </c>
      <c r="L938" s="1">
        <v>839</v>
      </c>
      <c r="M938" s="1" t="s">
        <v>16</v>
      </c>
    </row>
    <row r="939" spans="1:13" x14ac:dyDescent="0.3">
      <c r="A939" s="1" t="s">
        <v>2443</v>
      </c>
      <c r="B939" s="1" t="s">
        <v>2444</v>
      </c>
      <c r="C939" s="1">
        <v>22</v>
      </c>
      <c r="D939" s="1" t="s">
        <v>32</v>
      </c>
      <c r="E939" s="1">
        <v>180000</v>
      </c>
      <c r="F939" s="7">
        <v>9.5000000000000001E-2</v>
      </c>
      <c r="G939" s="1">
        <v>12</v>
      </c>
      <c r="H939" s="1" t="s">
        <v>2445</v>
      </c>
      <c r="I939" s="8">
        <f t="shared" si="29"/>
        <v>15783.032119319623</v>
      </c>
      <c r="J939" s="8">
        <f t="shared" si="28"/>
        <v>189396.38543183549</v>
      </c>
      <c r="K939" s="1" t="s">
        <v>48</v>
      </c>
      <c r="L939" s="1">
        <v>742</v>
      </c>
      <c r="M939" s="1" t="s">
        <v>20</v>
      </c>
    </row>
    <row r="940" spans="1:13" x14ac:dyDescent="0.3">
      <c r="A940" s="1" t="s">
        <v>2446</v>
      </c>
      <c r="B940" s="1" t="s">
        <v>1415</v>
      </c>
      <c r="C940" s="1">
        <v>40</v>
      </c>
      <c r="D940" s="1" t="s">
        <v>37</v>
      </c>
      <c r="E940" s="1">
        <v>2820000</v>
      </c>
      <c r="F940" s="7">
        <v>0.105</v>
      </c>
      <c r="G940" s="1">
        <v>240</v>
      </c>
      <c r="H940" s="1" t="s">
        <v>2447</v>
      </c>
      <c r="I940" s="8">
        <f t="shared" si="29"/>
        <v>28154.31281253976</v>
      </c>
      <c r="J940" s="8">
        <f t="shared" si="28"/>
        <v>6757035.0750095425</v>
      </c>
      <c r="K940" s="1" t="s">
        <v>39</v>
      </c>
      <c r="L940" s="1">
        <v>860</v>
      </c>
      <c r="M940" s="1" t="s">
        <v>16</v>
      </c>
    </row>
    <row r="941" spans="1:13" x14ac:dyDescent="0.3">
      <c r="A941" s="1" t="s">
        <v>2448</v>
      </c>
      <c r="B941" s="1" t="s">
        <v>1347</v>
      </c>
      <c r="C941" s="1">
        <v>21</v>
      </c>
      <c r="D941" s="1" t="s">
        <v>32</v>
      </c>
      <c r="E941" s="1">
        <v>390000</v>
      </c>
      <c r="F941" s="7">
        <v>0.1</v>
      </c>
      <c r="G941" s="1">
        <v>12</v>
      </c>
      <c r="H941" s="1" t="s">
        <v>2449</v>
      </c>
      <c r="I941" s="8">
        <f t="shared" si="29"/>
        <v>34287.196019703741</v>
      </c>
      <c r="J941" s="8">
        <f t="shared" si="28"/>
        <v>411446.35223644489</v>
      </c>
      <c r="K941" s="1" t="s">
        <v>56</v>
      </c>
      <c r="L941" s="1">
        <v>668</v>
      </c>
      <c r="M941" s="1" t="s">
        <v>16</v>
      </c>
    </row>
    <row r="942" spans="1:13" x14ac:dyDescent="0.3">
      <c r="A942" s="1" t="s">
        <v>2450</v>
      </c>
      <c r="B942" s="1" t="s">
        <v>1475</v>
      </c>
      <c r="C942" s="1">
        <v>57</v>
      </c>
      <c r="D942" s="1" t="s">
        <v>18</v>
      </c>
      <c r="E942" s="1">
        <v>380000</v>
      </c>
      <c r="F942" s="7">
        <v>0.1</v>
      </c>
      <c r="G942" s="1">
        <v>180</v>
      </c>
      <c r="H942" s="1" t="s">
        <v>2169</v>
      </c>
      <c r="I942" s="8">
        <f t="shared" si="29"/>
        <v>4083.4994472908415</v>
      </c>
      <c r="J942" s="8">
        <f t="shared" si="28"/>
        <v>735029.90051235142</v>
      </c>
      <c r="K942" s="1" t="s">
        <v>226</v>
      </c>
      <c r="L942" s="1">
        <v>767</v>
      </c>
      <c r="M942" s="1" t="s">
        <v>16</v>
      </c>
    </row>
    <row r="943" spans="1:13" x14ac:dyDescent="0.3">
      <c r="A943" s="1" t="s">
        <v>2451</v>
      </c>
      <c r="B943" s="1" t="s">
        <v>2452</v>
      </c>
      <c r="C943" s="1">
        <v>29</v>
      </c>
      <c r="D943" s="1" t="s">
        <v>27</v>
      </c>
      <c r="E943" s="1">
        <v>360000</v>
      </c>
      <c r="F943" s="7">
        <v>9.5000000000000001E-2</v>
      </c>
      <c r="G943" s="1">
        <v>84</v>
      </c>
      <c r="H943" s="1" t="s">
        <v>2453</v>
      </c>
      <c r="I943" s="8">
        <f t="shared" si="29"/>
        <v>5883.8334052674309</v>
      </c>
      <c r="J943" s="8">
        <f t="shared" si="28"/>
        <v>494242.00604246417</v>
      </c>
      <c r="K943" s="1" t="s">
        <v>191</v>
      </c>
      <c r="L943" s="1">
        <v>663</v>
      </c>
      <c r="M943" s="1" t="s">
        <v>312</v>
      </c>
    </row>
    <row r="944" spans="1:13" x14ac:dyDescent="0.3">
      <c r="A944" s="1" t="s">
        <v>2454</v>
      </c>
      <c r="B944" s="1" t="s">
        <v>2455</v>
      </c>
      <c r="C944" s="1">
        <v>37</v>
      </c>
      <c r="D944" s="1" t="s">
        <v>32</v>
      </c>
      <c r="E944" s="1">
        <v>340000</v>
      </c>
      <c r="F944" s="7">
        <v>0.12</v>
      </c>
      <c r="G944" s="1">
        <v>84</v>
      </c>
      <c r="H944" s="1" t="s">
        <v>2456</v>
      </c>
      <c r="I944" s="8">
        <f t="shared" si="29"/>
        <v>6001.9291510050989</v>
      </c>
      <c r="J944" s="8">
        <f t="shared" si="28"/>
        <v>504162.04868442833</v>
      </c>
      <c r="K944" s="1" t="s">
        <v>187</v>
      </c>
      <c r="L944" s="1">
        <v>694</v>
      </c>
      <c r="M944" s="1" t="s">
        <v>20</v>
      </c>
    </row>
    <row r="945" spans="1:13" x14ac:dyDescent="0.3">
      <c r="A945" s="1" t="s">
        <v>2457</v>
      </c>
      <c r="B945" s="1" t="s">
        <v>2458</v>
      </c>
      <c r="C945" s="1">
        <v>29</v>
      </c>
      <c r="D945" s="1" t="s">
        <v>15</v>
      </c>
      <c r="E945" s="1">
        <v>1460000</v>
      </c>
      <c r="F945" s="7">
        <v>9.5000000000000001E-2</v>
      </c>
      <c r="G945" s="1">
        <v>180</v>
      </c>
      <c r="H945" s="1" t="s">
        <v>2459</v>
      </c>
      <c r="I945" s="8">
        <f t="shared" si="29"/>
        <v>15245.680369811284</v>
      </c>
      <c r="J945" s="8">
        <f t="shared" si="28"/>
        <v>2744222.4665660309</v>
      </c>
      <c r="K945" s="1" t="s">
        <v>143</v>
      </c>
      <c r="L945" s="1">
        <v>575</v>
      </c>
      <c r="M945" s="1" t="s">
        <v>16</v>
      </c>
    </row>
    <row r="946" spans="1:13" x14ac:dyDescent="0.3">
      <c r="A946" s="1" t="s">
        <v>2460</v>
      </c>
      <c r="B946" s="1" t="s">
        <v>2461</v>
      </c>
      <c r="C946" s="1">
        <v>31</v>
      </c>
      <c r="D946" s="1" t="s">
        <v>32</v>
      </c>
      <c r="E946" s="1">
        <v>360000</v>
      </c>
      <c r="F946" s="7">
        <v>0.11</v>
      </c>
      <c r="G946" s="1">
        <v>60</v>
      </c>
      <c r="H946" s="1" t="s">
        <v>2462</v>
      </c>
      <c r="I946" s="8">
        <f t="shared" si="29"/>
        <v>7827.2723061515917</v>
      </c>
      <c r="J946" s="8">
        <f t="shared" si="28"/>
        <v>469636.33836909552</v>
      </c>
      <c r="K946" s="1" t="s">
        <v>29</v>
      </c>
      <c r="L946" s="1">
        <v>685</v>
      </c>
      <c r="M946" s="1" t="s">
        <v>16</v>
      </c>
    </row>
    <row r="947" spans="1:13" x14ac:dyDescent="0.3">
      <c r="A947" s="1" t="s">
        <v>2463</v>
      </c>
      <c r="B947" s="1" t="s">
        <v>2464</v>
      </c>
      <c r="C947" s="1">
        <v>35</v>
      </c>
      <c r="D947" s="1" t="s">
        <v>27</v>
      </c>
      <c r="E947" s="1">
        <v>860000</v>
      </c>
      <c r="F947" s="7">
        <v>0.08</v>
      </c>
      <c r="G947" s="1">
        <v>180</v>
      </c>
      <c r="H947" s="1" t="s">
        <v>2465</v>
      </c>
      <c r="I947" s="8">
        <f t="shared" si="29"/>
        <v>8218.6079252410218</v>
      </c>
      <c r="J947" s="8">
        <f t="shared" si="28"/>
        <v>1479349.4265433839</v>
      </c>
      <c r="K947" s="1" t="s">
        <v>143</v>
      </c>
      <c r="L947" s="1">
        <v>852</v>
      </c>
      <c r="M947" s="1" t="s">
        <v>16</v>
      </c>
    </row>
    <row r="948" spans="1:13" x14ac:dyDescent="0.3">
      <c r="A948" s="1" t="s">
        <v>2466</v>
      </c>
      <c r="B948" s="1" t="s">
        <v>2467</v>
      </c>
      <c r="C948" s="1">
        <v>44</v>
      </c>
      <c r="D948" s="1" t="s">
        <v>27</v>
      </c>
      <c r="E948" s="1">
        <v>740000</v>
      </c>
      <c r="F948" s="7">
        <v>0.11</v>
      </c>
      <c r="G948" s="1">
        <v>36</v>
      </c>
      <c r="H948" s="1" t="s">
        <v>2468</v>
      </c>
      <c r="I948" s="8">
        <f t="shared" si="29"/>
        <v>24226.65066658151</v>
      </c>
      <c r="J948" s="8">
        <f t="shared" si="28"/>
        <v>872159.42399693443</v>
      </c>
      <c r="K948" s="1" t="s">
        <v>29</v>
      </c>
      <c r="L948" s="1">
        <v>781</v>
      </c>
      <c r="M948" s="1" t="s">
        <v>16</v>
      </c>
    </row>
    <row r="949" spans="1:13" x14ac:dyDescent="0.3">
      <c r="A949" s="1" t="s">
        <v>2469</v>
      </c>
      <c r="B949" s="1" t="s">
        <v>1305</v>
      </c>
      <c r="C949" s="1">
        <v>58</v>
      </c>
      <c r="D949" s="1" t="s">
        <v>37</v>
      </c>
      <c r="E949" s="1">
        <v>2890000</v>
      </c>
      <c r="F949" s="7">
        <v>7.4999999999999997E-2</v>
      </c>
      <c r="G949" s="1">
        <v>240</v>
      </c>
      <c r="H949" s="1" t="s">
        <v>1953</v>
      </c>
      <c r="I949" s="8">
        <f t="shared" si="29"/>
        <v>23281.64329364723</v>
      </c>
      <c r="J949" s="8">
        <f t="shared" si="28"/>
        <v>5587594.3904753355</v>
      </c>
      <c r="K949" s="1" t="s">
        <v>39</v>
      </c>
      <c r="L949" s="1">
        <v>625</v>
      </c>
      <c r="M949" s="1" t="s">
        <v>60</v>
      </c>
    </row>
    <row r="950" spans="1:13" x14ac:dyDescent="0.3">
      <c r="A950" s="1" t="s">
        <v>2470</v>
      </c>
      <c r="B950" s="1" t="s">
        <v>904</v>
      </c>
      <c r="C950" s="1">
        <v>55</v>
      </c>
      <c r="D950" s="1" t="s">
        <v>23</v>
      </c>
      <c r="E950" s="1">
        <v>1450000</v>
      </c>
      <c r="F950" s="7">
        <v>0.125</v>
      </c>
      <c r="G950" s="1">
        <v>60</v>
      </c>
      <c r="H950" s="1" t="s">
        <v>2471</v>
      </c>
      <c r="I950" s="8">
        <f t="shared" si="29"/>
        <v>32622.010426852969</v>
      </c>
      <c r="J950" s="8">
        <f t="shared" si="28"/>
        <v>1957320.6256111781</v>
      </c>
      <c r="K950" s="1" t="s">
        <v>90</v>
      </c>
      <c r="L950" s="1">
        <v>877</v>
      </c>
      <c r="M950" s="1" t="s">
        <v>20</v>
      </c>
    </row>
    <row r="951" spans="1:13" x14ac:dyDescent="0.3">
      <c r="A951" s="1" t="s">
        <v>2472</v>
      </c>
      <c r="B951" s="1" t="s">
        <v>2473</v>
      </c>
      <c r="C951" s="1">
        <v>50</v>
      </c>
      <c r="D951" s="1" t="s">
        <v>23</v>
      </c>
      <c r="E951" s="1">
        <v>6060000</v>
      </c>
      <c r="F951" s="7">
        <v>0.12</v>
      </c>
      <c r="G951" s="1">
        <v>120</v>
      </c>
      <c r="H951" s="1" t="s">
        <v>2474</v>
      </c>
      <c r="I951" s="8">
        <f t="shared" si="29"/>
        <v>86943.394731967928</v>
      </c>
      <c r="J951" s="8">
        <f t="shared" si="28"/>
        <v>10433207.367836151</v>
      </c>
      <c r="K951" s="1" t="s">
        <v>90</v>
      </c>
      <c r="L951" s="1">
        <v>894</v>
      </c>
      <c r="M951" s="1" t="s">
        <v>16</v>
      </c>
    </row>
    <row r="952" spans="1:13" x14ac:dyDescent="0.3">
      <c r="A952" s="1" t="s">
        <v>2475</v>
      </c>
      <c r="B952" s="1" t="s">
        <v>2476</v>
      </c>
      <c r="C952" s="1">
        <v>51</v>
      </c>
      <c r="D952" s="1" t="s">
        <v>23</v>
      </c>
      <c r="E952" s="1">
        <v>4450000</v>
      </c>
      <c r="F952" s="7">
        <v>0.12</v>
      </c>
      <c r="G952" s="1">
        <v>48</v>
      </c>
      <c r="H952" s="1" t="s">
        <v>2477</v>
      </c>
      <c r="I952" s="8">
        <f t="shared" si="29"/>
        <v>117185.56767207856</v>
      </c>
      <c r="J952" s="8">
        <f t="shared" si="28"/>
        <v>5624907.2482597707</v>
      </c>
      <c r="K952" s="1" t="s">
        <v>64</v>
      </c>
      <c r="L952" s="1">
        <v>851</v>
      </c>
      <c r="M952" s="1" t="s">
        <v>312</v>
      </c>
    </row>
    <row r="953" spans="1:13" x14ac:dyDescent="0.3">
      <c r="A953" s="1" t="s">
        <v>2478</v>
      </c>
      <c r="B953" s="1" t="s">
        <v>167</v>
      </c>
      <c r="C953" s="1">
        <v>25</v>
      </c>
      <c r="D953" s="1" t="s">
        <v>42</v>
      </c>
      <c r="E953" s="1">
        <v>1390000</v>
      </c>
      <c r="F953" s="7">
        <v>0.12</v>
      </c>
      <c r="G953" s="1">
        <v>36</v>
      </c>
      <c r="H953" s="1" t="s">
        <v>2479</v>
      </c>
      <c r="I953" s="8">
        <f t="shared" si="29"/>
        <v>46167.890639863152</v>
      </c>
      <c r="J953" s="8">
        <f t="shared" si="28"/>
        <v>1662044.0630350735</v>
      </c>
      <c r="K953" s="1" t="s">
        <v>155</v>
      </c>
      <c r="L953" s="1">
        <v>838</v>
      </c>
      <c r="M953" s="1" t="s">
        <v>20</v>
      </c>
    </row>
    <row r="954" spans="1:13" x14ac:dyDescent="0.3">
      <c r="A954" s="1" t="s">
        <v>2480</v>
      </c>
      <c r="B954" s="1" t="s">
        <v>2481</v>
      </c>
      <c r="C954" s="1">
        <v>64</v>
      </c>
      <c r="D954" s="1" t="s">
        <v>23</v>
      </c>
      <c r="E954" s="1">
        <v>9550000</v>
      </c>
      <c r="F954" s="7">
        <v>0.08</v>
      </c>
      <c r="G954" s="1">
        <v>12</v>
      </c>
      <c r="H954" s="1" t="s">
        <v>2482</v>
      </c>
      <c r="I954" s="8">
        <f t="shared" si="29"/>
        <v>830739.49776577123</v>
      </c>
      <c r="J954" s="8">
        <f t="shared" si="28"/>
        <v>9968873.9731892552</v>
      </c>
      <c r="K954" s="1" t="s">
        <v>34</v>
      </c>
      <c r="L954" s="1">
        <v>550</v>
      </c>
      <c r="M954" s="1" t="s">
        <v>20</v>
      </c>
    </row>
    <row r="955" spans="1:13" x14ac:dyDescent="0.3">
      <c r="A955" s="1" t="s">
        <v>2483</v>
      </c>
      <c r="B955" s="1" t="s">
        <v>2484</v>
      </c>
      <c r="C955" s="1">
        <v>34</v>
      </c>
      <c r="D955" s="1" t="s">
        <v>42</v>
      </c>
      <c r="E955" s="1">
        <v>700000</v>
      </c>
      <c r="F955" s="7">
        <v>0.11</v>
      </c>
      <c r="G955" s="1">
        <v>240</v>
      </c>
      <c r="H955" s="1" t="s">
        <v>67</v>
      </c>
      <c r="I955" s="8">
        <f t="shared" si="29"/>
        <v>7225.3187466323961</v>
      </c>
      <c r="J955" s="8">
        <f t="shared" si="28"/>
        <v>1734076.499191775</v>
      </c>
      <c r="K955" s="1" t="s">
        <v>108</v>
      </c>
      <c r="L955" s="1">
        <v>696</v>
      </c>
      <c r="M955" s="1" t="s">
        <v>20</v>
      </c>
    </row>
    <row r="956" spans="1:13" x14ac:dyDescent="0.3">
      <c r="A956" s="1" t="s">
        <v>2485</v>
      </c>
      <c r="B956" s="1" t="s">
        <v>1088</v>
      </c>
      <c r="C956" s="1">
        <v>31</v>
      </c>
      <c r="D956" s="1" t="s">
        <v>32</v>
      </c>
      <c r="E956" s="1">
        <v>440000</v>
      </c>
      <c r="F956" s="7">
        <v>0.09</v>
      </c>
      <c r="G956" s="1">
        <v>120</v>
      </c>
      <c r="H956" s="1" t="s">
        <v>1317</v>
      </c>
      <c r="I956" s="8">
        <f t="shared" si="29"/>
        <v>5573.7340450109768</v>
      </c>
      <c r="J956" s="8">
        <f t="shared" si="28"/>
        <v>668848.08540131722</v>
      </c>
      <c r="K956" s="1" t="s">
        <v>56</v>
      </c>
      <c r="L956" s="1">
        <v>836</v>
      </c>
      <c r="M956" s="1" t="s">
        <v>16</v>
      </c>
    </row>
    <row r="957" spans="1:13" x14ac:dyDescent="0.3">
      <c r="A957" s="1" t="s">
        <v>2486</v>
      </c>
      <c r="B957" s="1" t="s">
        <v>2302</v>
      </c>
      <c r="C957" s="1">
        <v>29</v>
      </c>
      <c r="D957" s="1" t="s">
        <v>37</v>
      </c>
      <c r="E957" s="1">
        <v>3790000</v>
      </c>
      <c r="F957" s="7">
        <v>0.115</v>
      </c>
      <c r="G957" s="1">
        <v>180</v>
      </c>
      <c r="H957" s="1" t="s">
        <v>1129</v>
      </c>
      <c r="I957" s="8">
        <f t="shared" si="29"/>
        <v>44274.393795513133</v>
      </c>
      <c r="J957" s="8">
        <f t="shared" si="28"/>
        <v>7969390.8831923641</v>
      </c>
      <c r="K957" s="1" t="s">
        <v>132</v>
      </c>
      <c r="L957" s="1">
        <v>691</v>
      </c>
      <c r="M957" s="1" t="s">
        <v>16</v>
      </c>
    </row>
    <row r="958" spans="1:13" x14ac:dyDescent="0.3">
      <c r="A958" s="1" t="s">
        <v>2487</v>
      </c>
      <c r="B958" s="1" t="s">
        <v>423</v>
      </c>
      <c r="C958" s="1">
        <v>54</v>
      </c>
      <c r="D958" s="1" t="s">
        <v>27</v>
      </c>
      <c r="E958" s="1">
        <v>410000</v>
      </c>
      <c r="F958" s="7">
        <v>0.08</v>
      </c>
      <c r="G958" s="1">
        <v>240</v>
      </c>
      <c r="H958" s="1" t="s">
        <v>2488</v>
      </c>
      <c r="I958" s="8">
        <f t="shared" si="29"/>
        <v>3429.4042828731976</v>
      </c>
      <c r="J958" s="8">
        <f t="shared" si="28"/>
        <v>823057.02788956743</v>
      </c>
      <c r="K958" s="1" t="s">
        <v>191</v>
      </c>
      <c r="L958" s="1">
        <v>602</v>
      </c>
      <c r="M958" s="1" t="s">
        <v>16</v>
      </c>
    </row>
    <row r="959" spans="1:13" x14ac:dyDescent="0.3">
      <c r="A959" s="1" t="s">
        <v>2489</v>
      </c>
      <c r="B959" s="1" t="s">
        <v>96</v>
      </c>
      <c r="C959" s="1">
        <v>32</v>
      </c>
      <c r="D959" s="1" t="s">
        <v>42</v>
      </c>
      <c r="E959" s="1">
        <v>410000</v>
      </c>
      <c r="F959" s="7">
        <v>0.125</v>
      </c>
      <c r="G959" s="1">
        <v>12</v>
      </c>
      <c r="H959" s="1" t="s">
        <v>2490</v>
      </c>
      <c r="I959" s="8">
        <f t="shared" si="29"/>
        <v>36523.973711346094</v>
      </c>
      <c r="J959" s="8">
        <f t="shared" si="28"/>
        <v>438287.6845361531</v>
      </c>
      <c r="K959" s="1" t="s">
        <v>94</v>
      </c>
      <c r="L959" s="1">
        <v>853</v>
      </c>
      <c r="M959" s="1" t="s">
        <v>16</v>
      </c>
    </row>
    <row r="960" spans="1:13" x14ac:dyDescent="0.3">
      <c r="A960" s="1" t="s">
        <v>2491</v>
      </c>
      <c r="B960" s="1" t="s">
        <v>531</v>
      </c>
      <c r="C960" s="1">
        <v>55</v>
      </c>
      <c r="D960" s="1" t="s">
        <v>32</v>
      </c>
      <c r="E960" s="1">
        <v>460000</v>
      </c>
      <c r="F960" s="7">
        <v>0.105</v>
      </c>
      <c r="G960" s="1">
        <v>240</v>
      </c>
      <c r="H960" s="1" t="s">
        <v>2492</v>
      </c>
      <c r="I960" s="8">
        <f t="shared" si="29"/>
        <v>4592.5474800596767</v>
      </c>
      <c r="J960" s="8">
        <f t="shared" si="28"/>
        <v>1102211.3952143225</v>
      </c>
      <c r="K960" s="1" t="s">
        <v>191</v>
      </c>
      <c r="L960" s="1">
        <v>618</v>
      </c>
      <c r="M960" s="1" t="s">
        <v>16</v>
      </c>
    </row>
    <row r="961" spans="1:13" x14ac:dyDescent="0.3">
      <c r="A961" s="1" t="s">
        <v>2493</v>
      </c>
      <c r="B961" s="1" t="s">
        <v>2494</v>
      </c>
      <c r="C961" s="1">
        <v>55</v>
      </c>
      <c r="D961" s="1" t="s">
        <v>37</v>
      </c>
      <c r="E961" s="1">
        <v>2510000</v>
      </c>
      <c r="F961" s="7">
        <v>0.115</v>
      </c>
      <c r="G961" s="1">
        <v>84</v>
      </c>
      <c r="H961" s="1" t="s">
        <v>2495</v>
      </c>
      <c r="I961" s="8">
        <f t="shared" si="29"/>
        <v>43640.016658802728</v>
      </c>
      <c r="J961" s="8">
        <f t="shared" si="28"/>
        <v>3665761.3993394291</v>
      </c>
      <c r="K961" s="1" t="s">
        <v>119</v>
      </c>
      <c r="L961" s="1">
        <v>639</v>
      </c>
      <c r="M961" s="1" t="s">
        <v>16</v>
      </c>
    </row>
    <row r="962" spans="1:13" x14ac:dyDescent="0.3">
      <c r="A962" s="1" t="s">
        <v>2496</v>
      </c>
      <c r="B962" s="1" t="s">
        <v>240</v>
      </c>
      <c r="C962" s="1">
        <v>21</v>
      </c>
      <c r="D962" s="1" t="s">
        <v>42</v>
      </c>
      <c r="E962" s="1">
        <v>1340000</v>
      </c>
      <c r="F962" s="7">
        <v>9.5000000000000001E-2</v>
      </c>
      <c r="G962" s="1">
        <v>120</v>
      </c>
      <c r="H962" s="1" t="s">
        <v>2497</v>
      </c>
      <c r="I962" s="8">
        <f t="shared" si="29"/>
        <v>17339.272713144121</v>
      </c>
      <c r="J962" s="8">
        <f t="shared" si="28"/>
        <v>2080712.7255772944</v>
      </c>
      <c r="K962" s="1" t="s">
        <v>44</v>
      </c>
      <c r="L962" s="1">
        <v>769</v>
      </c>
      <c r="M962" s="1" t="s">
        <v>16</v>
      </c>
    </row>
    <row r="963" spans="1:13" x14ac:dyDescent="0.3">
      <c r="A963" s="1" t="s">
        <v>2498</v>
      </c>
      <c r="B963" s="1" t="s">
        <v>2499</v>
      </c>
      <c r="C963" s="1">
        <v>60</v>
      </c>
      <c r="D963" s="1" t="s">
        <v>18</v>
      </c>
      <c r="E963" s="1">
        <v>1010000</v>
      </c>
      <c r="F963" s="7">
        <v>0.105</v>
      </c>
      <c r="G963" s="1">
        <v>36</v>
      </c>
      <c r="H963" s="1" t="s">
        <v>2500</v>
      </c>
      <c r="I963" s="8">
        <f t="shared" si="29"/>
        <v>32827.467939733797</v>
      </c>
      <c r="J963" s="8">
        <f t="shared" si="28"/>
        <v>1181788.8458304168</v>
      </c>
      <c r="K963" s="1" t="s">
        <v>326</v>
      </c>
      <c r="L963" s="1">
        <v>741</v>
      </c>
      <c r="M963" s="1" t="s">
        <v>20</v>
      </c>
    </row>
    <row r="964" spans="1:13" x14ac:dyDescent="0.3">
      <c r="A964" s="1" t="s">
        <v>2501</v>
      </c>
      <c r="B964" s="1" t="s">
        <v>2502</v>
      </c>
      <c r="C964" s="1">
        <v>42</v>
      </c>
      <c r="D964" s="1" t="s">
        <v>37</v>
      </c>
      <c r="E964" s="1">
        <v>1450000</v>
      </c>
      <c r="F964" s="7">
        <v>7.4999999999999997E-2</v>
      </c>
      <c r="G964" s="1">
        <v>180</v>
      </c>
      <c r="H964" s="1" t="s">
        <v>2503</v>
      </c>
      <c r="I964" s="8">
        <f t="shared" si="29"/>
        <v>13441.679220039705</v>
      </c>
      <c r="J964" s="8">
        <f t="shared" ref="J964:J1001" si="30">(I964*G964)</f>
        <v>2419502.259607147</v>
      </c>
      <c r="K964" s="1" t="s">
        <v>226</v>
      </c>
      <c r="L964" s="1">
        <v>612</v>
      </c>
      <c r="M964" s="1" t="s">
        <v>16</v>
      </c>
    </row>
    <row r="965" spans="1:13" x14ac:dyDescent="0.3">
      <c r="A965" s="1" t="s">
        <v>2504</v>
      </c>
      <c r="B965" s="1" t="s">
        <v>2505</v>
      </c>
      <c r="C965" s="1">
        <v>49</v>
      </c>
      <c r="D965" s="1" t="s">
        <v>18</v>
      </c>
      <c r="E965" s="1">
        <v>710000</v>
      </c>
      <c r="F965" s="7">
        <v>8.5000000000000006E-2</v>
      </c>
      <c r="G965" s="1">
        <v>24</v>
      </c>
      <c r="H965" s="1" t="s">
        <v>2506</v>
      </c>
      <c r="I965" s="8">
        <f t="shared" ref="I965:I982" si="31">PMT(F965/12,G965, -E965)</f>
        <v>32273.529165784086</v>
      </c>
      <c r="J965" s="8">
        <f t="shared" si="30"/>
        <v>774564.69997881807</v>
      </c>
      <c r="K965" s="1" t="s">
        <v>205</v>
      </c>
      <c r="L965" s="1">
        <v>622</v>
      </c>
      <c r="M965" s="1" t="s">
        <v>16</v>
      </c>
    </row>
    <row r="966" spans="1:13" x14ac:dyDescent="0.3">
      <c r="A966" s="1" t="s">
        <v>2507</v>
      </c>
      <c r="B966" s="1" t="s">
        <v>745</v>
      </c>
      <c r="C966" s="1">
        <v>28</v>
      </c>
      <c r="D966" s="1" t="s">
        <v>32</v>
      </c>
      <c r="E966" s="1">
        <v>310000</v>
      </c>
      <c r="F966" s="7">
        <v>8.5000000000000006E-2</v>
      </c>
      <c r="G966" s="1">
        <v>240</v>
      </c>
      <c r="H966" s="1" t="s">
        <v>2508</v>
      </c>
      <c r="I966" s="8">
        <f t="shared" si="31"/>
        <v>2690.252023433155</v>
      </c>
      <c r="J966" s="8">
        <f t="shared" si="30"/>
        <v>645660.48562395724</v>
      </c>
      <c r="K966" s="1" t="s">
        <v>316</v>
      </c>
      <c r="L966" s="1">
        <v>710</v>
      </c>
      <c r="M966" s="1" t="s">
        <v>16</v>
      </c>
    </row>
    <row r="967" spans="1:13" x14ac:dyDescent="0.3">
      <c r="A967" s="1" t="s">
        <v>2509</v>
      </c>
      <c r="B967" s="1" t="s">
        <v>1065</v>
      </c>
      <c r="C967" s="1">
        <v>31</v>
      </c>
      <c r="D967" s="1" t="s">
        <v>18</v>
      </c>
      <c r="E967" s="1">
        <v>1540000</v>
      </c>
      <c r="F967" s="7">
        <v>0.09</v>
      </c>
      <c r="G967" s="1">
        <v>180</v>
      </c>
      <c r="H967" s="1" t="s">
        <v>685</v>
      </c>
      <c r="I967" s="8">
        <f t="shared" si="31"/>
        <v>15619.705396091487</v>
      </c>
      <c r="J967" s="8">
        <f t="shared" si="30"/>
        <v>2811546.9712964678</v>
      </c>
      <c r="K967" s="1" t="s">
        <v>201</v>
      </c>
      <c r="L967" s="1">
        <v>718</v>
      </c>
      <c r="M967" s="1" t="s">
        <v>16</v>
      </c>
    </row>
    <row r="968" spans="1:13" x14ac:dyDescent="0.3">
      <c r="A968" s="1" t="s">
        <v>2510</v>
      </c>
      <c r="B968" s="1" t="s">
        <v>2511</v>
      </c>
      <c r="C968" s="1">
        <v>61</v>
      </c>
      <c r="D968" s="1" t="s">
        <v>23</v>
      </c>
      <c r="E968" s="1">
        <v>2190000</v>
      </c>
      <c r="F968" s="7">
        <v>0.1</v>
      </c>
      <c r="G968" s="1">
        <v>84</v>
      </c>
      <c r="H968" s="1" t="s">
        <v>1916</v>
      </c>
      <c r="I968" s="8">
        <f t="shared" si="31"/>
        <v>36356.593018880136</v>
      </c>
      <c r="J968" s="8">
        <f t="shared" si="30"/>
        <v>3053953.8135859314</v>
      </c>
      <c r="K968" s="1" t="s">
        <v>86</v>
      </c>
      <c r="L968" s="1">
        <v>638</v>
      </c>
      <c r="M968" s="1" t="s">
        <v>20</v>
      </c>
    </row>
    <row r="969" spans="1:13" x14ac:dyDescent="0.3">
      <c r="A969" s="1" t="s">
        <v>2512</v>
      </c>
      <c r="B969" s="1" t="s">
        <v>1287</v>
      </c>
      <c r="C969" s="1">
        <v>57</v>
      </c>
      <c r="D969" s="1" t="s">
        <v>18</v>
      </c>
      <c r="E969" s="1">
        <v>1310000</v>
      </c>
      <c r="F969" s="7">
        <v>0.105</v>
      </c>
      <c r="G969" s="1">
        <v>12</v>
      </c>
      <c r="H969" s="1" t="s">
        <v>2513</v>
      </c>
      <c r="I969" s="8">
        <f t="shared" si="31"/>
        <v>115474.66979146226</v>
      </c>
      <c r="J969" s="8">
        <f t="shared" si="30"/>
        <v>1385696.0374975472</v>
      </c>
      <c r="K969" s="1" t="s">
        <v>143</v>
      </c>
      <c r="L969" s="1">
        <v>725</v>
      </c>
      <c r="M969" s="1" t="s">
        <v>16</v>
      </c>
    </row>
    <row r="970" spans="1:13" x14ac:dyDescent="0.3">
      <c r="A970" s="1" t="s">
        <v>2514</v>
      </c>
      <c r="B970" s="1" t="s">
        <v>914</v>
      </c>
      <c r="C970" s="1">
        <v>34</v>
      </c>
      <c r="D970" s="1" t="s">
        <v>23</v>
      </c>
      <c r="E970" s="1">
        <v>1200000</v>
      </c>
      <c r="F970" s="7">
        <v>0.12</v>
      </c>
      <c r="G970" s="1">
        <v>12</v>
      </c>
      <c r="H970" s="1" t="s">
        <v>71</v>
      </c>
      <c r="I970" s="8">
        <f t="shared" si="31"/>
        <v>106618.54641401002</v>
      </c>
      <c r="J970" s="8">
        <f t="shared" si="30"/>
        <v>1279422.5569681204</v>
      </c>
      <c r="K970" s="1" t="s">
        <v>90</v>
      </c>
      <c r="L970" s="1">
        <v>818</v>
      </c>
      <c r="M970" s="1" t="s">
        <v>16</v>
      </c>
    </row>
    <row r="971" spans="1:13" x14ac:dyDescent="0.3">
      <c r="A971" s="1" t="s">
        <v>2515</v>
      </c>
      <c r="B971" s="1" t="s">
        <v>2516</v>
      </c>
      <c r="C971" s="1">
        <v>50</v>
      </c>
      <c r="D971" s="1" t="s">
        <v>32</v>
      </c>
      <c r="E971" s="1">
        <v>240000</v>
      </c>
      <c r="F971" s="7">
        <v>0.11</v>
      </c>
      <c r="G971" s="1">
        <v>48</v>
      </c>
      <c r="H971" s="1" t="s">
        <v>2517</v>
      </c>
      <c r="I971" s="8">
        <f t="shared" si="31"/>
        <v>6202.9254267486758</v>
      </c>
      <c r="J971" s="8">
        <f t="shared" si="30"/>
        <v>297740.42048393644</v>
      </c>
      <c r="K971" s="1" t="s">
        <v>21</v>
      </c>
      <c r="L971" s="1">
        <v>622</v>
      </c>
      <c r="M971" s="1" t="s">
        <v>60</v>
      </c>
    </row>
    <row r="972" spans="1:13" x14ac:dyDescent="0.3">
      <c r="A972" s="1" t="s">
        <v>2518</v>
      </c>
      <c r="B972" s="1" t="s">
        <v>2139</v>
      </c>
      <c r="C972" s="1">
        <v>55</v>
      </c>
      <c r="D972" s="1" t="s">
        <v>18</v>
      </c>
      <c r="E972" s="1">
        <v>860000</v>
      </c>
      <c r="F972" s="7">
        <v>8.5000000000000006E-2</v>
      </c>
      <c r="G972" s="1">
        <v>120</v>
      </c>
      <c r="H972" s="1" t="s">
        <v>2519</v>
      </c>
      <c r="I972" s="8">
        <f t="shared" si="31"/>
        <v>10662.769243207957</v>
      </c>
      <c r="J972" s="8">
        <f t="shared" si="30"/>
        <v>1279532.3091849547</v>
      </c>
      <c r="K972" s="1" t="s">
        <v>326</v>
      </c>
      <c r="L972" s="1">
        <v>794</v>
      </c>
      <c r="M972" s="1" t="s">
        <v>16</v>
      </c>
    </row>
    <row r="973" spans="1:13" x14ac:dyDescent="0.3">
      <c r="A973" s="1" t="s">
        <v>2520</v>
      </c>
      <c r="B973" s="1" t="s">
        <v>605</v>
      </c>
      <c r="C973" s="1">
        <v>41</v>
      </c>
      <c r="D973" s="1" t="s">
        <v>37</v>
      </c>
      <c r="E973" s="1">
        <v>1610000</v>
      </c>
      <c r="F973" s="7">
        <v>0.1</v>
      </c>
      <c r="G973" s="1">
        <v>24</v>
      </c>
      <c r="H973" s="1" t="s">
        <v>2521</v>
      </c>
      <c r="I973" s="8">
        <f t="shared" si="31"/>
        <v>74293.331403401564</v>
      </c>
      <c r="J973" s="8">
        <f t="shared" si="30"/>
        <v>1783039.9536816375</v>
      </c>
      <c r="K973" s="1" t="s">
        <v>94</v>
      </c>
      <c r="L973" s="1">
        <v>626</v>
      </c>
      <c r="M973" s="1" t="s">
        <v>16</v>
      </c>
    </row>
    <row r="974" spans="1:13" x14ac:dyDescent="0.3">
      <c r="A974" s="1" t="s">
        <v>2522</v>
      </c>
      <c r="B974" s="1" t="s">
        <v>2523</v>
      </c>
      <c r="C974" s="1">
        <v>57</v>
      </c>
      <c r="D974" s="1" t="s">
        <v>18</v>
      </c>
      <c r="E974" s="1">
        <v>1010000</v>
      </c>
      <c r="F974" s="7">
        <v>0.13</v>
      </c>
      <c r="G974" s="1">
        <v>84</v>
      </c>
      <c r="H974" s="1" t="s">
        <v>2524</v>
      </c>
      <c r="I974" s="8">
        <f t="shared" si="31"/>
        <v>18373.882982263429</v>
      </c>
      <c r="J974" s="8">
        <f t="shared" si="30"/>
        <v>1543406.1705101281</v>
      </c>
      <c r="K974" s="1" t="s">
        <v>119</v>
      </c>
      <c r="L974" s="1">
        <v>708</v>
      </c>
      <c r="M974" s="1" t="s">
        <v>16</v>
      </c>
    </row>
    <row r="975" spans="1:13" x14ac:dyDescent="0.3">
      <c r="A975" s="1" t="s">
        <v>2525</v>
      </c>
      <c r="B975" s="1" t="s">
        <v>2526</v>
      </c>
      <c r="C975" s="1">
        <v>25</v>
      </c>
      <c r="D975" s="1" t="s">
        <v>18</v>
      </c>
      <c r="E975" s="1">
        <v>1960000</v>
      </c>
      <c r="F975" s="7">
        <v>8.5000000000000006E-2</v>
      </c>
      <c r="G975" s="1">
        <v>84</v>
      </c>
      <c r="H975" s="1" t="s">
        <v>2527</v>
      </c>
      <c r="I975" s="8">
        <f t="shared" si="31"/>
        <v>31039.511456795761</v>
      </c>
      <c r="J975" s="8">
        <f t="shared" si="30"/>
        <v>2607318.9623708441</v>
      </c>
      <c r="K975" s="1" t="s">
        <v>34</v>
      </c>
      <c r="L975" s="1">
        <v>873</v>
      </c>
      <c r="M975" s="1" t="s">
        <v>16</v>
      </c>
    </row>
    <row r="976" spans="1:13" x14ac:dyDescent="0.3">
      <c r="A976" s="1" t="s">
        <v>2528</v>
      </c>
      <c r="B976" s="1" t="s">
        <v>2529</v>
      </c>
      <c r="C976" s="1">
        <v>39</v>
      </c>
      <c r="D976" s="1" t="s">
        <v>15</v>
      </c>
      <c r="E976" s="1">
        <v>1390000</v>
      </c>
      <c r="F976" s="7">
        <v>0.08</v>
      </c>
      <c r="G976" s="1">
        <v>60</v>
      </c>
      <c r="H976" s="1" t="s">
        <v>2530</v>
      </c>
      <c r="I976" s="8">
        <f t="shared" si="31"/>
        <v>28184.188060895012</v>
      </c>
      <c r="J976" s="8">
        <f t="shared" si="30"/>
        <v>1691051.2836537007</v>
      </c>
      <c r="K976" s="1" t="s">
        <v>132</v>
      </c>
      <c r="L976" s="1">
        <v>647</v>
      </c>
      <c r="M976" s="1" t="s">
        <v>16</v>
      </c>
    </row>
    <row r="977" spans="1:13" x14ac:dyDescent="0.3">
      <c r="A977" s="1" t="s">
        <v>2531</v>
      </c>
      <c r="B977" s="1" t="s">
        <v>2532</v>
      </c>
      <c r="C977" s="1">
        <v>34</v>
      </c>
      <c r="D977" s="1" t="s">
        <v>37</v>
      </c>
      <c r="E977" s="1">
        <v>4030000</v>
      </c>
      <c r="F977" s="7">
        <v>0.11</v>
      </c>
      <c r="G977" s="1">
        <v>36</v>
      </c>
      <c r="H977" s="1" t="s">
        <v>2078</v>
      </c>
      <c r="I977" s="8">
        <f t="shared" si="31"/>
        <v>131937.02998151822</v>
      </c>
      <c r="J977" s="8">
        <f t="shared" si="30"/>
        <v>4749733.0793346558</v>
      </c>
      <c r="K977" s="1" t="s">
        <v>119</v>
      </c>
      <c r="L977" s="1">
        <v>651</v>
      </c>
      <c r="M977" s="1" t="s">
        <v>16</v>
      </c>
    </row>
    <row r="978" spans="1:13" x14ac:dyDescent="0.3">
      <c r="A978" s="1" t="s">
        <v>2533</v>
      </c>
      <c r="B978" s="1" t="s">
        <v>1354</v>
      </c>
      <c r="C978" s="1">
        <v>46</v>
      </c>
      <c r="D978" s="1" t="s">
        <v>42</v>
      </c>
      <c r="E978" s="1">
        <v>1070000</v>
      </c>
      <c r="F978" s="7">
        <v>0.1</v>
      </c>
      <c r="G978" s="1">
        <v>240</v>
      </c>
      <c r="H978" s="1" t="s">
        <v>2534</v>
      </c>
      <c r="I978" s="8">
        <f t="shared" si="31"/>
        <v>10325.731602291882</v>
      </c>
      <c r="J978" s="8">
        <f t="shared" si="30"/>
        <v>2478175.5845500519</v>
      </c>
      <c r="K978" s="1" t="s">
        <v>249</v>
      </c>
      <c r="L978" s="1">
        <v>681</v>
      </c>
      <c r="M978" s="1" t="s">
        <v>20</v>
      </c>
    </row>
    <row r="979" spans="1:13" x14ac:dyDescent="0.3">
      <c r="A979" s="1" t="s">
        <v>2535</v>
      </c>
      <c r="B979" s="1" t="s">
        <v>2375</v>
      </c>
      <c r="C979" s="1">
        <v>24</v>
      </c>
      <c r="D979" s="1" t="s">
        <v>37</v>
      </c>
      <c r="E979" s="1">
        <v>1950000</v>
      </c>
      <c r="F979" s="7">
        <v>0.125</v>
      </c>
      <c r="G979" s="1">
        <v>60</v>
      </c>
      <c r="H979" s="1" t="s">
        <v>2536</v>
      </c>
      <c r="I979" s="8">
        <f t="shared" si="31"/>
        <v>43870.979539560889</v>
      </c>
      <c r="J979" s="8">
        <f t="shared" si="30"/>
        <v>2632258.7723736535</v>
      </c>
      <c r="K979" s="1" t="s">
        <v>132</v>
      </c>
      <c r="L979" s="1">
        <v>651</v>
      </c>
      <c r="M979" s="1" t="s">
        <v>312</v>
      </c>
    </row>
    <row r="980" spans="1:13" x14ac:dyDescent="0.3">
      <c r="A980" s="1" t="s">
        <v>2537</v>
      </c>
      <c r="B980" s="1" t="s">
        <v>432</v>
      </c>
      <c r="C980" s="1">
        <v>45</v>
      </c>
      <c r="D980" s="1" t="s">
        <v>32</v>
      </c>
      <c r="E980" s="1">
        <v>450000</v>
      </c>
      <c r="F980" s="7">
        <v>8.5000000000000006E-2</v>
      </c>
      <c r="G980" s="1">
        <v>48</v>
      </c>
      <c r="H980" s="1" t="s">
        <v>2538</v>
      </c>
      <c r="I980" s="8">
        <f t="shared" si="31"/>
        <v>11091.736511476069</v>
      </c>
      <c r="J980" s="8">
        <f t="shared" si="30"/>
        <v>532403.3525508513</v>
      </c>
      <c r="K980" s="1" t="s">
        <v>75</v>
      </c>
      <c r="L980" s="1">
        <v>568</v>
      </c>
      <c r="M980" s="1" t="s">
        <v>16</v>
      </c>
    </row>
    <row r="981" spans="1:13" x14ac:dyDescent="0.3">
      <c r="A981" s="1" t="s">
        <v>2539</v>
      </c>
      <c r="B981" s="1" t="s">
        <v>26</v>
      </c>
      <c r="C981" s="1">
        <v>62</v>
      </c>
      <c r="D981" s="1" t="s">
        <v>27</v>
      </c>
      <c r="E981" s="1">
        <v>590000</v>
      </c>
      <c r="F981" s="7">
        <v>0.1</v>
      </c>
      <c r="G981" s="1">
        <v>60</v>
      </c>
      <c r="H981" s="1" t="s">
        <v>2540</v>
      </c>
      <c r="I981" s="8">
        <f t="shared" si="31"/>
        <v>12535.756379648283</v>
      </c>
      <c r="J981" s="8">
        <f t="shared" si="30"/>
        <v>752145.38277889695</v>
      </c>
      <c r="K981" s="1" t="s">
        <v>155</v>
      </c>
      <c r="L981" s="1">
        <v>631</v>
      </c>
      <c r="M981" s="1" t="s">
        <v>20</v>
      </c>
    </row>
    <row r="982" spans="1:13" x14ac:dyDescent="0.3">
      <c r="A982" s="1" t="s">
        <v>2541</v>
      </c>
      <c r="B982" s="1" t="s">
        <v>1505</v>
      </c>
      <c r="C982" s="1">
        <v>45</v>
      </c>
      <c r="D982" s="1" t="s">
        <v>15</v>
      </c>
      <c r="E982" s="1">
        <v>1820000</v>
      </c>
      <c r="F982" s="7">
        <v>0.125</v>
      </c>
      <c r="G982" s="1">
        <v>180</v>
      </c>
      <c r="H982" s="1" t="s">
        <v>1960</v>
      </c>
      <c r="I982" s="8">
        <f t="shared" si="31"/>
        <v>22431.901901379832</v>
      </c>
      <c r="J982" s="8">
        <f t="shared" si="30"/>
        <v>4037742.3422483695</v>
      </c>
      <c r="K982" s="1" t="s">
        <v>132</v>
      </c>
      <c r="L982" s="1">
        <v>828</v>
      </c>
      <c r="M982" s="1" t="s">
        <v>16</v>
      </c>
    </row>
    <row r="983" spans="1:13" x14ac:dyDescent="0.3">
      <c r="A983" s="1" t="s">
        <v>2542</v>
      </c>
      <c r="B983" s="1" t="s">
        <v>2543</v>
      </c>
      <c r="C983" s="1">
        <v>38</v>
      </c>
      <c r="D983" s="1" t="s">
        <v>37</v>
      </c>
      <c r="E983" s="1">
        <v>1110000</v>
      </c>
      <c r="F983" s="7">
        <v>7.4999999999999997E-2</v>
      </c>
      <c r="G983" s="1">
        <v>84</v>
      </c>
      <c r="H983" s="1" t="s">
        <v>2544</v>
      </c>
      <c r="I983" s="8">
        <f>PMT(F983/12,G983, -E983)</f>
        <v>17025.486196968803</v>
      </c>
      <c r="J983" s="8">
        <f t="shared" si="30"/>
        <v>1430140.8405453793</v>
      </c>
      <c r="K983" s="1" t="s">
        <v>226</v>
      </c>
      <c r="L983" s="1">
        <v>888</v>
      </c>
      <c r="M983" s="1" t="s">
        <v>16</v>
      </c>
    </row>
    <row r="984" spans="1:13" x14ac:dyDescent="0.3">
      <c r="A984" s="1" t="s">
        <v>2545</v>
      </c>
      <c r="B984" s="1" t="s">
        <v>2546</v>
      </c>
      <c r="C984" s="1">
        <v>60</v>
      </c>
      <c r="D984" s="1" t="s">
        <v>15</v>
      </c>
      <c r="E984" s="1">
        <v>240000</v>
      </c>
      <c r="F984" s="7">
        <v>7.4999999999999997E-2</v>
      </c>
      <c r="G984" s="1">
        <v>84</v>
      </c>
      <c r="H984" s="1" t="s">
        <v>2547</v>
      </c>
      <c r="I984" s="8">
        <f>PMT(F984/12,G984, -E984)</f>
        <v>3681.1862047500113</v>
      </c>
      <c r="J984" s="8">
        <f t="shared" si="30"/>
        <v>309219.64119900094</v>
      </c>
      <c r="K984" s="1" t="s">
        <v>56</v>
      </c>
      <c r="L984" s="1">
        <v>880</v>
      </c>
      <c r="M984" s="1" t="s">
        <v>60</v>
      </c>
    </row>
    <row r="985" spans="1:13" x14ac:dyDescent="0.3">
      <c r="A985" s="1" t="s">
        <v>2548</v>
      </c>
      <c r="B985" s="1" t="s">
        <v>499</v>
      </c>
      <c r="C985" s="1">
        <v>28</v>
      </c>
      <c r="D985" s="1" t="s">
        <v>15</v>
      </c>
      <c r="E985" s="1">
        <v>1430000</v>
      </c>
      <c r="F985" s="7">
        <v>0.11</v>
      </c>
      <c r="G985" s="1">
        <v>36</v>
      </c>
      <c r="H985" s="1" t="s">
        <v>2549</v>
      </c>
      <c r="I985" s="8">
        <f>PMT(F985/12,G985, -E985)</f>
        <v>46816.365477312924</v>
      </c>
      <c r="J985" s="8">
        <f t="shared" si="30"/>
        <v>1685389.1571832653</v>
      </c>
      <c r="K985" s="1" t="s">
        <v>68</v>
      </c>
      <c r="L985" s="1">
        <v>678</v>
      </c>
      <c r="M985" s="1" t="s">
        <v>312</v>
      </c>
    </row>
    <row r="986" spans="1:13" x14ac:dyDescent="0.3">
      <c r="A986" s="1" t="s">
        <v>2550</v>
      </c>
      <c r="B986" s="1" t="s">
        <v>2551</v>
      </c>
      <c r="C986" s="1">
        <v>59</v>
      </c>
      <c r="D986" s="1" t="s">
        <v>18</v>
      </c>
      <c r="E986" s="1">
        <v>340000</v>
      </c>
      <c r="F986" s="7">
        <v>9.5000000000000001E-2</v>
      </c>
      <c r="G986" s="1">
        <v>180</v>
      </c>
      <c r="H986" s="1" t="s">
        <v>1508</v>
      </c>
      <c r="I986" s="8">
        <f t="shared" ref="I986:I1001" si="32">PMT(F986/12,G986, -E986)</f>
        <v>3550.3639217368741</v>
      </c>
      <c r="J986" s="8">
        <f t="shared" si="30"/>
        <v>639065.50591263734</v>
      </c>
      <c r="K986" s="1" t="s">
        <v>52</v>
      </c>
      <c r="L986" s="1">
        <v>893</v>
      </c>
      <c r="M986" s="1" t="s">
        <v>20</v>
      </c>
    </row>
    <row r="987" spans="1:13" x14ac:dyDescent="0.3">
      <c r="A987" s="1" t="s">
        <v>2552</v>
      </c>
      <c r="B987" s="1" t="s">
        <v>2553</v>
      </c>
      <c r="C987" s="1">
        <v>60</v>
      </c>
      <c r="D987" s="1" t="s">
        <v>37</v>
      </c>
      <c r="E987" s="1">
        <v>620000</v>
      </c>
      <c r="F987" s="7">
        <v>0.09</v>
      </c>
      <c r="G987" s="1">
        <v>120</v>
      </c>
      <c r="H987" s="1" t="s">
        <v>2554</v>
      </c>
      <c r="I987" s="8">
        <f t="shared" si="32"/>
        <v>7853.8979725154677</v>
      </c>
      <c r="J987" s="8">
        <f t="shared" si="30"/>
        <v>942467.75670185615</v>
      </c>
      <c r="K987" s="1" t="s">
        <v>119</v>
      </c>
      <c r="L987" s="1">
        <v>859</v>
      </c>
      <c r="M987" s="1" t="s">
        <v>16</v>
      </c>
    </row>
    <row r="988" spans="1:13" x14ac:dyDescent="0.3">
      <c r="A988" s="1" t="s">
        <v>2555</v>
      </c>
      <c r="B988" s="1" t="s">
        <v>2556</v>
      </c>
      <c r="C988" s="1">
        <v>34</v>
      </c>
      <c r="D988" s="1" t="s">
        <v>37</v>
      </c>
      <c r="E988" s="1">
        <v>2700000</v>
      </c>
      <c r="F988" s="7">
        <v>8.5000000000000006E-2</v>
      </c>
      <c r="G988" s="1">
        <v>48</v>
      </c>
      <c r="H988" s="1" t="s">
        <v>2557</v>
      </c>
      <c r="I988" s="8">
        <f t="shared" si="32"/>
        <v>66550.419068856412</v>
      </c>
      <c r="J988" s="8">
        <f t="shared" si="30"/>
        <v>3194420.115305108</v>
      </c>
      <c r="K988" s="1" t="s">
        <v>316</v>
      </c>
      <c r="L988" s="1">
        <v>638</v>
      </c>
      <c r="M988" s="1" t="s">
        <v>20</v>
      </c>
    </row>
    <row r="989" spans="1:13" x14ac:dyDescent="0.3">
      <c r="A989" s="1" t="s">
        <v>2558</v>
      </c>
      <c r="B989" s="1" t="s">
        <v>2559</v>
      </c>
      <c r="C989" s="1">
        <v>52</v>
      </c>
      <c r="D989" s="1" t="s">
        <v>23</v>
      </c>
      <c r="E989" s="1">
        <v>4620000</v>
      </c>
      <c r="F989" s="7">
        <v>0.12</v>
      </c>
      <c r="G989" s="1">
        <v>120</v>
      </c>
      <c r="H989" s="1" t="s">
        <v>1425</v>
      </c>
      <c r="I989" s="8">
        <f t="shared" si="32"/>
        <v>66283.578161995363</v>
      </c>
      <c r="J989" s="8">
        <f t="shared" si="30"/>
        <v>7954029.3794394433</v>
      </c>
      <c r="K989" s="1" t="s">
        <v>226</v>
      </c>
      <c r="L989" s="1">
        <v>762</v>
      </c>
      <c r="M989" s="1" t="s">
        <v>60</v>
      </c>
    </row>
    <row r="990" spans="1:13" x14ac:dyDescent="0.3">
      <c r="A990" s="1" t="s">
        <v>2560</v>
      </c>
      <c r="B990" s="1" t="s">
        <v>2561</v>
      </c>
      <c r="C990" s="1">
        <v>58</v>
      </c>
      <c r="D990" s="1" t="s">
        <v>37</v>
      </c>
      <c r="E990" s="1">
        <v>830000</v>
      </c>
      <c r="F990" s="7">
        <v>8.5000000000000006E-2</v>
      </c>
      <c r="G990" s="1">
        <v>84</v>
      </c>
      <c r="H990" s="1" t="s">
        <v>2562</v>
      </c>
      <c r="I990" s="8">
        <f t="shared" si="32"/>
        <v>13144.282912826777</v>
      </c>
      <c r="J990" s="8">
        <f t="shared" si="30"/>
        <v>1104119.7646774491</v>
      </c>
      <c r="K990" s="1" t="s">
        <v>159</v>
      </c>
      <c r="L990" s="1">
        <v>692</v>
      </c>
      <c r="M990" s="1" t="s">
        <v>16</v>
      </c>
    </row>
    <row r="991" spans="1:13" x14ac:dyDescent="0.3">
      <c r="A991" s="1" t="s">
        <v>2563</v>
      </c>
      <c r="B991" s="1" t="s">
        <v>2564</v>
      </c>
      <c r="C991" s="1">
        <v>53</v>
      </c>
      <c r="D991" s="1" t="s">
        <v>37</v>
      </c>
      <c r="E991" s="1">
        <v>1010000</v>
      </c>
      <c r="F991" s="7">
        <v>0.11</v>
      </c>
      <c r="G991" s="1">
        <v>84</v>
      </c>
      <c r="H991" s="1" t="s">
        <v>1313</v>
      </c>
      <c r="I991" s="8">
        <f t="shared" si="32"/>
        <v>17293.660799247744</v>
      </c>
      <c r="J991" s="8">
        <f t="shared" si="30"/>
        <v>1452667.5071368106</v>
      </c>
      <c r="K991" s="1" t="s">
        <v>94</v>
      </c>
      <c r="L991" s="1">
        <v>614</v>
      </c>
      <c r="M991" s="1" t="s">
        <v>20</v>
      </c>
    </row>
    <row r="992" spans="1:13" x14ac:dyDescent="0.3">
      <c r="A992" s="1" t="s">
        <v>2565</v>
      </c>
      <c r="B992" s="1" t="s">
        <v>2566</v>
      </c>
      <c r="C992" s="1">
        <v>43</v>
      </c>
      <c r="D992" s="1" t="s">
        <v>23</v>
      </c>
      <c r="E992" s="1">
        <v>7680000</v>
      </c>
      <c r="F992" s="7">
        <v>0.08</v>
      </c>
      <c r="G992" s="1">
        <v>120</v>
      </c>
      <c r="H992" s="1" t="s">
        <v>2085</v>
      </c>
      <c r="I992" s="8">
        <f t="shared" si="32"/>
        <v>93179.592464914123</v>
      </c>
      <c r="J992" s="8">
        <f t="shared" si="30"/>
        <v>11181551.095789695</v>
      </c>
      <c r="K992" s="1" t="s">
        <v>155</v>
      </c>
      <c r="L992" s="1">
        <v>625</v>
      </c>
      <c r="M992" s="1" t="s">
        <v>20</v>
      </c>
    </row>
    <row r="993" spans="1:13" x14ac:dyDescent="0.3">
      <c r="A993" s="1" t="s">
        <v>2567</v>
      </c>
      <c r="B993" s="1" t="s">
        <v>998</v>
      </c>
      <c r="C993" s="1">
        <v>35</v>
      </c>
      <c r="D993" s="1" t="s">
        <v>23</v>
      </c>
      <c r="E993" s="1">
        <v>9500000</v>
      </c>
      <c r="F993" s="7">
        <v>8.5000000000000006E-2</v>
      </c>
      <c r="G993" s="1">
        <v>60</v>
      </c>
      <c r="H993" s="1" t="s">
        <v>1276</v>
      </c>
      <c r="I993" s="8">
        <f t="shared" si="32"/>
        <v>194907.04760698686</v>
      </c>
      <c r="J993" s="8">
        <f t="shared" si="30"/>
        <v>11694422.856419211</v>
      </c>
      <c r="K993" s="1" t="s">
        <v>34</v>
      </c>
      <c r="L993" s="1">
        <v>748</v>
      </c>
      <c r="M993" s="1" t="s">
        <v>60</v>
      </c>
    </row>
    <row r="994" spans="1:13" x14ac:dyDescent="0.3">
      <c r="A994" s="1" t="s">
        <v>2568</v>
      </c>
      <c r="B994" s="1" t="s">
        <v>1882</v>
      </c>
      <c r="C994" s="1">
        <v>53</v>
      </c>
      <c r="D994" s="1" t="s">
        <v>27</v>
      </c>
      <c r="E994" s="1">
        <v>400000</v>
      </c>
      <c r="F994" s="7">
        <v>0.12</v>
      </c>
      <c r="G994" s="1">
        <v>180</v>
      </c>
      <c r="H994" s="1" t="s">
        <v>2569</v>
      </c>
      <c r="I994" s="8">
        <f t="shared" si="32"/>
        <v>4800.6722483660542</v>
      </c>
      <c r="J994" s="8">
        <f t="shared" si="30"/>
        <v>864121.00470588973</v>
      </c>
      <c r="K994" s="1" t="s">
        <v>94</v>
      </c>
      <c r="L994" s="1">
        <v>692</v>
      </c>
      <c r="M994" s="1" t="s">
        <v>16</v>
      </c>
    </row>
    <row r="995" spans="1:13" x14ac:dyDescent="0.3">
      <c r="A995" s="1" t="s">
        <v>2570</v>
      </c>
      <c r="B995" s="1" t="s">
        <v>2571</v>
      </c>
      <c r="C995" s="1">
        <v>45</v>
      </c>
      <c r="D995" s="1" t="s">
        <v>18</v>
      </c>
      <c r="E995" s="1">
        <v>1520000</v>
      </c>
      <c r="F995" s="7">
        <v>0.105</v>
      </c>
      <c r="G995" s="1">
        <v>36</v>
      </c>
      <c r="H995" s="1" t="s">
        <v>791</v>
      </c>
      <c r="I995" s="8">
        <f t="shared" si="32"/>
        <v>49403.714127124127</v>
      </c>
      <c r="J995" s="8">
        <f t="shared" si="30"/>
        <v>1778533.7085764685</v>
      </c>
      <c r="K995" s="1" t="s">
        <v>191</v>
      </c>
      <c r="L995" s="1">
        <v>865</v>
      </c>
      <c r="M995" s="1" t="s">
        <v>20</v>
      </c>
    </row>
    <row r="996" spans="1:13" x14ac:dyDescent="0.3">
      <c r="A996" s="1" t="s">
        <v>2572</v>
      </c>
      <c r="B996" s="1" t="s">
        <v>1660</v>
      </c>
      <c r="C996" s="1">
        <v>37</v>
      </c>
      <c r="D996" s="1" t="s">
        <v>37</v>
      </c>
      <c r="E996" s="1">
        <v>4700000</v>
      </c>
      <c r="F996" s="7">
        <v>0.125</v>
      </c>
      <c r="G996" s="1">
        <v>36</v>
      </c>
      <c r="H996" s="1" t="s">
        <v>855</v>
      </c>
      <c r="I996" s="8">
        <f t="shared" si="32"/>
        <v>157232.04021056765</v>
      </c>
      <c r="J996" s="8">
        <f t="shared" si="30"/>
        <v>5660353.4475804353</v>
      </c>
      <c r="K996" s="1" t="s">
        <v>94</v>
      </c>
      <c r="L996" s="1">
        <v>642</v>
      </c>
      <c r="M996" s="1" t="s">
        <v>16</v>
      </c>
    </row>
    <row r="997" spans="1:13" x14ac:dyDescent="0.3">
      <c r="A997" s="1" t="s">
        <v>2573</v>
      </c>
      <c r="B997" s="1" t="s">
        <v>2574</v>
      </c>
      <c r="C997" s="1">
        <v>53</v>
      </c>
      <c r="D997" s="1" t="s">
        <v>42</v>
      </c>
      <c r="E997" s="1">
        <v>1170000</v>
      </c>
      <c r="F997" s="7">
        <v>0.105</v>
      </c>
      <c r="G997" s="1">
        <v>48</v>
      </c>
      <c r="H997" s="1" t="s">
        <v>2575</v>
      </c>
      <c r="I997" s="8">
        <f t="shared" si="32"/>
        <v>29955.954309727716</v>
      </c>
      <c r="J997" s="8">
        <f t="shared" si="30"/>
        <v>1437885.8068669303</v>
      </c>
      <c r="K997" s="1" t="s">
        <v>86</v>
      </c>
      <c r="L997" s="1">
        <v>854</v>
      </c>
      <c r="M997" s="1" t="s">
        <v>16</v>
      </c>
    </row>
    <row r="998" spans="1:13" x14ac:dyDescent="0.3">
      <c r="A998" s="1" t="s">
        <v>2576</v>
      </c>
      <c r="B998" s="1" t="s">
        <v>1259</v>
      </c>
      <c r="C998" s="1">
        <v>22</v>
      </c>
      <c r="D998" s="1" t="s">
        <v>15</v>
      </c>
      <c r="E998" s="1">
        <v>1090000</v>
      </c>
      <c r="F998" s="7">
        <v>0.105</v>
      </c>
      <c r="G998" s="1">
        <v>24</v>
      </c>
      <c r="H998" s="1" t="s">
        <v>2577</v>
      </c>
      <c r="I998" s="8">
        <f t="shared" si="32"/>
        <v>50549.885386915092</v>
      </c>
      <c r="J998" s="8">
        <f t="shared" si="30"/>
        <v>1213197.2492859622</v>
      </c>
      <c r="K998" s="1" t="s">
        <v>119</v>
      </c>
      <c r="L998" s="1">
        <v>773</v>
      </c>
      <c r="M998" s="1" t="s">
        <v>20</v>
      </c>
    </row>
    <row r="999" spans="1:13" x14ac:dyDescent="0.3">
      <c r="A999" s="1" t="s">
        <v>2578</v>
      </c>
      <c r="B999" s="1" t="s">
        <v>2579</v>
      </c>
      <c r="C999" s="1">
        <v>34</v>
      </c>
      <c r="D999" s="1" t="s">
        <v>32</v>
      </c>
      <c r="E999" s="1">
        <v>420000</v>
      </c>
      <c r="F999" s="7">
        <v>0.105</v>
      </c>
      <c r="G999" s="1">
        <v>60</v>
      </c>
      <c r="H999" s="1" t="s">
        <v>700</v>
      </c>
      <c r="I999" s="8">
        <f t="shared" si="32"/>
        <v>9027.4381588093329</v>
      </c>
      <c r="J999" s="8">
        <f t="shared" si="30"/>
        <v>541646.28952856001</v>
      </c>
      <c r="K999" s="1" t="s">
        <v>147</v>
      </c>
      <c r="L999" s="1">
        <v>840</v>
      </c>
      <c r="M999" s="1" t="s">
        <v>16</v>
      </c>
    </row>
    <row r="1000" spans="1:13" x14ac:dyDescent="0.3">
      <c r="A1000" s="1" t="s">
        <v>2580</v>
      </c>
      <c r="B1000" s="1" t="s">
        <v>2419</v>
      </c>
      <c r="C1000" s="1">
        <v>60</v>
      </c>
      <c r="D1000" s="1" t="s">
        <v>23</v>
      </c>
      <c r="E1000" s="1">
        <v>7750000</v>
      </c>
      <c r="F1000" s="7">
        <v>0.11</v>
      </c>
      <c r="G1000" s="1">
        <v>48</v>
      </c>
      <c r="H1000" s="1" t="s">
        <v>2581</v>
      </c>
      <c r="I1000" s="8">
        <f t="shared" si="32"/>
        <v>200302.80023875929</v>
      </c>
      <c r="J1000" s="8">
        <f t="shared" si="30"/>
        <v>9614534.4114604462</v>
      </c>
      <c r="K1000" s="1" t="s">
        <v>136</v>
      </c>
      <c r="L1000" s="1">
        <v>651</v>
      </c>
      <c r="M1000" s="1" t="s">
        <v>16</v>
      </c>
    </row>
    <row r="1001" spans="1:13" x14ac:dyDescent="0.3">
      <c r="A1001" s="1" t="s">
        <v>2582</v>
      </c>
      <c r="B1001" s="1" t="s">
        <v>2583</v>
      </c>
      <c r="C1001" s="1">
        <v>60</v>
      </c>
      <c r="D1001" s="1" t="s">
        <v>32</v>
      </c>
      <c r="E1001" s="1">
        <v>90000</v>
      </c>
      <c r="F1001" s="7">
        <v>0.105</v>
      </c>
      <c r="G1001" s="1">
        <v>240</v>
      </c>
      <c r="H1001" s="1" t="s">
        <v>2584</v>
      </c>
      <c r="I1001" s="8">
        <f t="shared" si="32"/>
        <v>898.5418982725455</v>
      </c>
      <c r="J1001" s="8">
        <f t="shared" si="30"/>
        <v>215650.05558541091</v>
      </c>
      <c r="K1001" s="1" t="s">
        <v>56</v>
      </c>
      <c r="L1001" s="1">
        <v>816</v>
      </c>
      <c r="M1001" s="1" t="s">
        <v>16</v>
      </c>
    </row>
  </sheetData>
  <conditionalFormatting sqref="A2:M1001">
    <cfRule type="expression" dxfId="2" priority="1">
      <formula>MOD(ROW(),3)=0</formula>
    </cfRule>
  </conditionalFormatting>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CE3267-D23F-4346-8AA3-D33FFEACE5F5}">
  <dimension ref="A2:D21"/>
  <sheetViews>
    <sheetView zoomScale="114" workbookViewId="0">
      <selection activeCell="B12" sqref="B12"/>
    </sheetView>
  </sheetViews>
  <sheetFormatPr defaultRowHeight="14" x14ac:dyDescent="0.3"/>
  <cols>
    <col min="1" max="1" width="10.5" customWidth="1"/>
    <col min="2" max="4" width="55.5" customWidth="1"/>
  </cols>
  <sheetData>
    <row r="2" spans="1:4" ht="20.5" customHeight="1" x14ac:dyDescent="0.35">
      <c r="A2" s="41" t="s">
        <v>2705</v>
      </c>
      <c r="B2" s="42" t="s">
        <v>2591</v>
      </c>
      <c r="C2" s="42" t="s">
        <v>2592</v>
      </c>
      <c r="D2" s="43" t="s">
        <v>2593</v>
      </c>
    </row>
    <row r="3" spans="1:4" ht="20.5" customHeight="1" x14ac:dyDescent="0.3">
      <c r="A3" s="39">
        <v>1</v>
      </c>
      <c r="B3" s="36" t="s">
        <v>2597</v>
      </c>
      <c r="C3" s="36" t="s">
        <v>2598</v>
      </c>
      <c r="D3" s="40" t="s">
        <v>2599</v>
      </c>
    </row>
    <row r="4" spans="1:4" ht="20.5" customHeight="1" x14ac:dyDescent="0.3">
      <c r="A4" s="39">
        <v>2</v>
      </c>
      <c r="B4" s="36" t="s">
        <v>2594</v>
      </c>
      <c r="C4" s="36" t="s">
        <v>2595</v>
      </c>
      <c r="D4" s="40" t="s">
        <v>2596</v>
      </c>
    </row>
    <row r="5" spans="1:4" ht="20.5" customHeight="1" x14ac:dyDescent="0.3">
      <c r="A5" s="39">
        <v>3</v>
      </c>
      <c r="B5" s="36" t="s">
        <v>2600</v>
      </c>
      <c r="C5" s="36" t="s">
        <v>2601</v>
      </c>
      <c r="D5" s="40" t="s">
        <v>2602</v>
      </c>
    </row>
    <row r="6" spans="1:4" ht="20.5" customHeight="1" x14ac:dyDescent="0.3">
      <c r="A6" s="39">
        <v>4</v>
      </c>
      <c r="B6" s="36" t="s">
        <v>2603</v>
      </c>
      <c r="C6" s="36" t="s">
        <v>2604</v>
      </c>
      <c r="D6" s="40" t="s">
        <v>2605</v>
      </c>
    </row>
    <row r="7" spans="1:4" ht="20.5" customHeight="1" x14ac:dyDescent="0.3">
      <c r="A7" s="39">
        <v>5</v>
      </c>
      <c r="B7" s="36" t="s">
        <v>2606</v>
      </c>
      <c r="C7" s="36" t="s">
        <v>2607</v>
      </c>
      <c r="D7" s="40" t="s">
        <v>2608</v>
      </c>
    </row>
    <row r="8" spans="1:4" ht="20.5" customHeight="1" x14ac:dyDescent="0.3">
      <c r="A8" s="39">
        <v>6</v>
      </c>
      <c r="B8" s="36" t="s">
        <v>2609</v>
      </c>
      <c r="C8" s="36" t="s">
        <v>2610</v>
      </c>
      <c r="D8" s="40" t="s">
        <v>2611</v>
      </c>
    </row>
    <row r="9" spans="1:4" ht="20.5" customHeight="1" x14ac:dyDescent="0.3">
      <c r="A9" s="39">
        <v>7</v>
      </c>
      <c r="B9" s="36" t="s">
        <v>2612</v>
      </c>
      <c r="C9" s="36" t="s">
        <v>2613</v>
      </c>
      <c r="D9" s="40" t="s">
        <v>2614</v>
      </c>
    </row>
    <row r="10" spans="1:4" ht="20.5" customHeight="1" x14ac:dyDescent="0.3">
      <c r="A10" s="39">
        <v>9</v>
      </c>
      <c r="B10" s="36" t="s">
        <v>2615</v>
      </c>
      <c r="C10" s="36" t="s">
        <v>2616</v>
      </c>
      <c r="D10" s="40" t="s">
        <v>2617</v>
      </c>
    </row>
    <row r="11" spans="1:4" ht="20.5" customHeight="1" x14ac:dyDescent="0.3">
      <c r="A11" s="39">
        <v>10</v>
      </c>
      <c r="B11" s="36" t="s">
        <v>2618</v>
      </c>
      <c r="C11" s="36" t="s">
        <v>2619</v>
      </c>
      <c r="D11" s="40" t="s">
        <v>2620</v>
      </c>
    </row>
    <row r="12" spans="1:4" ht="20.5" customHeight="1" x14ac:dyDescent="0.3">
      <c r="A12" s="39">
        <v>11</v>
      </c>
      <c r="B12" s="36" t="s">
        <v>2621</v>
      </c>
      <c r="C12" s="36" t="s">
        <v>2622</v>
      </c>
      <c r="D12" s="40" t="s">
        <v>2623</v>
      </c>
    </row>
    <row r="13" spans="1:4" ht="20.5" customHeight="1" x14ac:dyDescent="0.3">
      <c r="A13" s="39">
        <v>12</v>
      </c>
      <c r="B13" s="36" t="s">
        <v>2624</v>
      </c>
      <c r="C13" s="36" t="s">
        <v>2625</v>
      </c>
      <c r="D13" s="40" t="s">
        <v>2626</v>
      </c>
    </row>
    <row r="14" spans="1:4" ht="20.5" customHeight="1" x14ac:dyDescent="0.3">
      <c r="A14" s="39">
        <v>13</v>
      </c>
      <c r="B14" s="36" t="s">
        <v>2627</v>
      </c>
      <c r="C14" s="36" t="s">
        <v>2628</v>
      </c>
      <c r="D14" s="40" t="s">
        <v>2629</v>
      </c>
    </row>
    <row r="15" spans="1:4" ht="20.5" customHeight="1" x14ac:dyDescent="0.3">
      <c r="A15" s="39">
        <v>14</v>
      </c>
      <c r="B15" s="36" t="s">
        <v>2630</v>
      </c>
      <c r="C15" s="36" t="s">
        <v>2631</v>
      </c>
      <c r="D15" s="40" t="s">
        <v>2632</v>
      </c>
    </row>
    <row r="16" spans="1:4" ht="20.5" customHeight="1" x14ac:dyDescent="0.3">
      <c r="A16" s="39">
        <v>15</v>
      </c>
      <c r="B16" s="36" t="s">
        <v>2633</v>
      </c>
      <c r="C16" s="36" t="s">
        <v>2634</v>
      </c>
      <c r="D16" s="40" t="s">
        <v>2635</v>
      </c>
    </row>
    <row r="17" spans="1:4" ht="20.5" customHeight="1" x14ac:dyDescent="0.3">
      <c r="A17" s="39">
        <v>16</v>
      </c>
      <c r="B17" s="36" t="s">
        <v>2636</v>
      </c>
      <c r="C17" s="36" t="s">
        <v>2637</v>
      </c>
      <c r="D17" s="40" t="s">
        <v>2638</v>
      </c>
    </row>
    <row r="18" spans="1:4" ht="20.5" customHeight="1" x14ac:dyDescent="0.3">
      <c r="A18" s="39">
        <v>17</v>
      </c>
      <c r="B18" s="36" t="s">
        <v>2639</v>
      </c>
      <c r="C18" s="36" t="s">
        <v>2640</v>
      </c>
      <c r="D18" s="40" t="s">
        <v>2641</v>
      </c>
    </row>
    <row r="19" spans="1:4" ht="20.5" customHeight="1" x14ac:dyDescent="0.3">
      <c r="A19" s="39">
        <v>18</v>
      </c>
      <c r="B19" s="36" t="s">
        <v>2642</v>
      </c>
      <c r="C19" s="36" t="s">
        <v>2643</v>
      </c>
      <c r="D19" s="40" t="s">
        <v>2644</v>
      </c>
    </row>
    <row r="20" spans="1:4" ht="20.5" customHeight="1" x14ac:dyDescent="0.3">
      <c r="A20" s="39">
        <v>19</v>
      </c>
      <c r="B20" s="36" t="s">
        <v>2645</v>
      </c>
      <c r="C20" s="36" t="s">
        <v>2646</v>
      </c>
      <c r="D20" s="40" t="s">
        <v>2647</v>
      </c>
    </row>
    <row r="21" spans="1:4" ht="20.5" customHeight="1" x14ac:dyDescent="0.3">
      <c r="A21" s="44">
        <v>20</v>
      </c>
      <c r="B21" s="45" t="s">
        <v>2648</v>
      </c>
      <c r="C21" s="45" t="s">
        <v>2649</v>
      </c>
      <c r="D21" s="46" t="s">
        <v>2650</v>
      </c>
    </row>
  </sheetData>
  <conditionalFormatting sqref="A3:D21">
    <cfRule type="expression" dxfId="1" priority="1">
      <formula>MOD(ROW(),2)=0</formula>
    </cfRule>
  </conditionalFormatting>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7D8C525-A468-4C14-A537-BA8DB09FAB7C}">
  <dimension ref="A1:P1353"/>
  <sheetViews>
    <sheetView showGridLines="0" zoomScale="37" zoomScaleNormal="85" workbookViewId="0">
      <selection activeCell="A6" sqref="A6:A7"/>
    </sheetView>
  </sheetViews>
  <sheetFormatPr defaultRowHeight="14" x14ac:dyDescent="0.3"/>
  <cols>
    <col min="1" max="1" width="17.08203125" customWidth="1"/>
    <col min="2" max="2" width="5.5" style="1" customWidth="1"/>
    <col min="3" max="10" width="22.75" style="1" customWidth="1"/>
    <col min="11" max="16" width="8.6640625" style="1"/>
  </cols>
  <sheetData>
    <row r="1" spans="1:14" ht="14.5" thickBot="1" x14ac:dyDescent="0.35"/>
    <row r="2" spans="1:14" ht="30" customHeight="1" thickTop="1" thickBot="1" x14ac:dyDescent="0.35">
      <c r="B2" s="9"/>
      <c r="C2" s="70" t="s">
        <v>2666</v>
      </c>
      <c r="D2" s="70"/>
      <c r="E2" s="70"/>
      <c r="F2" s="70"/>
      <c r="G2" s="70"/>
      <c r="H2" s="70"/>
      <c r="I2" s="70"/>
      <c r="J2" s="70"/>
      <c r="K2" s="9"/>
      <c r="L2" s="9"/>
      <c r="M2" s="9"/>
      <c r="N2" s="9"/>
    </row>
    <row r="3" spans="1:14" ht="3.5" customHeight="1" thickTop="1" x14ac:dyDescent="0.3">
      <c r="B3" s="9"/>
      <c r="N3" s="9"/>
    </row>
    <row r="4" spans="1:14" ht="20" customHeight="1" x14ac:dyDescent="0.3">
      <c r="A4" s="71" t="s">
        <v>2589</v>
      </c>
      <c r="C4" s="72" t="s">
        <v>2661</v>
      </c>
      <c r="D4" s="72"/>
      <c r="E4" s="15" t="str">
        <f>_xlfn.XLOOKUP($A$6,'Clean Data'!$A:$A,'Clean Data'!B:B)</f>
        <v>Manoj Singh</v>
      </c>
      <c r="H4" s="76" t="s">
        <v>1</v>
      </c>
      <c r="I4" s="76"/>
      <c r="J4" s="17">
        <f>PMT(E9/12,E11,-E10)</f>
        <v>27957.848216544564</v>
      </c>
    </row>
    <row r="5" spans="1:14" ht="17" customHeight="1" x14ac:dyDescent="0.3">
      <c r="A5" s="71"/>
      <c r="C5" s="73" t="s">
        <v>2662</v>
      </c>
      <c r="D5" s="73"/>
      <c r="E5" s="20">
        <f>_xlfn.XLOOKUP($A$6, 'Clean Data'!$A:$A,'Clean Data'!C:C)</f>
        <v>22</v>
      </c>
      <c r="H5" s="77" t="s">
        <v>2664</v>
      </c>
      <c r="I5" s="77"/>
      <c r="J5" s="22">
        <f>E11*J4</f>
        <v>3354941.7859853478</v>
      </c>
    </row>
    <row r="6" spans="1:14" ht="14.5" customHeight="1" x14ac:dyDescent="0.3">
      <c r="A6" s="75" t="s">
        <v>87</v>
      </c>
      <c r="C6" s="74" t="s">
        <v>2663</v>
      </c>
      <c r="D6" s="74"/>
      <c r="E6" s="16" t="str">
        <f>_xlfn.XLOOKUP($A$6, 'Clean Data'!$A:$A,'Clean Data'!K:K)</f>
        <v>Purulia</v>
      </c>
      <c r="H6" s="78" t="s">
        <v>2665</v>
      </c>
      <c r="I6" s="78"/>
      <c r="J6" s="18">
        <f>(J5-E10)</f>
        <v>1444941.7859853478</v>
      </c>
    </row>
    <row r="7" spans="1:14" ht="17.5" customHeight="1" x14ac:dyDescent="0.3">
      <c r="A7" s="75"/>
      <c r="C7" s="73" t="s">
        <v>2651</v>
      </c>
      <c r="D7" s="73"/>
      <c r="E7" s="20">
        <f>_xlfn.XLOOKUP($A$6, 'Clean Data'!$A:$A,'Clean Data'!L:L)</f>
        <v>635</v>
      </c>
      <c r="H7" s="77" t="s">
        <v>2667</v>
      </c>
      <c r="I7" s="77"/>
      <c r="J7" s="23">
        <f>EDATE(E12,1)</f>
        <v>43264</v>
      </c>
    </row>
    <row r="8" spans="1:14" ht="16" customHeight="1" x14ac:dyDescent="0.3">
      <c r="A8" s="11"/>
      <c r="C8" s="74" t="s">
        <v>2587</v>
      </c>
      <c r="D8" s="74"/>
      <c r="E8" s="16" t="str">
        <f>_xlfn.XLOOKUP($A$6, 'Clean Data'!$A:$A,'Clean Data'!D:D)</f>
        <v>Education loan</v>
      </c>
      <c r="H8" s="78" t="s">
        <v>2668</v>
      </c>
      <c r="I8" s="78"/>
      <c r="J8" s="19">
        <f>EDATE(E12,E11)</f>
        <v>46886</v>
      </c>
    </row>
    <row r="9" spans="1:14" ht="15.5" x14ac:dyDescent="0.3">
      <c r="C9" s="73" t="s">
        <v>2658</v>
      </c>
      <c r="D9" s="73"/>
      <c r="E9" s="21">
        <f>_xlfn.XLOOKUP($A$6, 'Clean Data'!$A:$A, 'Clean Data'!F:F)</f>
        <v>0.125</v>
      </c>
      <c r="H9" s="79"/>
      <c r="I9" s="79"/>
      <c r="J9" s="24"/>
    </row>
    <row r="10" spans="1:14" ht="15.5" x14ac:dyDescent="0.3">
      <c r="C10" s="74" t="s">
        <v>2588</v>
      </c>
      <c r="D10" s="74"/>
      <c r="E10" s="16">
        <f>_xlfn.XLOOKUP($A$6, 'Clean Data'!$A:$A,'Clean Data'!E:E)</f>
        <v>1910000</v>
      </c>
      <c r="H10" s="80"/>
      <c r="I10" s="80"/>
      <c r="J10" s="14"/>
    </row>
    <row r="11" spans="1:14" ht="15.5" x14ac:dyDescent="0.3">
      <c r="C11" s="73" t="s">
        <v>2659</v>
      </c>
      <c r="D11" s="73"/>
      <c r="E11" s="20">
        <f>_xlfn.XLOOKUP($A$6, 'Clean Data'!$A:$A,'Clean Data'!G:G)</f>
        <v>120</v>
      </c>
      <c r="H11" s="13"/>
      <c r="I11" s="13"/>
      <c r="J11" s="14"/>
    </row>
    <row r="12" spans="1:14" ht="15.5" x14ac:dyDescent="0.3">
      <c r="C12" s="74" t="s">
        <v>2660</v>
      </c>
      <c r="D12" s="74"/>
      <c r="E12" s="16" t="str">
        <f>_xlfn.XLOOKUP($A$6, 'Clean Data'!$A:$A,'Clean Data'!H:H)</f>
        <v>13-05-2018</v>
      </c>
      <c r="H12" s="13"/>
      <c r="I12" s="13"/>
      <c r="J12" s="14"/>
    </row>
    <row r="13" spans="1:14" ht="15.5" x14ac:dyDescent="0.3">
      <c r="C13" s="73" t="s">
        <v>2590</v>
      </c>
      <c r="D13" s="73"/>
      <c r="E13" s="20"/>
      <c r="J13" s="14"/>
    </row>
    <row r="14" spans="1:14" ht="14.5" thickBot="1" x14ac:dyDescent="0.35">
      <c r="C14" s="10"/>
      <c r="D14" s="10"/>
      <c r="E14" s="10"/>
    </row>
    <row r="15" spans="1:14" ht="30" customHeight="1" thickTop="1" thickBot="1" x14ac:dyDescent="0.35">
      <c r="C15" s="70" t="s">
        <v>2652</v>
      </c>
      <c r="D15" s="70"/>
      <c r="E15" s="70"/>
      <c r="F15" s="70"/>
      <c r="G15" s="70"/>
      <c r="H15" s="70"/>
      <c r="I15" s="70"/>
      <c r="J15" s="70"/>
    </row>
    <row r="16" spans="1:14" ht="36.5" customHeight="1" thickTop="1" thickBot="1" x14ac:dyDescent="0.35">
      <c r="C16" s="25" t="s">
        <v>2653</v>
      </c>
      <c r="D16" s="25" t="s">
        <v>2654</v>
      </c>
      <c r="E16" s="25" t="s">
        <v>2655</v>
      </c>
      <c r="F16" s="26" t="s">
        <v>1</v>
      </c>
      <c r="G16" s="26" t="s">
        <v>2669</v>
      </c>
      <c r="H16" s="26" t="s">
        <v>2670</v>
      </c>
      <c r="I16" s="25" t="s">
        <v>2656</v>
      </c>
      <c r="J16" s="25" t="s">
        <v>2657</v>
      </c>
    </row>
    <row r="17" spans="3:10" ht="14.5" thickTop="1" x14ac:dyDescent="0.3">
      <c r="C17" s="1" cm="1">
        <f t="array" ref="C17:C136">_xlfn.SEQUENCE(E11)</f>
        <v>1</v>
      </c>
      <c r="D17" s="12">
        <f>EDATE($E$12,1)</f>
        <v>43264</v>
      </c>
      <c r="E17" s="8">
        <f>($E$10)</f>
        <v>1910000</v>
      </c>
      <c r="F17" s="8">
        <f>-PMT($E$9/12,$E$11-C17+1,IF(C17=1,$E$10,I16))</f>
        <v>27957.848216544564</v>
      </c>
      <c r="G17" s="8">
        <f>F17-H17</f>
        <v>19895.833333333336</v>
      </c>
      <c r="H17" s="8">
        <f>-PPMT($E$9/12,1,$E$11-C17+1,IF(C17=1,$E$10,I16))</f>
        <v>8062.0148832112291</v>
      </c>
      <c r="I17" s="8">
        <f>$E$10-SUM($H$17:H17)</f>
        <v>1901937.9851167889</v>
      </c>
      <c r="J17" s="8">
        <f>SUM($G$17:G17)</f>
        <v>19895.833333333336</v>
      </c>
    </row>
    <row r="18" spans="3:10" x14ac:dyDescent="0.3">
      <c r="C18" s="1">
        <v>2</v>
      </c>
      <c r="D18" s="12">
        <f t="shared" ref="D18:D81" si="0">EDATE(D17,1)</f>
        <v>43294</v>
      </c>
      <c r="E18" s="8">
        <f t="shared" ref="E18:E28" si="1">I17</f>
        <v>1901937.9851167889</v>
      </c>
      <c r="F18" s="8">
        <f t="shared" ref="F18:F81" si="2">-PMT($E$9/12,$E$11-C18+1,IF(C18=1,$E$10,I17))</f>
        <v>27957.848216544564</v>
      </c>
      <c r="G18" s="8">
        <f t="shared" ref="G18:G81" si="3">F18-H18</f>
        <v>19811.854011633219</v>
      </c>
      <c r="H18" s="8">
        <f t="shared" ref="H18:H81" si="4">-PPMT($E$9/12,1,$E$11-C18+1,IF(C18=1,$E$10,I17))</f>
        <v>8145.9942049113461</v>
      </c>
      <c r="I18" s="8">
        <f>$E$10-SUM($H$17:H18)</f>
        <v>1893791.9909118775</v>
      </c>
      <c r="J18" s="8">
        <f>SUM($G$17:G18)</f>
        <v>39707.687344966558</v>
      </c>
    </row>
    <row r="19" spans="3:10" x14ac:dyDescent="0.3">
      <c r="C19" s="1">
        <v>3</v>
      </c>
      <c r="D19" s="12">
        <f t="shared" si="0"/>
        <v>43325</v>
      </c>
      <c r="E19" s="8">
        <f t="shared" si="1"/>
        <v>1893791.9909118775</v>
      </c>
      <c r="F19" s="8">
        <f t="shared" si="2"/>
        <v>27957.84821654456</v>
      </c>
      <c r="G19" s="8">
        <f t="shared" si="3"/>
        <v>19726.999905332057</v>
      </c>
      <c r="H19" s="8">
        <f t="shared" si="4"/>
        <v>8230.8483112125032</v>
      </c>
      <c r="I19" s="8">
        <f>$E$10-SUM($H$17:H19)</f>
        <v>1885561.1426006649</v>
      </c>
      <c r="J19" s="8">
        <f>SUM($G$17:G19)</f>
        <v>59434.687250298615</v>
      </c>
    </row>
    <row r="20" spans="3:10" x14ac:dyDescent="0.3">
      <c r="C20" s="1">
        <v>4</v>
      </c>
      <c r="D20" s="12">
        <f t="shared" si="0"/>
        <v>43356</v>
      </c>
      <c r="E20" s="8">
        <f t="shared" si="1"/>
        <v>1885561.1426006649</v>
      </c>
      <c r="F20" s="8">
        <f t="shared" si="2"/>
        <v>27957.84821654456</v>
      </c>
      <c r="G20" s="8">
        <f t="shared" si="3"/>
        <v>19641.26190209026</v>
      </c>
      <c r="H20" s="8">
        <f t="shared" si="4"/>
        <v>8316.5863144543</v>
      </c>
      <c r="I20" s="8">
        <f>$E$10-SUM($H$17:H20)</f>
        <v>1877244.5562862107</v>
      </c>
      <c r="J20" s="8">
        <f>SUM($G$17:G20)</f>
        <v>79075.949152388872</v>
      </c>
    </row>
    <row r="21" spans="3:10" x14ac:dyDescent="0.3">
      <c r="C21" s="1">
        <v>5</v>
      </c>
      <c r="D21" s="12">
        <f t="shared" si="0"/>
        <v>43386</v>
      </c>
      <c r="E21" s="8">
        <f t="shared" si="1"/>
        <v>1877244.5562862107</v>
      </c>
      <c r="F21" s="8">
        <f t="shared" si="2"/>
        <v>27957.848216544564</v>
      </c>
      <c r="G21" s="8">
        <f t="shared" si="3"/>
        <v>19554.63079464803</v>
      </c>
      <c r="H21" s="8">
        <f t="shared" si="4"/>
        <v>8403.2174218965338</v>
      </c>
      <c r="I21" s="8">
        <f>$E$10-SUM($H$17:H21)</f>
        <v>1868841.3388643141</v>
      </c>
      <c r="J21" s="8">
        <f>SUM($G$17:G21)</f>
        <v>98630.579947036895</v>
      </c>
    </row>
    <row r="22" spans="3:10" x14ac:dyDescent="0.3">
      <c r="C22" s="1">
        <v>6</v>
      </c>
      <c r="D22" s="12">
        <f t="shared" si="0"/>
        <v>43417</v>
      </c>
      <c r="E22" s="8">
        <f t="shared" si="1"/>
        <v>1868841.3388643141</v>
      </c>
      <c r="F22" s="8">
        <f t="shared" si="2"/>
        <v>27957.84821654456</v>
      </c>
      <c r="G22" s="8">
        <f t="shared" si="3"/>
        <v>19467.097279836606</v>
      </c>
      <c r="H22" s="8">
        <f t="shared" si="4"/>
        <v>8490.7509367079547</v>
      </c>
      <c r="I22" s="8">
        <f>$E$10-SUM($H$17:H22)</f>
        <v>1860350.5879276062</v>
      </c>
      <c r="J22" s="8">
        <f>SUM($G$17:G22)</f>
        <v>118097.67722687349</v>
      </c>
    </row>
    <row r="23" spans="3:10" x14ac:dyDescent="0.3">
      <c r="C23" s="1">
        <v>7</v>
      </c>
      <c r="D23" s="12">
        <f t="shared" si="0"/>
        <v>43447</v>
      </c>
      <c r="E23" s="8">
        <f t="shared" si="1"/>
        <v>1860350.5879276062</v>
      </c>
      <c r="F23" s="8">
        <f t="shared" si="2"/>
        <v>27957.848216544564</v>
      </c>
      <c r="G23" s="8">
        <f t="shared" si="3"/>
        <v>19378.651957579234</v>
      </c>
      <c r="H23" s="8">
        <f t="shared" si="4"/>
        <v>8579.1962589653303</v>
      </c>
      <c r="I23" s="8">
        <f>$E$10-SUM($H$17:H23)</f>
        <v>1851771.3916686408</v>
      </c>
      <c r="J23" s="8">
        <f>SUM($G$17:G23)</f>
        <v>137476.32918445271</v>
      </c>
    </row>
    <row r="24" spans="3:10" x14ac:dyDescent="0.3">
      <c r="C24" s="1">
        <v>8</v>
      </c>
      <c r="D24" s="12">
        <f t="shared" si="0"/>
        <v>43478</v>
      </c>
      <c r="E24" s="8">
        <f t="shared" si="1"/>
        <v>1851771.3916686408</v>
      </c>
      <c r="F24" s="8">
        <f t="shared" si="2"/>
        <v>27957.84821654456</v>
      </c>
      <c r="G24" s="8">
        <f t="shared" si="3"/>
        <v>19289.285329881677</v>
      </c>
      <c r="H24" s="8">
        <f t="shared" si="4"/>
        <v>8668.5628866628849</v>
      </c>
      <c r="I24" s="8">
        <f>$E$10-SUM($H$17:H24)</f>
        <v>1843102.828781978</v>
      </c>
      <c r="J24" s="8">
        <f>SUM($G$17:G24)</f>
        <v>156765.61451433439</v>
      </c>
    </row>
    <row r="25" spans="3:10" x14ac:dyDescent="0.3">
      <c r="C25" s="1">
        <v>9</v>
      </c>
      <c r="D25" s="12">
        <f t="shared" si="0"/>
        <v>43509</v>
      </c>
      <c r="E25" s="8">
        <f t="shared" si="1"/>
        <v>1843102.828781978</v>
      </c>
      <c r="F25" s="8">
        <f t="shared" si="2"/>
        <v>27957.84821654456</v>
      </c>
      <c r="G25" s="8">
        <f t="shared" si="3"/>
        <v>19198.987799812272</v>
      </c>
      <c r="H25" s="8">
        <f t="shared" si="4"/>
        <v>8758.8604167322883</v>
      </c>
      <c r="I25" s="8">
        <f>$E$10-SUM($H$17:H25)</f>
        <v>1834343.9683652457</v>
      </c>
      <c r="J25" s="8">
        <f>SUM($G$17:G25)</f>
        <v>175964.60231414667</v>
      </c>
    </row>
    <row r="26" spans="3:10" x14ac:dyDescent="0.3">
      <c r="C26" s="1">
        <v>10</v>
      </c>
      <c r="D26" s="12">
        <f t="shared" si="0"/>
        <v>43537</v>
      </c>
      <c r="E26" s="8">
        <f t="shared" si="1"/>
        <v>1834343.9683652457</v>
      </c>
      <c r="F26" s="8">
        <f t="shared" si="2"/>
        <v>27957.848216544564</v>
      </c>
      <c r="G26" s="8">
        <f t="shared" si="3"/>
        <v>19107.749670471312</v>
      </c>
      <c r="H26" s="8">
        <f t="shared" si="4"/>
        <v>8850.0985460732518</v>
      </c>
      <c r="I26" s="8">
        <f>$E$10-SUM($H$17:H26)</f>
        <v>1825493.8698191724</v>
      </c>
      <c r="J26" s="8">
        <f>SUM($G$17:G26)</f>
        <v>195072.351984618</v>
      </c>
    </row>
    <row r="27" spans="3:10" x14ac:dyDescent="0.3">
      <c r="C27" s="1">
        <v>11</v>
      </c>
      <c r="D27" s="12">
        <f t="shared" si="0"/>
        <v>43568</v>
      </c>
      <c r="E27" s="8">
        <f t="shared" si="1"/>
        <v>1825493.8698191724</v>
      </c>
      <c r="F27" s="8">
        <f t="shared" si="2"/>
        <v>27957.84821654456</v>
      </c>
      <c r="G27" s="8">
        <f t="shared" si="3"/>
        <v>19015.561143949715</v>
      </c>
      <c r="H27" s="8">
        <f t="shared" si="4"/>
        <v>8942.2870725948469</v>
      </c>
      <c r="I27" s="8">
        <f>$E$10-SUM($H$17:H27)</f>
        <v>1816551.5827465774</v>
      </c>
      <c r="J27" s="8">
        <f>SUM($G$17:G27)</f>
        <v>214087.91312856771</v>
      </c>
    </row>
    <row r="28" spans="3:10" x14ac:dyDescent="0.3">
      <c r="C28" s="1">
        <v>12</v>
      </c>
      <c r="D28" s="12">
        <f t="shared" si="0"/>
        <v>43598</v>
      </c>
      <c r="E28" s="8">
        <f t="shared" si="1"/>
        <v>1816551.5827465774</v>
      </c>
      <c r="F28" s="8">
        <f t="shared" si="2"/>
        <v>27957.84821654456</v>
      </c>
      <c r="G28" s="8">
        <f t="shared" si="3"/>
        <v>18922.41232027685</v>
      </c>
      <c r="H28" s="8">
        <f t="shared" si="4"/>
        <v>9035.4358962677106</v>
      </c>
      <c r="I28" s="8">
        <f>$E$10-SUM($H$17:H28)</f>
        <v>1807516.1468503098</v>
      </c>
      <c r="J28" s="8">
        <f>SUM($G$17:G28)</f>
        <v>233010.32544884455</v>
      </c>
    </row>
    <row r="29" spans="3:10" x14ac:dyDescent="0.3">
      <c r="C29" s="1">
        <v>13</v>
      </c>
      <c r="D29" s="12">
        <f t="shared" si="0"/>
        <v>43629</v>
      </c>
      <c r="E29" s="8">
        <f t="shared" ref="E29:E44" si="5">I28</f>
        <v>1807516.1468503098</v>
      </c>
      <c r="F29" s="8">
        <f t="shared" si="2"/>
        <v>27957.84821654456</v>
      </c>
      <c r="G29" s="8">
        <f t="shared" si="3"/>
        <v>18828.293196357394</v>
      </c>
      <c r="H29" s="8">
        <f t="shared" si="4"/>
        <v>9129.5550201871665</v>
      </c>
      <c r="I29" s="8">
        <f>$E$10-SUM($H$17:H29)</f>
        <v>1798386.5918301228</v>
      </c>
      <c r="J29" s="8">
        <f>SUM($G$17:G29)</f>
        <v>251838.61864520196</v>
      </c>
    </row>
    <row r="30" spans="3:10" x14ac:dyDescent="0.3">
      <c r="C30" s="1">
        <v>14</v>
      </c>
      <c r="D30" s="12">
        <f t="shared" si="0"/>
        <v>43659</v>
      </c>
      <c r="E30" s="8">
        <f t="shared" si="5"/>
        <v>1798386.5918301228</v>
      </c>
      <c r="F30" s="8">
        <f t="shared" si="2"/>
        <v>27957.848216544564</v>
      </c>
      <c r="G30" s="8">
        <f t="shared" si="3"/>
        <v>18733.19366489711</v>
      </c>
      <c r="H30" s="8">
        <f t="shared" si="4"/>
        <v>9224.6545516474525</v>
      </c>
      <c r="I30" s="8">
        <f>$E$10-SUM($H$17:H30)</f>
        <v>1789161.9372784751</v>
      </c>
      <c r="J30" s="8">
        <f>SUM($G$17:G30)</f>
        <v>270571.81231009908</v>
      </c>
    </row>
    <row r="31" spans="3:10" x14ac:dyDescent="0.3">
      <c r="C31" s="1">
        <v>15</v>
      </c>
      <c r="D31" s="12">
        <f t="shared" si="0"/>
        <v>43690</v>
      </c>
      <c r="E31" s="8">
        <f t="shared" si="5"/>
        <v>1789161.9372784751</v>
      </c>
      <c r="F31" s="8">
        <f t="shared" si="2"/>
        <v>27957.84821654456</v>
      </c>
      <c r="G31" s="8">
        <f t="shared" si="3"/>
        <v>18637.103513317452</v>
      </c>
      <c r="H31" s="8">
        <f t="shared" si="4"/>
        <v>9320.7447032271102</v>
      </c>
      <c r="I31" s="8">
        <f>$E$10-SUM($H$17:H31)</f>
        <v>1779841.1925752482</v>
      </c>
      <c r="J31" s="8">
        <f>SUM($G$17:G31)</f>
        <v>289208.91582341655</v>
      </c>
    </row>
    <row r="32" spans="3:10" x14ac:dyDescent="0.3">
      <c r="C32" s="1">
        <v>16</v>
      </c>
      <c r="D32" s="12">
        <f t="shared" si="0"/>
        <v>43721</v>
      </c>
      <c r="E32" s="8">
        <f t="shared" si="5"/>
        <v>1779841.1925752482</v>
      </c>
      <c r="F32" s="8">
        <f t="shared" si="2"/>
        <v>27957.84821654456</v>
      </c>
      <c r="G32" s="8">
        <f t="shared" si="3"/>
        <v>18540.012422658834</v>
      </c>
      <c r="H32" s="8">
        <f t="shared" si="4"/>
        <v>9417.8357938857262</v>
      </c>
      <c r="I32" s="8">
        <f>$E$10-SUM($H$17:H32)</f>
        <v>1770423.3567813623</v>
      </c>
      <c r="J32" s="8">
        <f>SUM($G$17:G32)</f>
        <v>307748.9282460754</v>
      </c>
    </row>
    <row r="33" spans="3:10" x14ac:dyDescent="0.3">
      <c r="C33" s="1">
        <v>17</v>
      </c>
      <c r="D33" s="12">
        <f t="shared" si="0"/>
        <v>43751</v>
      </c>
      <c r="E33" s="8">
        <f t="shared" si="5"/>
        <v>1770423.3567813623</v>
      </c>
      <c r="F33" s="8">
        <f t="shared" si="2"/>
        <v>27957.84821654456</v>
      </c>
      <c r="G33" s="8">
        <f t="shared" si="3"/>
        <v>18441.909966472522</v>
      </c>
      <c r="H33" s="8">
        <f t="shared" si="4"/>
        <v>9515.9382500720367</v>
      </c>
      <c r="I33" s="8">
        <f>$E$10-SUM($H$17:H33)</f>
        <v>1760907.4185312903</v>
      </c>
      <c r="J33" s="8">
        <f>SUM($G$17:G33)</f>
        <v>326190.83821254794</v>
      </c>
    </row>
    <row r="34" spans="3:10" x14ac:dyDescent="0.3">
      <c r="C34" s="1">
        <v>18</v>
      </c>
      <c r="D34" s="12">
        <f t="shared" si="0"/>
        <v>43782</v>
      </c>
      <c r="E34" s="8">
        <f t="shared" si="5"/>
        <v>1760907.4185312903</v>
      </c>
      <c r="F34" s="8">
        <f t="shared" si="2"/>
        <v>27957.84821654456</v>
      </c>
      <c r="G34" s="8">
        <f t="shared" si="3"/>
        <v>18342.785609700943</v>
      </c>
      <c r="H34" s="8">
        <f t="shared" si="4"/>
        <v>9615.0626068436195</v>
      </c>
      <c r="I34" s="8">
        <f>$E$10-SUM($H$17:H34)</f>
        <v>1751292.3559244466</v>
      </c>
      <c r="J34" s="8">
        <f>SUM($G$17:G34)</f>
        <v>344533.62382224889</v>
      </c>
    </row>
    <row r="35" spans="3:10" x14ac:dyDescent="0.3">
      <c r="C35" s="1">
        <v>19</v>
      </c>
      <c r="D35" s="12">
        <f t="shared" si="0"/>
        <v>43812</v>
      </c>
      <c r="E35" s="8">
        <f t="shared" si="5"/>
        <v>1751292.3559244466</v>
      </c>
      <c r="F35" s="8">
        <f t="shared" si="2"/>
        <v>27957.84821654456</v>
      </c>
      <c r="G35" s="8">
        <f t="shared" si="3"/>
        <v>18242.628707546319</v>
      </c>
      <c r="H35" s="8">
        <f t="shared" si="4"/>
        <v>9715.2195089982415</v>
      </c>
      <c r="I35" s="8">
        <f>$E$10-SUM($H$17:H35)</f>
        <v>1741577.1364154485</v>
      </c>
      <c r="J35" s="8">
        <f>SUM($G$17:G35)</f>
        <v>362776.25252979522</v>
      </c>
    </row>
    <row r="36" spans="3:10" x14ac:dyDescent="0.3">
      <c r="C36" s="1">
        <v>20</v>
      </c>
      <c r="D36" s="12">
        <f t="shared" si="0"/>
        <v>43843</v>
      </c>
      <c r="E36" s="8">
        <f t="shared" si="5"/>
        <v>1741577.1364154485</v>
      </c>
      <c r="F36" s="8">
        <f t="shared" si="2"/>
        <v>27957.84821654456</v>
      </c>
      <c r="G36" s="8">
        <f t="shared" si="3"/>
        <v>18141.428504327589</v>
      </c>
      <c r="H36" s="8">
        <f t="shared" si="4"/>
        <v>9816.4197122169717</v>
      </c>
      <c r="I36" s="8">
        <f>$E$10-SUM($H$17:H36)</f>
        <v>1731760.7167032314</v>
      </c>
      <c r="J36" s="8">
        <f>SUM($G$17:G36)</f>
        <v>380917.68103412283</v>
      </c>
    </row>
    <row r="37" spans="3:10" x14ac:dyDescent="0.3">
      <c r="C37" s="1">
        <v>21</v>
      </c>
      <c r="D37" s="12">
        <f t="shared" si="0"/>
        <v>43874</v>
      </c>
      <c r="E37" s="8">
        <f t="shared" si="5"/>
        <v>1731760.7167032314</v>
      </c>
      <c r="F37" s="8">
        <f t="shared" si="2"/>
        <v>27957.848216544553</v>
      </c>
      <c r="G37" s="8">
        <f t="shared" si="3"/>
        <v>18039.174132325323</v>
      </c>
      <c r="H37" s="8">
        <f t="shared" si="4"/>
        <v>9918.6740842192303</v>
      </c>
      <c r="I37" s="8">
        <f>$E$10-SUM($H$17:H37)</f>
        <v>1721842.0426190123</v>
      </c>
      <c r="J37" s="8">
        <f>SUM($G$17:G37)</f>
        <v>398956.85516644816</v>
      </c>
    </row>
    <row r="38" spans="3:10" x14ac:dyDescent="0.3">
      <c r="C38" s="1">
        <v>22</v>
      </c>
      <c r="D38" s="12">
        <f t="shared" si="0"/>
        <v>43903</v>
      </c>
      <c r="E38" s="8">
        <f t="shared" si="5"/>
        <v>1721842.0426190123</v>
      </c>
      <c r="F38" s="8">
        <f t="shared" si="2"/>
        <v>27957.848216544564</v>
      </c>
      <c r="G38" s="8">
        <f t="shared" si="3"/>
        <v>17935.854610614711</v>
      </c>
      <c r="H38" s="8">
        <f t="shared" si="4"/>
        <v>10021.993605929852</v>
      </c>
      <c r="I38" s="8">
        <f>$E$10-SUM($H$17:H38)</f>
        <v>1711820.0490130824</v>
      </c>
      <c r="J38" s="8">
        <f>SUM($G$17:G38)</f>
        <v>416892.70977706288</v>
      </c>
    </row>
    <row r="39" spans="3:10" x14ac:dyDescent="0.3">
      <c r="C39" s="1">
        <v>23</v>
      </c>
      <c r="D39" s="12">
        <f t="shared" si="0"/>
        <v>43934</v>
      </c>
      <c r="E39" s="8">
        <f t="shared" si="5"/>
        <v>1711820.0490130824</v>
      </c>
      <c r="F39" s="8">
        <f t="shared" si="2"/>
        <v>27957.84821654456</v>
      </c>
      <c r="G39" s="8">
        <f t="shared" si="3"/>
        <v>17831.458843886277</v>
      </c>
      <c r="H39" s="8">
        <f t="shared" si="4"/>
        <v>10126.389372658285</v>
      </c>
      <c r="I39" s="8">
        <f>$E$10-SUM($H$17:H39)</f>
        <v>1701693.6596404242</v>
      </c>
      <c r="J39" s="8">
        <f>SUM($G$17:G39)</f>
        <v>434724.16862094915</v>
      </c>
    </row>
    <row r="40" spans="3:10" x14ac:dyDescent="0.3">
      <c r="C40" s="1">
        <v>24</v>
      </c>
      <c r="D40" s="12">
        <f t="shared" si="0"/>
        <v>43964</v>
      </c>
      <c r="E40" s="8">
        <f t="shared" si="5"/>
        <v>1701693.6596404242</v>
      </c>
      <c r="F40" s="8">
        <f t="shared" si="2"/>
        <v>27957.84821654456</v>
      </c>
      <c r="G40" s="8">
        <f t="shared" si="3"/>
        <v>17725.975621254416</v>
      </c>
      <c r="H40" s="8">
        <f t="shared" si="4"/>
        <v>10231.872595290144</v>
      </c>
      <c r="I40" s="8">
        <f>$E$10-SUM($H$17:H40)</f>
        <v>1691461.787045134</v>
      </c>
      <c r="J40" s="8">
        <f>SUM($G$17:G40)</f>
        <v>452450.14424220356</v>
      </c>
    </row>
    <row r="41" spans="3:10" x14ac:dyDescent="0.3">
      <c r="C41" s="1">
        <v>25</v>
      </c>
      <c r="D41" s="12">
        <f t="shared" si="0"/>
        <v>43995</v>
      </c>
      <c r="E41" s="8">
        <f t="shared" si="5"/>
        <v>1691461.787045134</v>
      </c>
      <c r="F41" s="8">
        <f t="shared" si="2"/>
        <v>27957.84821654456</v>
      </c>
      <c r="G41" s="8">
        <f t="shared" si="3"/>
        <v>17619.393615053479</v>
      </c>
      <c r="H41" s="8">
        <f t="shared" si="4"/>
        <v>10338.454601491081</v>
      </c>
      <c r="I41" s="8">
        <f>$E$10-SUM($H$17:H41)</f>
        <v>1681123.3324436429</v>
      </c>
      <c r="J41" s="8">
        <f>SUM($G$17:G41)</f>
        <v>470069.53785725706</v>
      </c>
    </row>
    <row r="42" spans="3:10" x14ac:dyDescent="0.3">
      <c r="C42" s="1">
        <v>26</v>
      </c>
      <c r="D42" s="12">
        <f t="shared" si="0"/>
        <v>44025</v>
      </c>
      <c r="E42" s="8">
        <f t="shared" si="5"/>
        <v>1681123.3324436429</v>
      </c>
      <c r="F42" s="8">
        <f t="shared" si="2"/>
        <v>27957.84821654456</v>
      </c>
      <c r="G42" s="8">
        <f t="shared" si="3"/>
        <v>17511.701379621281</v>
      </c>
      <c r="H42" s="8">
        <f t="shared" si="4"/>
        <v>10446.146836923279</v>
      </c>
      <c r="I42" s="8">
        <f>$E$10-SUM($H$17:H42)</f>
        <v>1670677.1856067195</v>
      </c>
      <c r="J42" s="8">
        <f>SUM($G$17:G42)</f>
        <v>487581.23923687835</v>
      </c>
    </row>
    <row r="43" spans="3:10" x14ac:dyDescent="0.3">
      <c r="C43" s="1">
        <v>27</v>
      </c>
      <c r="D43" s="12">
        <f t="shared" si="0"/>
        <v>44056</v>
      </c>
      <c r="E43" s="8">
        <f t="shared" si="5"/>
        <v>1670677.1856067195</v>
      </c>
      <c r="F43" s="8">
        <f t="shared" si="2"/>
        <v>27957.84821654456</v>
      </c>
      <c r="G43" s="8">
        <f t="shared" si="3"/>
        <v>17402.887350069996</v>
      </c>
      <c r="H43" s="8">
        <f t="shared" si="4"/>
        <v>10554.960866474565</v>
      </c>
      <c r="I43" s="8">
        <f>$E$10-SUM($H$17:H43)</f>
        <v>1660122.2247402449</v>
      </c>
      <c r="J43" s="8">
        <f>SUM($G$17:G43)</f>
        <v>504984.12658694835</v>
      </c>
    </row>
    <row r="44" spans="3:10" x14ac:dyDescent="0.3">
      <c r="C44" s="1">
        <v>28</v>
      </c>
      <c r="D44" s="12">
        <f t="shared" si="0"/>
        <v>44087</v>
      </c>
      <c r="E44" s="8">
        <f t="shared" si="5"/>
        <v>1660122.2247402449</v>
      </c>
      <c r="F44" s="8">
        <f t="shared" si="2"/>
        <v>27957.84821654456</v>
      </c>
      <c r="G44" s="8">
        <f t="shared" si="3"/>
        <v>17292.939841044219</v>
      </c>
      <c r="H44" s="8">
        <f t="shared" si="4"/>
        <v>10664.908375500341</v>
      </c>
      <c r="I44" s="8">
        <f>$E$10-SUM($H$17:H44)</f>
        <v>1649457.3163647447</v>
      </c>
      <c r="J44" s="8">
        <f>SUM($G$17:G44)</f>
        <v>522277.06642799254</v>
      </c>
    </row>
    <row r="45" spans="3:10" x14ac:dyDescent="0.3">
      <c r="C45" s="1">
        <v>29</v>
      </c>
      <c r="D45" s="12">
        <f t="shared" si="0"/>
        <v>44117</v>
      </c>
      <c r="E45" s="8">
        <f t="shared" ref="E45:E66" si="6">I44</f>
        <v>1649457.3163647447</v>
      </c>
      <c r="F45" s="8">
        <f t="shared" si="2"/>
        <v>27957.848216544553</v>
      </c>
      <c r="G45" s="8">
        <f t="shared" si="3"/>
        <v>17181.847045466086</v>
      </c>
      <c r="H45" s="8">
        <f t="shared" si="4"/>
        <v>10776.001171078467</v>
      </c>
      <c r="I45" s="8">
        <f>$E$10-SUM($H$17:H45)</f>
        <v>1638681.3151936661</v>
      </c>
      <c r="J45" s="8">
        <f>SUM($G$17:G45)</f>
        <v>539458.91347345861</v>
      </c>
    </row>
    <row r="46" spans="3:10" x14ac:dyDescent="0.3">
      <c r="C46" s="1">
        <v>30</v>
      </c>
      <c r="D46" s="12">
        <f t="shared" si="0"/>
        <v>44148</v>
      </c>
      <c r="E46" s="8">
        <f t="shared" si="6"/>
        <v>1638681.3151936661</v>
      </c>
      <c r="F46" s="8">
        <f t="shared" si="2"/>
        <v>27957.84821654456</v>
      </c>
      <c r="G46" s="8">
        <f t="shared" si="3"/>
        <v>17069.597033267357</v>
      </c>
      <c r="H46" s="8">
        <f t="shared" si="4"/>
        <v>10888.251183277203</v>
      </c>
      <c r="I46" s="8">
        <f>$E$10-SUM($H$17:H46)</f>
        <v>1627793.0640103889</v>
      </c>
      <c r="J46" s="8">
        <f>SUM($G$17:G46)</f>
        <v>556528.51050672599</v>
      </c>
    </row>
    <row r="47" spans="3:10" x14ac:dyDescent="0.3">
      <c r="C47" s="1">
        <v>31</v>
      </c>
      <c r="D47" s="12">
        <f t="shared" si="0"/>
        <v>44178</v>
      </c>
      <c r="E47" s="8">
        <f t="shared" si="6"/>
        <v>1627793.0640103889</v>
      </c>
      <c r="F47" s="8">
        <f t="shared" si="2"/>
        <v>27957.848216544553</v>
      </c>
      <c r="G47" s="8">
        <f t="shared" si="3"/>
        <v>16956.177750108214</v>
      </c>
      <c r="H47" s="8">
        <f t="shared" si="4"/>
        <v>11001.670466436339</v>
      </c>
      <c r="I47" s="8">
        <f>$E$10-SUM($H$17:H47)</f>
        <v>1616791.3935439526</v>
      </c>
      <c r="J47" s="8">
        <f>SUM($G$17:G47)</f>
        <v>573484.68825683417</v>
      </c>
    </row>
    <row r="48" spans="3:10" x14ac:dyDescent="0.3">
      <c r="C48" s="1">
        <v>32</v>
      </c>
      <c r="D48" s="12">
        <f t="shared" si="0"/>
        <v>44209</v>
      </c>
      <c r="E48" s="8">
        <f t="shared" si="6"/>
        <v>1616791.3935439526</v>
      </c>
      <c r="F48" s="8">
        <f t="shared" si="2"/>
        <v>27957.84821654456</v>
      </c>
      <c r="G48" s="8">
        <f t="shared" si="3"/>
        <v>16841.57701608284</v>
      </c>
      <c r="H48" s="8">
        <f t="shared" si="4"/>
        <v>11116.271200461721</v>
      </c>
      <c r="I48" s="8">
        <f>$E$10-SUM($H$17:H48)</f>
        <v>1605675.1223434908</v>
      </c>
      <c r="J48" s="8">
        <f>SUM($G$17:G48)</f>
        <v>590326.26527291699</v>
      </c>
    </row>
    <row r="49" spans="3:10" x14ac:dyDescent="0.3">
      <c r="C49" s="1">
        <v>33</v>
      </c>
      <c r="D49" s="12">
        <f t="shared" si="0"/>
        <v>44240</v>
      </c>
      <c r="E49" s="8">
        <f t="shared" si="6"/>
        <v>1605675.1223434908</v>
      </c>
      <c r="F49" s="8">
        <f t="shared" si="2"/>
        <v>27957.84821654456</v>
      </c>
      <c r="G49" s="8">
        <f t="shared" si="3"/>
        <v>16725.782524411363</v>
      </c>
      <c r="H49" s="8">
        <f t="shared" si="4"/>
        <v>11232.065692133197</v>
      </c>
      <c r="I49" s="8">
        <f>$E$10-SUM($H$17:H49)</f>
        <v>1594443.0566513576</v>
      </c>
      <c r="J49" s="8">
        <f>SUM($G$17:G49)</f>
        <v>607052.04779732833</v>
      </c>
    </row>
    <row r="50" spans="3:10" x14ac:dyDescent="0.3">
      <c r="C50" s="1">
        <v>34</v>
      </c>
      <c r="D50" s="12">
        <f t="shared" si="0"/>
        <v>44268</v>
      </c>
      <c r="E50" s="8">
        <f t="shared" si="6"/>
        <v>1594443.0566513576</v>
      </c>
      <c r="F50" s="8">
        <f t="shared" si="2"/>
        <v>27957.848216544553</v>
      </c>
      <c r="G50" s="8">
        <f t="shared" si="3"/>
        <v>16608.781840118303</v>
      </c>
      <c r="H50" s="8">
        <f t="shared" si="4"/>
        <v>11349.06637642625</v>
      </c>
      <c r="I50" s="8">
        <f>$E$10-SUM($H$17:H50)</f>
        <v>1583093.9902749313</v>
      </c>
      <c r="J50" s="8">
        <f>SUM($G$17:G50)</f>
        <v>623660.82963744667</v>
      </c>
    </row>
    <row r="51" spans="3:10" x14ac:dyDescent="0.3">
      <c r="C51" s="1">
        <v>35</v>
      </c>
      <c r="D51" s="12">
        <f t="shared" si="0"/>
        <v>44299</v>
      </c>
      <c r="E51" s="8">
        <f t="shared" si="6"/>
        <v>1583093.9902749313</v>
      </c>
      <c r="F51" s="8">
        <f t="shared" si="2"/>
        <v>27957.84821654456</v>
      </c>
      <c r="G51" s="8">
        <f t="shared" si="3"/>
        <v>16490.562398697202</v>
      </c>
      <c r="H51" s="8">
        <f t="shared" si="4"/>
        <v>11467.285817847358</v>
      </c>
      <c r="I51" s="8">
        <f>$E$10-SUM($H$17:H51)</f>
        <v>1571626.7044570842</v>
      </c>
      <c r="J51" s="8">
        <f>SUM($G$17:G51)</f>
        <v>640151.39203614392</v>
      </c>
    </row>
    <row r="52" spans="3:10" x14ac:dyDescent="0.3">
      <c r="C52" s="1">
        <v>36</v>
      </c>
      <c r="D52" s="12">
        <f t="shared" si="0"/>
        <v>44329</v>
      </c>
      <c r="E52" s="8">
        <f t="shared" si="6"/>
        <v>1571626.7044570842</v>
      </c>
      <c r="F52" s="8">
        <f t="shared" si="2"/>
        <v>27957.848216544564</v>
      </c>
      <c r="G52" s="8">
        <f t="shared" si="3"/>
        <v>16371.111504761293</v>
      </c>
      <c r="H52" s="8">
        <f t="shared" si="4"/>
        <v>11586.736711783271</v>
      </c>
      <c r="I52" s="8">
        <f>$E$10-SUM($H$17:H52)</f>
        <v>1560039.9677453008</v>
      </c>
      <c r="J52" s="8">
        <f>SUM($G$17:G52)</f>
        <v>656522.50354090519</v>
      </c>
    </row>
    <row r="53" spans="3:10" x14ac:dyDescent="0.3">
      <c r="C53" s="1">
        <v>37</v>
      </c>
      <c r="D53" s="12">
        <f t="shared" si="0"/>
        <v>44360</v>
      </c>
      <c r="E53" s="8">
        <f t="shared" si="6"/>
        <v>1560039.9677453008</v>
      </c>
      <c r="F53" s="8">
        <f t="shared" si="2"/>
        <v>27957.848216544564</v>
      </c>
      <c r="G53" s="8">
        <f t="shared" si="3"/>
        <v>16250.416330680218</v>
      </c>
      <c r="H53" s="8">
        <f t="shared" si="4"/>
        <v>11707.431885864346</v>
      </c>
      <c r="I53" s="8">
        <f>$E$10-SUM($H$17:H53)</f>
        <v>1548332.5358594365</v>
      </c>
      <c r="J53" s="8">
        <f>SUM($G$17:G53)</f>
        <v>672772.91987158544</v>
      </c>
    </row>
    <row r="54" spans="3:10" x14ac:dyDescent="0.3">
      <c r="C54" s="1">
        <v>38</v>
      </c>
      <c r="D54" s="12">
        <f t="shared" si="0"/>
        <v>44390</v>
      </c>
      <c r="E54" s="8">
        <f t="shared" si="6"/>
        <v>1548332.5358594365</v>
      </c>
      <c r="F54" s="8">
        <f t="shared" si="2"/>
        <v>27957.848216544564</v>
      </c>
      <c r="G54" s="8">
        <f t="shared" si="3"/>
        <v>16128.463915202465</v>
      </c>
      <c r="H54" s="8">
        <f t="shared" si="4"/>
        <v>11829.384301342099</v>
      </c>
      <c r="I54" s="8">
        <f>$E$10-SUM($H$17:H54)</f>
        <v>1536503.1515580942</v>
      </c>
      <c r="J54" s="8">
        <f>SUM($G$17:G54)</f>
        <v>688901.38378678786</v>
      </c>
    </row>
    <row r="55" spans="3:10" x14ac:dyDescent="0.3">
      <c r="C55" s="1">
        <v>39</v>
      </c>
      <c r="D55" s="12">
        <f t="shared" si="0"/>
        <v>44421</v>
      </c>
      <c r="E55" s="8">
        <f t="shared" si="6"/>
        <v>1536503.1515580942</v>
      </c>
      <c r="F55" s="8">
        <f t="shared" si="2"/>
        <v>27957.848216544553</v>
      </c>
      <c r="G55" s="8">
        <f t="shared" si="3"/>
        <v>16005.241162063479</v>
      </c>
      <c r="H55" s="8">
        <f t="shared" si="4"/>
        <v>11952.607054481074</v>
      </c>
      <c r="I55" s="8">
        <f>$E$10-SUM($H$17:H55)</f>
        <v>1524550.5445036134</v>
      </c>
      <c r="J55" s="8">
        <f>SUM($G$17:G55)</f>
        <v>704906.6249488513</v>
      </c>
    </row>
    <row r="56" spans="3:10" x14ac:dyDescent="0.3">
      <c r="C56" s="1">
        <v>40</v>
      </c>
      <c r="D56" s="12">
        <f t="shared" si="0"/>
        <v>44452</v>
      </c>
      <c r="E56" s="8">
        <f t="shared" si="6"/>
        <v>1524550.5445036134</v>
      </c>
      <c r="F56" s="8">
        <f t="shared" si="2"/>
        <v>27957.84821654456</v>
      </c>
      <c r="G56" s="8">
        <f t="shared" si="3"/>
        <v>15880.734838579307</v>
      </c>
      <c r="H56" s="8">
        <f t="shared" si="4"/>
        <v>12077.113377965254</v>
      </c>
      <c r="I56" s="8">
        <f>$E$10-SUM($H$17:H56)</f>
        <v>1512473.4311256481</v>
      </c>
      <c r="J56" s="8">
        <f>SUM($G$17:G56)</f>
        <v>720787.35978743061</v>
      </c>
    </row>
    <row r="57" spans="3:10" x14ac:dyDescent="0.3">
      <c r="C57" s="1">
        <v>41</v>
      </c>
      <c r="D57" s="12">
        <f t="shared" si="0"/>
        <v>44482</v>
      </c>
      <c r="E57" s="8">
        <f t="shared" si="6"/>
        <v>1512473.4311256481</v>
      </c>
      <c r="F57" s="8">
        <f t="shared" si="2"/>
        <v>27957.84821654456</v>
      </c>
      <c r="G57" s="8">
        <f t="shared" si="3"/>
        <v>15754.931574225502</v>
      </c>
      <c r="H57" s="8">
        <f t="shared" si="4"/>
        <v>12202.916642319058</v>
      </c>
      <c r="I57" s="8">
        <f>$E$10-SUM($H$17:H57)</f>
        <v>1500270.5144833289</v>
      </c>
      <c r="J57" s="8">
        <f>SUM($G$17:G57)</f>
        <v>736542.29136165616</v>
      </c>
    </row>
    <row r="58" spans="3:10" x14ac:dyDescent="0.3">
      <c r="C58" s="1">
        <v>42</v>
      </c>
      <c r="D58" s="12">
        <f t="shared" si="0"/>
        <v>44513</v>
      </c>
      <c r="E58" s="8">
        <f t="shared" si="6"/>
        <v>1500270.5144833289</v>
      </c>
      <c r="F58" s="8">
        <f t="shared" si="2"/>
        <v>27957.84821654456</v>
      </c>
      <c r="G58" s="8">
        <f t="shared" si="3"/>
        <v>15627.817859201343</v>
      </c>
      <c r="H58" s="8">
        <f t="shared" si="4"/>
        <v>12330.030357343217</v>
      </c>
      <c r="I58" s="8">
        <f>$E$10-SUM($H$17:H58)</f>
        <v>1487940.4841259858</v>
      </c>
      <c r="J58" s="8">
        <f>SUM($G$17:G58)</f>
        <v>752170.1092208575</v>
      </c>
    </row>
    <row r="59" spans="3:10" x14ac:dyDescent="0.3">
      <c r="C59" s="1">
        <v>43</v>
      </c>
      <c r="D59" s="12">
        <f t="shared" si="0"/>
        <v>44543</v>
      </c>
      <c r="E59" s="8">
        <f t="shared" si="6"/>
        <v>1487940.4841259858</v>
      </c>
      <c r="F59" s="8">
        <f t="shared" si="2"/>
        <v>27957.848216544564</v>
      </c>
      <c r="G59" s="8">
        <f t="shared" si="3"/>
        <v>15499.380042979021</v>
      </c>
      <c r="H59" s="8">
        <f t="shared" si="4"/>
        <v>12458.468173565543</v>
      </c>
      <c r="I59" s="8">
        <f>$E$10-SUM($H$17:H59)</f>
        <v>1475482.0159524202</v>
      </c>
      <c r="J59" s="8">
        <f>SUM($G$17:G59)</f>
        <v>767669.48926383653</v>
      </c>
    </row>
    <row r="60" spans="3:10" x14ac:dyDescent="0.3">
      <c r="C60" s="1">
        <v>44</v>
      </c>
      <c r="D60" s="12">
        <f t="shared" si="0"/>
        <v>44574</v>
      </c>
      <c r="E60" s="8">
        <f t="shared" si="6"/>
        <v>1475482.0159524202</v>
      </c>
      <c r="F60" s="8">
        <f t="shared" si="2"/>
        <v>27957.848216544553</v>
      </c>
      <c r="G60" s="8">
        <f t="shared" si="3"/>
        <v>15369.604332837705</v>
      </c>
      <c r="H60" s="8">
        <f t="shared" si="4"/>
        <v>12588.243883706848</v>
      </c>
      <c r="I60" s="8">
        <f>$E$10-SUM($H$17:H60)</f>
        <v>1462893.7720687133</v>
      </c>
      <c r="J60" s="8">
        <f>SUM($G$17:G60)</f>
        <v>783039.09359667427</v>
      </c>
    </row>
    <row r="61" spans="3:10" x14ac:dyDescent="0.3">
      <c r="C61" s="1">
        <v>45</v>
      </c>
      <c r="D61" s="12">
        <f t="shared" si="0"/>
        <v>44605</v>
      </c>
      <c r="E61" s="8">
        <f t="shared" si="6"/>
        <v>1462893.7720687133</v>
      </c>
      <c r="F61" s="8">
        <f t="shared" si="2"/>
        <v>27957.84821654456</v>
      </c>
      <c r="G61" s="8">
        <f t="shared" si="3"/>
        <v>15238.476792382431</v>
      </c>
      <c r="H61" s="8">
        <f t="shared" si="4"/>
        <v>12719.371424162129</v>
      </c>
      <c r="I61" s="8">
        <f>$E$10-SUM($H$17:H61)</f>
        <v>1450174.4006445513</v>
      </c>
      <c r="J61" s="8">
        <f>SUM($G$17:G61)</f>
        <v>798277.57038905669</v>
      </c>
    </row>
    <row r="62" spans="3:10" x14ac:dyDescent="0.3">
      <c r="C62" s="1">
        <v>46</v>
      </c>
      <c r="D62" s="12">
        <f t="shared" si="0"/>
        <v>44633</v>
      </c>
      <c r="E62" s="8">
        <f t="shared" si="6"/>
        <v>1450174.4006445513</v>
      </c>
      <c r="F62" s="8">
        <f t="shared" si="2"/>
        <v>27957.84821654456</v>
      </c>
      <c r="G62" s="8">
        <f t="shared" si="3"/>
        <v>15105.983340047409</v>
      </c>
      <c r="H62" s="8">
        <f t="shared" si="4"/>
        <v>12851.864876497151</v>
      </c>
      <c r="I62" s="8">
        <f>$E$10-SUM($H$17:H62)</f>
        <v>1437322.5357680542</v>
      </c>
      <c r="J62" s="8">
        <f>SUM($G$17:G62)</f>
        <v>813383.55372910411</v>
      </c>
    </row>
    <row r="63" spans="3:10" x14ac:dyDescent="0.3">
      <c r="C63" s="1">
        <v>47</v>
      </c>
      <c r="D63" s="12">
        <f t="shared" si="0"/>
        <v>44664</v>
      </c>
      <c r="E63" s="8">
        <f t="shared" si="6"/>
        <v>1437322.5357680542</v>
      </c>
      <c r="F63" s="8">
        <f t="shared" si="2"/>
        <v>27957.848216544564</v>
      </c>
      <c r="G63" s="8">
        <f t="shared" si="3"/>
        <v>14972.109747583898</v>
      </c>
      <c r="H63" s="8">
        <f t="shared" si="4"/>
        <v>12985.738468960666</v>
      </c>
      <c r="I63" s="8">
        <f>$E$10-SUM($H$17:H63)</f>
        <v>1424336.7972990936</v>
      </c>
      <c r="J63" s="8">
        <f>SUM($G$17:G63)</f>
        <v>828355.66347668797</v>
      </c>
    </row>
    <row r="64" spans="3:10" x14ac:dyDescent="0.3">
      <c r="C64" s="1">
        <v>48</v>
      </c>
      <c r="D64" s="12">
        <f t="shared" si="0"/>
        <v>44694</v>
      </c>
      <c r="E64" s="8">
        <f t="shared" si="6"/>
        <v>1424336.7972990936</v>
      </c>
      <c r="F64" s="8">
        <f t="shared" si="2"/>
        <v>27957.848216544564</v>
      </c>
      <c r="G64" s="8">
        <f t="shared" si="3"/>
        <v>14836.841638532223</v>
      </c>
      <c r="H64" s="8">
        <f t="shared" si="4"/>
        <v>13121.00657801234</v>
      </c>
      <c r="I64" s="8">
        <f>$E$10-SUM($H$17:H64)</f>
        <v>1411215.7907210812</v>
      </c>
      <c r="J64" s="8">
        <f>SUM($G$17:G64)</f>
        <v>843192.50511522021</v>
      </c>
    </row>
    <row r="65" spans="3:10" x14ac:dyDescent="0.3">
      <c r="C65" s="1">
        <v>49</v>
      </c>
      <c r="D65" s="12">
        <f t="shared" si="0"/>
        <v>44725</v>
      </c>
      <c r="E65" s="8">
        <f t="shared" si="6"/>
        <v>1411215.7907210812</v>
      </c>
      <c r="F65" s="8">
        <f t="shared" si="2"/>
        <v>27957.848216544568</v>
      </c>
      <c r="G65" s="8">
        <f t="shared" si="3"/>
        <v>14700.16448667793</v>
      </c>
      <c r="H65" s="8">
        <f t="shared" si="4"/>
        <v>13257.683729866638</v>
      </c>
      <c r="I65" s="8">
        <f>$E$10-SUM($H$17:H65)</f>
        <v>1397958.1069912144</v>
      </c>
      <c r="J65" s="8">
        <f>SUM($G$17:G65)</f>
        <v>857892.66960189817</v>
      </c>
    </row>
    <row r="66" spans="3:10" x14ac:dyDescent="0.3">
      <c r="C66" s="1">
        <v>50</v>
      </c>
      <c r="D66" s="12">
        <f t="shared" si="0"/>
        <v>44755</v>
      </c>
      <c r="E66" s="8">
        <f t="shared" si="6"/>
        <v>1397958.1069912144</v>
      </c>
      <c r="F66" s="8">
        <f t="shared" si="2"/>
        <v>27957.848216544553</v>
      </c>
      <c r="G66" s="8">
        <f t="shared" si="3"/>
        <v>14562.063614491813</v>
      </c>
      <c r="H66" s="8">
        <f t="shared" si="4"/>
        <v>13395.78460205274</v>
      </c>
      <c r="I66" s="8">
        <f>$E$10-SUM($H$17:H66)</f>
        <v>1384562.3223891617</v>
      </c>
      <c r="J66" s="8">
        <f>SUM($G$17:G66)</f>
        <v>872454.73321639001</v>
      </c>
    </row>
    <row r="67" spans="3:10" x14ac:dyDescent="0.3">
      <c r="C67" s="1">
        <v>51</v>
      </c>
      <c r="D67" s="12">
        <f t="shared" si="0"/>
        <v>44786</v>
      </c>
      <c r="E67" s="8">
        <f t="shared" ref="E67:E130" si="7">I66</f>
        <v>1384562.3223891617</v>
      </c>
      <c r="F67" s="8">
        <f t="shared" si="2"/>
        <v>27957.848216544553</v>
      </c>
      <c r="G67" s="8">
        <f t="shared" si="3"/>
        <v>14422.524191553763</v>
      </c>
      <c r="H67" s="8">
        <f t="shared" si="4"/>
        <v>13535.32402499079</v>
      </c>
      <c r="I67" s="8">
        <f>$E$10-SUM($H$17:H67)</f>
        <v>1371026.998364171</v>
      </c>
      <c r="J67" s="8">
        <f>SUM($G$17:G67)</f>
        <v>886877.25740794372</v>
      </c>
    </row>
    <row r="68" spans="3:10" x14ac:dyDescent="0.3">
      <c r="C68" s="1">
        <v>52</v>
      </c>
      <c r="D68" s="12">
        <f t="shared" si="0"/>
        <v>44817</v>
      </c>
      <c r="E68" s="8">
        <f t="shared" si="7"/>
        <v>1371026.998364171</v>
      </c>
      <c r="F68" s="8">
        <f t="shared" si="2"/>
        <v>27957.848216544564</v>
      </c>
      <c r="G68" s="8">
        <f t="shared" si="3"/>
        <v>14281.531232960115</v>
      </c>
      <c r="H68" s="8">
        <f t="shared" si="4"/>
        <v>13676.316983584449</v>
      </c>
      <c r="I68" s="8">
        <f>$E$10-SUM($H$17:H68)</f>
        <v>1357350.6813805865</v>
      </c>
      <c r="J68" s="8">
        <f>SUM($G$17:G68)</f>
        <v>901158.78864090377</v>
      </c>
    </row>
    <row r="69" spans="3:10" x14ac:dyDescent="0.3">
      <c r="C69" s="1">
        <v>53</v>
      </c>
      <c r="D69" s="12">
        <f t="shared" si="0"/>
        <v>44847</v>
      </c>
      <c r="E69" s="8">
        <f t="shared" si="7"/>
        <v>1357350.6813805865</v>
      </c>
      <c r="F69" s="8">
        <f t="shared" si="2"/>
        <v>27957.84821654456</v>
      </c>
      <c r="G69" s="8">
        <f t="shared" si="3"/>
        <v>14139.069597714442</v>
      </c>
      <c r="H69" s="8">
        <f t="shared" si="4"/>
        <v>13818.778618830118</v>
      </c>
      <c r="I69" s="8">
        <f>$E$10-SUM($H$17:H69)</f>
        <v>1343531.9027617564</v>
      </c>
      <c r="J69" s="8">
        <f>SUM($G$17:G69)</f>
        <v>915297.85823861824</v>
      </c>
    </row>
    <row r="70" spans="3:10" x14ac:dyDescent="0.3">
      <c r="C70" s="1">
        <v>54</v>
      </c>
      <c r="D70" s="12">
        <f t="shared" si="0"/>
        <v>44878</v>
      </c>
      <c r="E70" s="8">
        <f t="shared" si="7"/>
        <v>1343531.9027617564</v>
      </c>
      <c r="F70" s="8">
        <f t="shared" si="2"/>
        <v>27957.848216544564</v>
      </c>
      <c r="G70" s="8">
        <f t="shared" si="3"/>
        <v>13995.12398710163</v>
      </c>
      <c r="H70" s="8">
        <f t="shared" si="4"/>
        <v>13962.724229442934</v>
      </c>
      <c r="I70" s="8">
        <f>$E$10-SUM($H$17:H70)</f>
        <v>1329569.1785323136</v>
      </c>
      <c r="J70" s="8">
        <f>SUM($G$17:G70)</f>
        <v>929292.98222571984</v>
      </c>
    </row>
    <row r="71" spans="3:10" x14ac:dyDescent="0.3">
      <c r="C71" s="1">
        <v>55</v>
      </c>
      <c r="D71" s="12">
        <f t="shared" si="0"/>
        <v>44908</v>
      </c>
      <c r="E71" s="8">
        <f t="shared" si="7"/>
        <v>1329569.1785323136</v>
      </c>
      <c r="F71" s="8">
        <f t="shared" si="2"/>
        <v>27957.84821654456</v>
      </c>
      <c r="G71" s="8">
        <f t="shared" si="3"/>
        <v>13849.678943044933</v>
      </c>
      <c r="H71" s="8">
        <f t="shared" si="4"/>
        <v>14108.169273499627</v>
      </c>
      <c r="I71" s="8">
        <f>$E$10-SUM($H$17:H71)</f>
        <v>1315461.0092588137</v>
      </c>
      <c r="J71" s="8">
        <f>SUM($G$17:G71)</f>
        <v>943142.66116876481</v>
      </c>
    </row>
    <row r="72" spans="3:10" x14ac:dyDescent="0.3">
      <c r="C72" s="1">
        <v>56</v>
      </c>
      <c r="D72" s="12">
        <f t="shared" si="0"/>
        <v>44939</v>
      </c>
      <c r="E72" s="8">
        <f t="shared" si="7"/>
        <v>1315461.0092588137</v>
      </c>
      <c r="F72" s="8">
        <f t="shared" si="2"/>
        <v>27957.848216544553</v>
      </c>
      <c r="G72" s="8">
        <f t="shared" si="3"/>
        <v>13702.718846445972</v>
      </c>
      <c r="H72" s="8">
        <f t="shared" si="4"/>
        <v>14255.129370098581</v>
      </c>
      <c r="I72" s="8">
        <f>$E$10-SUM($H$17:H72)</f>
        <v>1301205.8798887152</v>
      </c>
      <c r="J72" s="8">
        <f>SUM($G$17:G72)</f>
        <v>956845.38001521083</v>
      </c>
    </row>
    <row r="73" spans="3:10" x14ac:dyDescent="0.3">
      <c r="C73" s="1">
        <v>57</v>
      </c>
      <c r="D73" s="12">
        <f t="shared" si="0"/>
        <v>44970</v>
      </c>
      <c r="E73" s="8">
        <f t="shared" si="7"/>
        <v>1301205.8798887152</v>
      </c>
      <c r="F73" s="8">
        <f t="shared" si="2"/>
        <v>27957.84821654456</v>
      </c>
      <c r="G73" s="8">
        <f t="shared" si="3"/>
        <v>13554.22791550745</v>
      </c>
      <c r="H73" s="8">
        <f t="shared" si="4"/>
        <v>14403.62030103711</v>
      </c>
      <c r="I73" s="8">
        <f>$E$10-SUM($H$17:H73)</f>
        <v>1286802.2595876781</v>
      </c>
      <c r="J73" s="8">
        <f>SUM($G$17:G73)</f>
        <v>970399.60793071822</v>
      </c>
    </row>
    <row r="74" spans="3:10" x14ac:dyDescent="0.3">
      <c r="C74" s="1">
        <v>58</v>
      </c>
      <c r="D74" s="12">
        <f t="shared" si="0"/>
        <v>44998</v>
      </c>
      <c r="E74" s="8">
        <f t="shared" si="7"/>
        <v>1286802.2595876781</v>
      </c>
      <c r="F74" s="8">
        <f t="shared" si="2"/>
        <v>27957.84821654456</v>
      </c>
      <c r="G74" s="8">
        <f t="shared" si="3"/>
        <v>13404.190204038314</v>
      </c>
      <c r="H74" s="8">
        <f t="shared" si="4"/>
        <v>14553.658012506246</v>
      </c>
      <c r="I74" s="8">
        <f>$E$10-SUM($H$17:H74)</f>
        <v>1272248.601575172</v>
      </c>
      <c r="J74" s="8">
        <f>SUM($G$17:G74)</f>
        <v>983803.79813475651</v>
      </c>
    </row>
    <row r="75" spans="3:10" x14ac:dyDescent="0.3">
      <c r="C75" s="1">
        <v>59</v>
      </c>
      <c r="D75" s="12">
        <f t="shared" si="0"/>
        <v>45029</v>
      </c>
      <c r="E75" s="8">
        <f t="shared" si="7"/>
        <v>1272248.601575172</v>
      </c>
      <c r="F75" s="8">
        <f t="shared" si="2"/>
        <v>27957.848216544564</v>
      </c>
      <c r="G75" s="8">
        <f t="shared" si="3"/>
        <v>13252.589599741372</v>
      </c>
      <c r="H75" s="8">
        <f t="shared" si="4"/>
        <v>14705.258616803192</v>
      </c>
      <c r="I75" s="8">
        <f>$E$10-SUM($H$17:H75)</f>
        <v>1257543.3429583688</v>
      </c>
      <c r="J75" s="8">
        <f>SUM($G$17:G75)</f>
        <v>997056.3877344979</v>
      </c>
    </row>
    <row r="76" spans="3:10" x14ac:dyDescent="0.3">
      <c r="C76" s="1">
        <v>60</v>
      </c>
      <c r="D76" s="12">
        <f t="shared" si="0"/>
        <v>45059</v>
      </c>
      <c r="E76" s="8">
        <f t="shared" si="7"/>
        <v>1257543.3429583688</v>
      </c>
      <c r="F76" s="8">
        <f t="shared" si="2"/>
        <v>27957.848216544564</v>
      </c>
      <c r="G76" s="8">
        <f t="shared" si="3"/>
        <v>13099.409822483009</v>
      </c>
      <c r="H76" s="8">
        <f t="shared" si="4"/>
        <v>14858.438394061555</v>
      </c>
      <c r="I76" s="8">
        <f>$E$10-SUM($H$17:H76)</f>
        <v>1242684.9045643071</v>
      </c>
      <c r="J76" s="8">
        <f>SUM($G$17:G76)</f>
        <v>1010155.7975569809</v>
      </c>
    </row>
    <row r="77" spans="3:10" x14ac:dyDescent="0.3">
      <c r="C77" s="1">
        <v>61</v>
      </c>
      <c r="D77" s="12">
        <f t="shared" si="0"/>
        <v>45090</v>
      </c>
      <c r="E77" s="8">
        <f t="shared" si="7"/>
        <v>1242684.9045643071</v>
      </c>
      <c r="F77" s="8">
        <f t="shared" si="2"/>
        <v>27957.84821654456</v>
      </c>
      <c r="G77" s="8">
        <f t="shared" si="3"/>
        <v>12944.634422544867</v>
      </c>
      <c r="H77" s="8">
        <f t="shared" si="4"/>
        <v>15013.213793999694</v>
      </c>
      <c r="I77" s="8">
        <f>$E$10-SUM($H$17:H77)</f>
        <v>1227671.6907703076</v>
      </c>
      <c r="J77" s="8">
        <f>SUM($G$17:G77)</f>
        <v>1023100.4319795257</v>
      </c>
    </row>
    <row r="78" spans="3:10" x14ac:dyDescent="0.3">
      <c r="C78" s="1">
        <v>62</v>
      </c>
      <c r="D78" s="12">
        <f t="shared" si="0"/>
        <v>45120</v>
      </c>
      <c r="E78" s="8">
        <f t="shared" si="7"/>
        <v>1227671.6907703076</v>
      </c>
      <c r="F78" s="8">
        <f t="shared" si="2"/>
        <v>27957.848216544568</v>
      </c>
      <c r="G78" s="8">
        <f t="shared" si="3"/>
        <v>12788.24677885737</v>
      </c>
      <c r="H78" s="8">
        <f t="shared" si="4"/>
        <v>15169.601437687197</v>
      </c>
      <c r="I78" s="8">
        <f>$E$10-SUM($H$17:H78)</f>
        <v>1212502.0893326201</v>
      </c>
      <c r="J78" s="8">
        <f>SUM($G$17:G78)</f>
        <v>1035888.678758383</v>
      </c>
    </row>
    <row r="79" spans="3:10" x14ac:dyDescent="0.3">
      <c r="C79" s="1">
        <v>63</v>
      </c>
      <c r="D79" s="12">
        <f t="shared" si="0"/>
        <v>45151</v>
      </c>
      <c r="E79" s="8">
        <f t="shared" si="7"/>
        <v>1212502.0893326201</v>
      </c>
      <c r="F79" s="8">
        <f t="shared" si="2"/>
        <v>27957.848216544553</v>
      </c>
      <c r="G79" s="8">
        <f t="shared" si="3"/>
        <v>12630.23009721479</v>
      </c>
      <c r="H79" s="8">
        <f t="shared" si="4"/>
        <v>15327.618119329763</v>
      </c>
      <c r="I79" s="8">
        <f>$E$10-SUM($H$17:H79)</f>
        <v>1197174.4712132905</v>
      </c>
      <c r="J79" s="8">
        <f>SUM($G$17:G79)</f>
        <v>1048518.9088555978</v>
      </c>
    </row>
    <row r="80" spans="3:10" x14ac:dyDescent="0.3">
      <c r="C80" s="1">
        <v>64</v>
      </c>
      <c r="D80" s="12">
        <f t="shared" si="0"/>
        <v>45182</v>
      </c>
      <c r="E80" s="8">
        <f t="shared" si="7"/>
        <v>1197174.4712132905</v>
      </c>
      <c r="F80" s="8">
        <f t="shared" si="2"/>
        <v>27957.848216544568</v>
      </c>
      <c r="G80" s="8">
        <f t="shared" si="3"/>
        <v>12470.567408471779</v>
      </c>
      <c r="H80" s="8">
        <f t="shared" si="4"/>
        <v>15487.280808072788</v>
      </c>
      <c r="I80" s="8">
        <f>$E$10-SUM($H$17:H80)</f>
        <v>1181687.1904052177</v>
      </c>
      <c r="J80" s="8">
        <f>SUM($G$17:G80)</f>
        <v>1060989.4762640696</v>
      </c>
    </row>
    <row r="81" spans="3:10" x14ac:dyDescent="0.3">
      <c r="C81" s="1">
        <v>65</v>
      </c>
      <c r="D81" s="12">
        <f t="shared" si="0"/>
        <v>45212</v>
      </c>
      <c r="E81" s="8">
        <f t="shared" si="7"/>
        <v>1181687.1904052177</v>
      </c>
      <c r="F81" s="8">
        <f t="shared" si="2"/>
        <v>27957.84821654456</v>
      </c>
      <c r="G81" s="8">
        <f t="shared" si="3"/>
        <v>12309.241566721019</v>
      </c>
      <c r="H81" s="8">
        <f t="shared" si="4"/>
        <v>15648.606649823541</v>
      </c>
      <c r="I81" s="8">
        <f>$E$10-SUM($H$17:H81)</f>
        <v>1166038.5837553942</v>
      </c>
      <c r="J81" s="8">
        <f>SUM($G$17:G81)</f>
        <v>1073298.7178307907</v>
      </c>
    </row>
    <row r="82" spans="3:10" x14ac:dyDescent="0.3">
      <c r="C82" s="1">
        <v>66</v>
      </c>
      <c r="D82" s="12">
        <f t="shared" ref="D82:D145" si="8">EDATE(D81,1)</f>
        <v>45243</v>
      </c>
      <c r="E82" s="8">
        <f t="shared" si="7"/>
        <v>1166038.5837553942</v>
      </c>
      <c r="F82" s="8">
        <f t="shared" ref="F82:F145" si="9">-PMT($E$9/12,$E$11-C82+1,IF(C82=1,$E$10,I81))</f>
        <v>27957.84821654456</v>
      </c>
      <c r="G82" s="8">
        <f t="shared" ref="G82:G145" si="10">F82-H82</f>
        <v>12146.235247452023</v>
      </c>
      <c r="H82" s="8">
        <f t="shared" ref="H82:H145" si="11">-PPMT($E$9/12,1,$E$11-C82+1,IF(C82=1,$E$10,I81))</f>
        <v>15811.612969092537</v>
      </c>
      <c r="I82" s="8">
        <f>$E$10-SUM($H$17:H82)</f>
        <v>1150226.9707863017</v>
      </c>
      <c r="J82" s="8">
        <f>SUM($G$17:G82)</f>
        <v>1085444.9530782427</v>
      </c>
    </row>
    <row r="83" spans="3:10" x14ac:dyDescent="0.3">
      <c r="C83" s="1">
        <v>67</v>
      </c>
      <c r="D83" s="12">
        <f t="shared" si="8"/>
        <v>45273</v>
      </c>
      <c r="E83" s="8">
        <f t="shared" si="7"/>
        <v>1150226.9707863017</v>
      </c>
      <c r="F83" s="8">
        <f t="shared" si="9"/>
        <v>27957.84821654456</v>
      </c>
      <c r="G83" s="8">
        <f t="shared" si="10"/>
        <v>11981.530945690643</v>
      </c>
      <c r="H83" s="8">
        <f t="shared" si="11"/>
        <v>15976.317270853917</v>
      </c>
      <c r="I83" s="8">
        <f>$E$10-SUM($H$17:H83)</f>
        <v>1134250.6535154479</v>
      </c>
      <c r="J83" s="8">
        <f>SUM($G$17:G83)</f>
        <v>1097426.4840239333</v>
      </c>
    </row>
    <row r="84" spans="3:10" x14ac:dyDescent="0.3">
      <c r="C84" s="1">
        <v>68</v>
      </c>
      <c r="D84" s="12">
        <f t="shared" si="8"/>
        <v>45304</v>
      </c>
      <c r="E84" s="8">
        <f t="shared" si="7"/>
        <v>1134250.6535154479</v>
      </c>
      <c r="F84" s="8">
        <f t="shared" si="9"/>
        <v>27957.848216544564</v>
      </c>
      <c r="G84" s="8">
        <f t="shared" si="10"/>
        <v>11815.110974119249</v>
      </c>
      <c r="H84" s="8">
        <f t="shared" si="11"/>
        <v>16142.737242425315</v>
      </c>
      <c r="I84" s="8">
        <f>$E$10-SUM($H$17:H84)</f>
        <v>1118107.9162730225</v>
      </c>
      <c r="J84" s="8">
        <f>SUM($G$17:G84)</f>
        <v>1109241.5949980526</v>
      </c>
    </row>
    <row r="85" spans="3:10" x14ac:dyDescent="0.3">
      <c r="C85" s="1">
        <v>69</v>
      </c>
      <c r="D85" s="12">
        <f t="shared" si="8"/>
        <v>45335</v>
      </c>
      <c r="E85" s="8">
        <f t="shared" si="7"/>
        <v>1118107.9162730225</v>
      </c>
      <c r="F85" s="8">
        <f t="shared" si="9"/>
        <v>27957.848216544564</v>
      </c>
      <c r="G85" s="8">
        <f t="shared" si="10"/>
        <v>11646.957461177317</v>
      </c>
      <c r="H85" s="8">
        <f t="shared" si="11"/>
        <v>16310.890755367247</v>
      </c>
      <c r="I85" s="8">
        <f>$E$10-SUM($H$17:H85)</f>
        <v>1101797.0255176551</v>
      </c>
      <c r="J85" s="8">
        <f>SUM($G$17:G85)</f>
        <v>1120888.5524592299</v>
      </c>
    </row>
    <row r="86" spans="3:10" x14ac:dyDescent="0.3">
      <c r="C86" s="1">
        <v>70</v>
      </c>
      <c r="D86" s="12">
        <f t="shared" si="8"/>
        <v>45364</v>
      </c>
      <c r="E86" s="8">
        <f t="shared" si="7"/>
        <v>1101797.0255176551</v>
      </c>
      <c r="F86" s="8">
        <f t="shared" si="9"/>
        <v>27957.84821654456</v>
      </c>
      <c r="G86" s="8">
        <f t="shared" si="10"/>
        <v>11477.052349142243</v>
      </c>
      <c r="H86" s="8">
        <f t="shared" si="11"/>
        <v>16480.795867402318</v>
      </c>
      <c r="I86" s="8">
        <f>$E$10-SUM($H$17:H86)</f>
        <v>1085316.229650253</v>
      </c>
      <c r="J86" s="8">
        <f>SUM($G$17:G86)</f>
        <v>1132365.6048083722</v>
      </c>
    </row>
    <row r="87" spans="3:10" x14ac:dyDescent="0.3">
      <c r="C87" s="1">
        <v>71</v>
      </c>
      <c r="D87" s="12">
        <f t="shared" si="8"/>
        <v>45395</v>
      </c>
      <c r="E87" s="8">
        <f t="shared" si="7"/>
        <v>1085316.229650253</v>
      </c>
      <c r="F87" s="8">
        <f t="shared" si="9"/>
        <v>27957.848216544564</v>
      </c>
      <c r="G87" s="8">
        <f t="shared" si="10"/>
        <v>11305.377392190134</v>
      </c>
      <c r="H87" s="8">
        <f t="shared" si="11"/>
        <v>16652.47082435443</v>
      </c>
      <c r="I87" s="8">
        <f>$E$10-SUM($H$17:H87)</f>
        <v>1068663.7588258984</v>
      </c>
      <c r="J87" s="8">
        <f>SUM($G$17:G87)</f>
        <v>1143670.9822005623</v>
      </c>
    </row>
    <row r="88" spans="3:10" x14ac:dyDescent="0.3">
      <c r="C88" s="1">
        <v>72</v>
      </c>
      <c r="D88" s="12">
        <f t="shared" si="8"/>
        <v>45425</v>
      </c>
      <c r="E88" s="8">
        <f t="shared" si="7"/>
        <v>1068663.7588258984</v>
      </c>
      <c r="F88" s="8">
        <f t="shared" si="9"/>
        <v>27957.84821654456</v>
      </c>
      <c r="G88" s="8">
        <f t="shared" si="10"/>
        <v>11131.914154436443</v>
      </c>
      <c r="H88" s="8">
        <f t="shared" si="11"/>
        <v>16825.934062108117</v>
      </c>
      <c r="I88" s="8">
        <f>$E$10-SUM($H$17:H88)</f>
        <v>1051837.8247637902</v>
      </c>
      <c r="J88" s="8">
        <f>SUM($G$17:G88)</f>
        <v>1154802.8963549987</v>
      </c>
    </row>
    <row r="89" spans="3:10" x14ac:dyDescent="0.3">
      <c r="C89" s="1">
        <v>73</v>
      </c>
      <c r="D89" s="12">
        <f t="shared" si="8"/>
        <v>45456</v>
      </c>
      <c r="E89" s="8">
        <f t="shared" si="7"/>
        <v>1051837.8247637902</v>
      </c>
      <c r="F89" s="8">
        <f t="shared" si="9"/>
        <v>27957.84821654456</v>
      </c>
      <c r="G89" s="8">
        <f t="shared" si="10"/>
        <v>10956.644007956147</v>
      </c>
      <c r="H89" s="8">
        <f t="shared" si="11"/>
        <v>17001.204208588413</v>
      </c>
      <c r="I89" s="8">
        <f>$E$10-SUM($H$17:H89)</f>
        <v>1034836.6205552018</v>
      </c>
      <c r="J89" s="8">
        <f>SUM($G$17:G89)</f>
        <v>1165759.5403629548</v>
      </c>
    </row>
    <row r="90" spans="3:10" x14ac:dyDescent="0.3">
      <c r="C90" s="1">
        <v>74</v>
      </c>
      <c r="D90" s="12">
        <f t="shared" si="8"/>
        <v>45486</v>
      </c>
      <c r="E90" s="8">
        <f t="shared" si="7"/>
        <v>1034836.6205552018</v>
      </c>
      <c r="F90" s="8">
        <f t="shared" si="9"/>
        <v>27957.84821654456</v>
      </c>
      <c r="G90" s="8">
        <f t="shared" si="10"/>
        <v>10779.548130783351</v>
      </c>
      <c r="H90" s="8">
        <f t="shared" si="11"/>
        <v>17178.30008576121</v>
      </c>
      <c r="I90" s="8">
        <f>$E$10-SUM($H$17:H90)</f>
        <v>1017658.3204694405</v>
      </c>
      <c r="J90" s="8">
        <f>SUM($G$17:G90)</f>
        <v>1176539.0884937381</v>
      </c>
    </row>
    <row r="91" spans="3:10" x14ac:dyDescent="0.3">
      <c r="C91" s="1">
        <v>75</v>
      </c>
      <c r="D91" s="12">
        <f t="shared" si="8"/>
        <v>45517</v>
      </c>
      <c r="E91" s="8">
        <f t="shared" si="7"/>
        <v>1017658.3204694405</v>
      </c>
      <c r="F91" s="8">
        <f t="shared" si="9"/>
        <v>27957.84821654456</v>
      </c>
      <c r="G91" s="8">
        <f t="shared" si="10"/>
        <v>10600.607504890009</v>
      </c>
      <c r="H91" s="8">
        <f t="shared" si="11"/>
        <v>17357.240711654551</v>
      </c>
      <c r="I91" s="8">
        <f>$E$10-SUM($H$17:H91)</f>
        <v>1000301.079757786</v>
      </c>
      <c r="J91" s="8">
        <f>SUM($G$17:G91)</f>
        <v>1187139.6959986282</v>
      </c>
    </row>
    <row r="92" spans="3:10" x14ac:dyDescent="0.3">
      <c r="C92" s="1">
        <v>76</v>
      </c>
      <c r="D92" s="12">
        <f t="shared" si="8"/>
        <v>45548</v>
      </c>
      <c r="E92" s="8">
        <f t="shared" si="7"/>
        <v>1000301.079757786</v>
      </c>
      <c r="F92" s="8">
        <f t="shared" si="9"/>
        <v>27957.848216544553</v>
      </c>
      <c r="G92" s="8">
        <f t="shared" si="10"/>
        <v>10419.802914143598</v>
      </c>
      <c r="H92" s="8">
        <f t="shared" si="11"/>
        <v>17538.045302400955</v>
      </c>
      <c r="I92" s="8">
        <f>$E$10-SUM($H$17:H92)</f>
        <v>982763.03445538506</v>
      </c>
      <c r="J92" s="8">
        <f>SUM($G$17:G92)</f>
        <v>1197559.4989127717</v>
      </c>
    </row>
    <row r="93" spans="3:10" x14ac:dyDescent="0.3">
      <c r="C93" s="1">
        <v>77</v>
      </c>
      <c r="D93" s="12">
        <f t="shared" si="8"/>
        <v>45578</v>
      </c>
      <c r="E93" s="8">
        <f t="shared" si="7"/>
        <v>982763.03445538506</v>
      </c>
      <c r="F93" s="8">
        <f t="shared" si="9"/>
        <v>27957.84821654456</v>
      </c>
      <c r="G93" s="8">
        <f t="shared" si="10"/>
        <v>10237.114942243592</v>
      </c>
      <c r="H93" s="8">
        <f t="shared" si="11"/>
        <v>17720.733274300968</v>
      </c>
      <c r="I93" s="8">
        <f>$E$10-SUM($H$17:H93)</f>
        <v>965042.30118108413</v>
      </c>
      <c r="J93" s="8">
        <f>SUM($G$17:G93)</f>
        <v>1207796.6138550153</v>
      </c>
    </row>
    <row r="94" spans="3:10" x14ac:dyDescent="0.3">
      <c r="C94" s="1">
        <v>78</v>
      </c>
      <c r="D94" s="12">
        <f t="shared" si="8"/>
        <v>45609</v>
      </c>
      <c r="E94" s="8">
        <f t="shared" si="7"/>
        <v>965042.30118108413</v>
      </c>
      <c r="F94" s="8">
        <f t="shared" si="9"/>
        <v>27957.84821654456</v>
      </c>
      <c r="G94" s="8">
        <f t="shared" si="10"/>
        <v>10052.523970636295</v>
      </c>
      <c r="H94" s="8">
        <f t="shared" si="11"/>
        <v>17905.324245908265</v>
      </c>
      <c r="I94" s="8">
        <f>$E$10-SUM($H$17:H94)</f>
        <v>947136.97693517583</v>
      </c>
      <c r="J94" s="8">
        <f>SUM($G$17:G94)</f>
        <v>1217849.1378256516</v>
      </c>
    </row>
    <row r="95" spans="3:10" x14ac:dyDescent="0.3">
      <c r="C95" s="1">
        <v>79</v>
      </c>
      <c r="D95" s="12">
        <f t="shared" si="8"/>
        <v>45639</v>
      </c>
      <c r="E95" s="8">
        <f t="shared" si="7"/>
        <v>947136.97693517583</v>
      </c>
      <c r="F95" s="8">
        <f t="shared" si="9"/>
        <v>27957.848216544564</v>
      </c>
      <c r="G95" s="8">
        <f t="shared" si="10"/>
        <v>9866.0101764080791</v>
      </c>
      <c r="H95" s="8">
        <f t="shared" si="11"/>
        <v>18091.838040136485</v>
      </c>
      <c r="I95" s="8">
        <f>$E$10-SUM($H$17:H95)</f>
        <v>929045.13889503933</v>
      </c>
      <c r="J95" s="8">
        <f>SUM($G$17:G95)</f>
        <v>1227715.1480020597</v>
      </c>
    </row>
    <row r="96" spans="3:10" x14ac:dyDescent="0.3">
      <c r="C96" s="1">
        <v>80</v>
      </c>
      <c r="D96" s="12">
        <f t="shared" si="8"/>
        <v>45670</v>
      </c>
      <c r="E96" s="8">
        <f t="shared" si="7"/>
        <v>929045.13889503933</v>
      </c>
      <c r="F96" s="8">
        <f t="shared" si="9"/>
        <v>27957.84821654456</v>
      </c>
      <c r="G96" s="8">
        <f t="shared" si="10"/>
        <v>9677.5535301566633</v>
      </c>
      <c r="H96" s="8">
        <f t="shared" si="11"/>
        <v>18280.294686387897</v>
      </c>
      <c r="I96" s="8">
        <f>$E$10-SUM($H$17:H96)</f>
        <v>910764.84420865146</v>
      </c>
      <c r="J96" s="8">
        <f>SUM($G$17:G96)</f>
        <v>1237392.7015322163</v>
      </c>
    </row>
    <row r="97" spans="3:10" x14ac:dyDescent="0.3">
      <c r="C97" s="1">
        <v>81</v>
      </c>
      <c r="D97" s="12">
        <f t="shared" si="8"/>
        <v>45701</v>
      </c>
      <c r="E97" s="8">
        <f t="shared" si="7"/>
        <v>910764.84420865146</v>
      </c>
      <c r="F97" s="8">
        <f t="shared" si="9"/>
        <v>27957.84821654456</v>
      </c>
      <c r="G97" s="8">
        <f t="shared" si="10"/>
        <v>9487.1337938401193</v>
      </c>
      <c r="H97" s="8">
        <f t="shared" si="11"/>
        <v>18470.714422704441</v>
      </c>
      <c r="I97" s="8">
        <f>$E$10-SUM($H$17:H97)</f>
        <v>892294.12978594704</v>
      </c>
      <c r="J97" s="8">
        <f>SUM($G$17:G97)</f>
        <v>1246879.8353260565</v>
      </c>
    </row>
    <row r="98" spans="3:10" x14ac:dyDescent="0.3">
      <c r="C98" s="1">
        <v>82</v>
      </c>
      <c r="D98" s="12">
        <f t="shared" si="8"/>
        <v>45729</v>
      </c>
      <c r="E98" s="8">
        <f t="shared" si="7"/>
        <v>892294.12978594704</v>
      </c>
      <c r="F98" s="8">
        <f t="shared" si="9"/>
        <v>27957.84821654456</v>
      </c>
      <c r="G98" s="8">
        <f t="shared" si="10"/>
        <v>9294.7305186036137</v>
      </c>
      <c r="H98" s="8">
        <f t="shared" si="11"/>
        <v>18663.117697940947</v>
      </c>
      <c r="I98" s="8">
        <f>$E$10-SUM($H$17:H98)</f>
        <v>873631.01208800613</v>
      </c>
      <c r="J98" s="8">
        <f>SUM($G$17:G98)</f>
        <v>1256174.5658446602</v>
      </c>
    </row>
    <row r="99" spans="3:10" x14ac:dyDescent="0.3">
      <c r="C99" s="1">
        <v>83</v>
      </c>
      <c r="D99" s="12">
        <f t="shared" si="8"/>
        <v>45760</v>
      </c>
      <c r="E99" s="8">
        <f t="shared" si="7"/>
        <v>873631.01208800613</v>
      </c>
      <c r="F99" s="8">
        <f t="shared" si="9"/>
        <v>27957.848216544564</v>
      </c>
      <c r="G99" s="8">
        <f t="shared" si="10"/>
        <v>9100.3230425834008</v>
      </c>
      <c r="H99" s="8">
        <f t="shared" si="11"/>
        <v>18857.525173961163</v>
      </c>
      <c r="I99" s="8">
        <f>$E$10-SUM($H$17:H99)</f>
        <v>854773.48691404494</v>
      </c>
      <c r="J99" s="8">
        <f>SUM($G$17:G99)</f>
        <v>1265274.8888872436</v>
      </c>
    </row>
    <row r="100" spans="3:10" x14ac:dyDescent="0.3">
      <c r="C100" s="1">
        <v>84</v>
      </c>
      <c r="D100" s="12">
        <f t="shared" si="8"/>
        <v>45790</v>
      </c>
      <c r="E100" s="8">
        <f t="shared" si="7"/>
        <v>854773.48691404494</v>
      </c>
      <c r="F100" s="8">
        <f t="shared" si="9"/>
        <v>27957.848216544564</v>
      </c>
      <c r="G100" s="8">
        <f t="shared" si="10"/>
        <v>8903.8904886879682</v>
      </c>
      <c r="H100" s="8">
        <f t="shared" si="11"/>
        <v>19053.957727856596</v>
      </c>
      <c r="I100" s="8">
        <f>$E$10-SUM($H$17:H100)</f>
        <v>835719.52918618824</v>
      </c>
      <c r="J100" s="8">
        <f>SUM($G$17:G100)</f>
        <v>1274178.7793759315</v>
      </c>
    </row>
    <row r="101" spans="3:10" x14ac:dyDescent="0.3">
      <c r="C101" s="1">
        <v>85</v>
      </c>
      <c r="D101" s="12">
        <f t="shared" si="8"/>
        <v>45821</v>
      </c>
      <c r="E101" s="8">
        <f t="shared" si="7"/>
        <v>835719.52918618824</v>
      </c>
      <c r="F101" s="8">
        <f t="shared" si="9"/>
        <v>27957.84821654456</v>
      </c>
      <c r="G101" s="8">
        <f t="shared" si="10"/>
        <v>8705.4117623561251</v>
      </c>
      <c r="H101" s="8">
        <f t="shared" si="11"/>
        <v>19252.436454188435</v>
      </c>
      <c r="I101" s="8">
        <f>$E$10-SUM($H$17:H101)</f>
        <v>816467.0927319997</v>
      </c>
      <c r="J101" s="8">
        <f>SUM($G$17:G101)</f>
        <v>1282884.1911382875</v>
      </c>
    </row>
    <row r="102" spans="3:10" x14ac:dyDescent="0.3">
      <c r="C102" s="1">
        <v>86</v>
      </c>
      <c r="D102" s="12">
        <f t="shared" si="8"/>
        <v>45851</v>
      </c>
      <c r="E102" s="8">
        <f t="shared" si="7"/>
        <v>816467.0927319997</v>
      </c>
      <c r="F102" s="8">
        <f t="shared" si="9"/>
        <v>27957.848216544553</v>
      </c>
      <c r="G102" s="8">
        <f t="shared" si="10"/>
        <v>8504.8655492916623</v>
      </c>
      <c r="H102" s="8">
        <f t="shared" si="11"/>
        <v>19452.982667252891</v>
      </c>
      <c r="I102" s="8">
        <f>$E$10-SUM($H$17:H102)</f>
        <v>797014.11006474681</v>
      </c>
      <c r="J102" s="8">
        <f>SUM($G$17:G102)</f>
        <v>1291389.0566875793</v>
      </c>
    </row>
    <row r="103" spans="3:10" x14ac:dyDescent="0.3">
      <c r="C103" s="1">
        <v>87</v>
      </c>
      <c r="D103" s="12">
        <f t="shared" si="8"/>
        <v>45882</v>
      </c>
      <c r="E103" s="8">
        <f t="shared" si="7"/>
        <v>797014.11006474681</v>
      </c>
      <c r="F103" s="8">
        <f t="shared" si="9"/>
        <v>27957.848216544553</v>
      </c>
      <c r="G103" s="8">
        <f t="shared" si="10"/>
        <v>8302.2303131744447</v>
      </c>
      <c r="H103" s="8">
        <f t="shared" si="11"/>
        <v>19655.617903370108</v>
      </c>
      <c r="I103" s="8">
        <f>$E$10-SUM($H$17:H103)</f>
        <v>777358.49216137663</v>
      </c>
      <c r="J103" s="8">
        <f>SUM($G$17:G103)</f>
        <v>1299691.2870007537</v>
      </c>
    </row>
    <row r="104" spans="3:10" x14ac:dyDescent="0.3">
      <c r="C104" s="1">
        <v>88</v>
      </c>
      <c r="D104" s="12">
        <f t="shared" si="8"/>
        <v>45913</v>
      </c>
      <c r="E104" s="8">
        <f t="shared" si="7"/>
        <v>777358.49216137663</v>
      </c>
      <c r="F104" s="8">
        <f t="shared" si="9"/>
        <v>27957.848216544553</v>
      </c>
      <c r="G104" s="8">
        <f t="shared" si="10"/>
        <v>8097.4842933476757</v>
      </c>
      <c r="H104" s="8">
        <f t="shared" si="11"/>
        <v>19860.363923196877</v>
      </c>
      <c r="I104" s="8">
        <f>$E$10-SUM($H$17:H104)</f>
        <v>757498.12823817972</v>
      </c>
      <c r="J104" s="8">
        <f>SUM($G$17:G104)</f>
        <v>1307788.7712941014</v>
      </c>
    </row>
    <row r="105" spans="3:10" x14ac:dyDescent="0.3">
      <c r="C105" s="1">
        <v>89</v>
      </c>
      <c r="D105" s="12">
        <f t="shared" si="8"/>
        <v>45943</v>
      </c>
      <c r="E105" s="8">
        <f t="shared" si="7"/>
        <v>757498.12823817972</v>
      </c>
      <c r="F105" s="8">
        <f t="shared" si="9"/>
        <v>27957.848216544553</v>
      </c>
      <c r="G105" s="8">
        <f t="shared" si="10"/>
        <v>7890.6055024810375</v>
      </c>
      <c r="H105" s="8">
        <f t="shared" si="11"/>
        <v>20067.242714063515</v>
      </c>
      <c r="I105" s="8">
        <f>$E$10-SUM($H$17:H105)</f>
        <v>737430.88552411622</v>
      </c>
      <c r="J105" s="8">
        <f>SUM($G$17:G105)</f>
        <v>1315679.3767965825</v>
      </c>
    </row>
    <row r="106" spans="3:10" x14ac:dyDescent="0.3">
      <c r="C106" s="1">
        <v>90</v>
      </c>
      <c r="D106" s="12">
        <f t="shared" si="8"/>
        <v>45974</v>
      </c>
      <c r="E106" s="8">
        <f t="shared" si="7"/>
        <v>737430.88552411622</v>
      </c>
      <c r="F106" s="8">
        <f t="shared" si="9"/>
        <v>27957.848216544553</v>
      </c>
      <c r="G106" s="8">
        <f t="shared" si="10"/>
        <v>7681.5717242095416</v>
      </c>
      <c r="H106" s="8">
        <f t="shared" si="11"/>
        <v>20276.276492335011</v>
      </c>
      <c r="I106" s="8">
        <f>$E$10-SUM($H$17:H106)</f>
        <v>717154.60903178132</v>
      </c>
      <c r="J106" s="8">
        <f>SUM($G$17:G106)</f>
        <v>1323360.9485207919</v>
      </c>
    </row>
    <row r="107" spans="3:10" x14ac:dyDescent="0.3">
      <c r="C107" s="1">
        <v>91</v>
      </c>
      <c r="D107" s="12">
        <f t="shared" si="8"/>
        <v>46004</v>
      </c>
      <c r="E107" s="8">
        <f t="shared" si="7"/>
        <v>717154.60903178132</v>
      </c>
      <c r="F107" s="8">
        <f t="shared" si="9"/>
        <v>27957.848216544553</v>
      </c>
      <c r="G107" s="8">
        <f t="shared" si="10"/>
        <v>7470.3605107477197</v>
      </c>
      <c r="H107" s="8">
        <f t="shared" si="11"/>
        <v>20487.487705796833</v>
      </c>
      <c r="I107" s="8">
        <f>$E$10-SUM($H$17:H107)</f>
        <v>696667.1213259846</v>
      </c>
      <c r="J107" s="8">
        <f>SUM($G$17:G107)</f>
        <v>1330831.3090315396</v>
      </c>
    </row>
    <row r="108" spans="3:10" x14ac:dyDescent="0.3">
      <c r="C108" s="1">
        <v>92</v>
      </c>
      <c r="D108" s="12">
        <f t="shared" si="8"/>
        <v>46035</v>
      </c>
      <c r="E108" s="8">
        <f t="shared" si="7"/>
        <v>696667.1213259846</v>
      </c>
      <c r="F108" s="8">
        <f t="shared" si="9"/>
        <v>27957.84821654456</v>
      </c>
      <c r="G108" s="8">
        <f t="shared" si="10"/>
        <v>7256.949180479005</v>
      </c>
      <c r="H108" s="8">
        <f t="shared" si="11"/>
        <v>20700.899036065555</v>
      </c>
      <c r="I108" s="8">
        <f>$E$10-SUM($H$17:H108)</f>
        <v>675966.22228991915</v>
      </c>
      <c r="J108" s="8">
        <f>SUM($G$17:G108)</f>
        <v>1338088.2582120185</v>
      </c>
    </row>
    <row r="109" spans="3:10" x14ac:dyDescent="0.3">
      <c r="C109" s="1">
        <v>93</v>
      </c>
      <c r="D109" s="12">
        <f t="shared" si="8"/>
        <v>46066</v>
      </c>
      <c r="E109" s="8">
        <f t="shared" si="7"/>
        <v>675966.22228991915</v>
      </c>
      <c r="F109" s="8">
        <f t="shared" si="9"/>
        <v>27957.848216544564</v>
      </c>
      <c r="G109" s="8">
        <f t="shared" si="10"/>
        <v>7041.3148155199888</v>
      </c>
      <c r="H109" s="8">
        <f t="shared" si="11"/>
        <v>20916.533401024575</v>
      </c>
      <c r="I109" s="8">
        <f>$E$10-SUM($H$17:H109)</f>
        <v>655049.68888889463</v>
      </c>
      <c r="J109" s="8">
        <f>SUM($G$17:G109)</f>
        <v>1345129.5730275386</v>
      </c>
    </row>
    <row r="110" spans="3:10" x14ac:dyDescent="0.3">
      <c r="C110" s="1">
        <v>94</v>
      </c>
      <c r="D110" s="12">
        <f t="shared" si="8"/>
        <v>46094</v>
      </c>
      <c r="E110" s="8">
        <f t="shared" si="7"/>
        <v>655049.68888889463</v>
      </c>
      <c r="F110" s="8">
        <f t="shared" si="9"/>
        <v>27957.848216544568</v>
      </c>
      <c r="G110" s="8">
        <f t="shared" si="10"/>
        <v>6823.4342592593166</v>
      </c>
      <c r="H110" s="8">
        <f t="shared" si="11"/>
        <v>21134.413957285251</v>
      </c>
      <c r="I110" s="8">
        <f>$E$10-SUM($H$17:H110)</f>
        <v>633915.2749316094</v>
      </c>
      <c r="J110" s="8">
        <f>SUM($G$17:G110)</f>
        <v>1351953.007286798</v>
      </c>
    </row>
    <row r="111" spans="3:10" x14ac:dyDescent="0.3">
      <c r="C111" s="1">
        <v>95</v>
      </c>
      <c r="D111" s="12">
        <f t="shared" si="8"/>
        <v>46125</v>
      </c>
      <c r="E111" s="8">
        <f t="shared" si="7"/>
        <v>633915.2749316094</v>
      </c>
      <c r="F111" s="8">
        <f t="shared" si="9"/>
        <v>27957.848216544568</v>
      </c>
      <c r="G111" s="8">
        <f t="shared" si="10"/>
        <v>6603.2841138709264</v>
      </c>
      <c r="H111" s="8">
        <f t="shared" si="11"/>
        <v>21354.564102673641</v>
      </c>
      <c r="I111" s="8">
        <f>$E$10-SUM($H$17:H111)</f>
        <v>612560.71082893573</v>
      </c>
      <c r="J111" s="8">
        <f>SUM($G$17:G111)</f>
        <v>1358556.2914006689</v>
      </c>
    </row>
    <row r="112" spans="3:10" x14ac:dyDescent="0.3">
      <c r="C112" s="1">
        <v>96</v>
      </c>
      <c r="D112" s="12">
        <f t="shared" si="8"/>
        <v>46155</v>
      </c>
      <c r="E112" s="8">
        <f t="shared" si="7"/>
        <v>612560.71082893573</v>
      </c>
      <c r="F112" s="8">
        <f t="shared" si="9"/>
        <v>27957.848216544564</v>
      </c>
      <c r="G112" s="8">
        <f t="shared" si="10"/>
        <v>6380.8407378014126</v>
      </c>
      <c r="H112" s="8">
        <f t="shared" si="11"/>
        <v>21577.007478743151</v>
      </c>
      <c r="I112" s="8">
        <f>$E$10-SUM($H$17:H112)</f>
        <v>590983.70335019263</v>
      </c>
      <c r="J112" s="8">
        <f>SUM($G$17:G112)</f>
        <v>1364937.1321384704</v>
      </c>
    </row>
    <row r="113" spans="3:10" x14ac:dyDescent="0.3">
      <c r="C113" s="1">
        <v>97</v>
      </c>
      <c r="D113" s="12">
        <f t="shared" si="8"/>
        <v>46186</v>
      </c>
      <c r="E113" s="8">
        <f t="shared" si="7"/>
        <v>590983.70335019263</v>
      </c>
      <c r="F113" s="8">
        <f t="shared" si="9"/>
        <v>27957.848216544568</v>
      </c>
      <c r="G113" s="8">
        <f t="shared" si="10"/>
        <v>6156.0802432311721</v>
      </c>
      <c r="H113" s="8">
        <f t="shared" si="11"/>
        <v>21801.767973313395</v>
      </c>
      <c r="I113" s="8">
        <f>$E$10-SUM($H$17:H113)</f>
        <v>569181.93537687929</v>
      </c>
      <c r="J113" s="8">
        <f>SUM($G$17:G113)</f>
        <v>1371093.2123817017</v>
      </c>
    </row>
    <row r="114" spans="3:10" x14ac:dyDescent="0.3">
      <c r="C114" s="1">
        <v>98</v>
      </c>
      <c r="D114" s="12">
        <f t="shared" si="8"/>
        <v>46216</v>
      </c>
      <c r="E114" s="8">
        <f t="shared" si="7"/>
        <v>569181.93537687929</v>
      </c>
      <c r="F114" s="8">
        <f t="shared" si="9"/>
        <v>27957.848216544575</v>
      </c>
      <c r="G114" s="8">
        <f t="shared" si="10"/>
        <v>5928.9784935091593</v>
      </c>
      <c r="H114" s="8">
        <f t="shared" si="11"/>
        <v>22028.869723035416</v>
      </c>
      <c r="I114" s="8">
        <f>$E$10-SUM($H$17:H114)</f>
        <v>547153.06565384381</v>
      </c>
      <c r="J114" s="8">
        <f>SUM($G$17:G114)</f>
        <v>1377022.1908752108</v>
      </c>
    </row>
    <row r="115" spans="3:10" x14ac:dyDescent="0.3">
      <c r="C115" s="1">
        <v>99</v>
      </c>
      <c r="D115" s="12">
        <f t="shared" si="8"/>
        <v>46247</v>
      </c>
      <c r="E115" s="8">
        <f t="shared" si="7"/>
        <v>547153.06565384381</v>
      </c>
      <c r="F115" s="8">
        <f t="shared" si="9"/>
        <v>27957.848216544568</v>
      </c>
      <c r="G115" s="8">
        <f t="shared" si="10"/>
        <v>5699.5111005608705</v>
      </c>
      <c r="H115" s="8">
        <f t="shared" si="11"/>
        <v>22258.337115983697</v>
      </c>
      <c r="I115" s="8">
        <f>$E$10-SUM($H$17:H115)</f>
        <v>524894.72853786009</v>
      </c>
      <c r="J115" s="8">
        <f>SUM($G$17:G115)</f>
        <v>1382721.7019757717</v>
      </c>
    </row>
    <row r="116" spans="3:10" x14ac:dyDescent="0.3">
      <c r="C116" s="1">
        <v>100</v>
      </c>
      <c r="D116" s="12">
        <f t="shared" si="8"/>
        <v>46278</v>
      </c>
      <c r="E116" s="8">
        <f t="shared" si="7"/>
        <v>524894.72853786009</v>
      </c>
      <c r="F116" s="8">
        <f t="shared" si="9"/>
        <v>27957.848216544568</v>
      </c>
      <c r="G116" s="8">
        <f t="shared" si="10"/>
        <v>5467.6534222693736</v>
      </c>
      <c r="H116" s="8">
        <f t="shared" si="11"/>
        <v>22490.194794275194</v>
      </c>
      <c r="I116" s="8">
        <f>$E$10-SUM($H$17:H116)</f>
        <v>502404.53374358499</v>
      </c>
      <c r="J116" s="8">
        <f>SUM($G$17:G116)</f>
        <v>1388189.355398041</v>
      </c>
    </row>
    <row r="117" spans="3:10" x14ac:dyDescent="0.3">
      <c r="C117" s="1">
        <v>101</v>
      </c>
      <c r="D117" s="12">
        <f t="shared" si="8"/>
        <v>46308</v>
      </c>
      <c r="E117" s="8">
        <f t="shared" si="7"/>
        <v>502404.53374358499</v>
      </c>
      <c r="F117" s="8">
        <f t="shared" si="9"/>
        <v>27957.848216544575</v>
      </c>
      <c r="G117" s="8">
        <f t="shared" si="10"/>
        <v>5233.3805598290128</v>
      </c>
      <c r="H117" s="8">
        <f t="shared" si="11"/>
        <v>22724.467656715562</v>
      </c>
      <c r="I117" s="8">
        <f>$E$10-SUM($H$17:H117)</f>
        <v>479680.06608686945</v>
      </c>
      <c r="J117" s="8">
        <f>SUM($G$17:G117)</f>
        <v>1393422.73595787</v>
      </c>
    </row>
    <row r="118" spans="3:10" x14ac:dyDescent="0.3">
      <c r="C118" s="1">
        <v>102</v>
      </c>
      <c r="D118" s="12">
        <f t="shared" si="8"/>
        <v>46339</v>
      </c>
      <c r="E118" s="8">
        <f t="shared" si="7"/>
        <v>479680.06608686945</v>
      </c>
      <c r="F118" s="8">
        <f t="shared" si="9"/>
        <v>27957.848216544578</v>
      </c>
      <c r="G118" s="8">
        <f t="shared" si="10"/>
        <v>4996.6673550715532</v>
      </c>
      <c r="H118" s="8">
        <f t="shared" si="11"/>
        <v>22961.180861473025</v>
      </c>
      <c r="I118" s="8">
        <f>$E$10-SUM($H$17:H118)</f>
        <v>456718.88522539637</v>
      </c>
      <c r="J118" s="8">
        <f>SUM($G$17:G118)</f>
        <v>1398419.4033129415</v>
      </c>
    </row>
    <row r="119" spans="3:10" x14ac:dyDescent="0.3">
      <c r="C119" s="1">
        <v>103</v>
      </c>
      <c r="D119" s="12">
        <f t="shared" si="8"/>
        <v>46369</v>
      </c>
      <c r="E119" s="8">
        <f t="shared" si="7"/>
        <v>456718.88522539637</v>
      </c>
      <c r="F119" s="8">
        <f t="shared" si="9"/>
        <v>27957.848216544575</v>
      </c>
      <c r="G119" s="8">
        <f t="shared" si="10"/>
        <v>4757.4883877645443</v>
      </c>
      <c r="H119" s="8">
        <f t="shared" si="11"/>
        <v>23200.359828780031</v>
      </c>
      <c r="I119" s="8">
        <f>$E$10-SUM($H$17:H119)</f>
        <v>433518.52539661643</v>
      </c>
      <c r="J119" s="8">
        <f>SUM($G$17:G119)</f>
        <v>1403176.891700706</v>
      </c>
    </row>
    <row r="120" spans="3:10" x14ac:dyDescent="0.3">
      <c r="C120" s="1">
        <v>104</v>
      </c>
      <c r="D120" s="12">
        <f t="shared" si="8"/>
        <v>46400</v>
      </c>
      <c r="E120" s="8">
        <f t="shared" si="7"/>
        <v>433518.52539661643</v>
      </c>
      <c r="F120" s="8">
        <f t="shared" si="9"/>
        <v>27957.848216544578</v>
      </c>
      <c r="G120" s="8">
        <f t="shared" si="10"/>
        <v>4515.8179728814175</v>
      </c>
      <c r="H120" s="8">
        <f t="shared" si="11"/>
        <v>23442.030243663161</v>
      </c>
      <c r="I120" s="8">
        <f>$E$10-SUM($H$17:H120)</f>
        <v>410076.49515295331</v>
      </c>
      <c r="J120" s="8">
        <f>SUM($G$17:G120)</f>
        <v>1407692.7096735875</v>
      </c>
    </row>
    <row r="121" spans="3:10" x14ac:dyDescent="0.3">
      <c r="C121" s="1">
        <v>105</v>
      </c>
      <c r="D121" s="12">
        <f t="shared" si="8"/>
        <v>46431</v>
      </c>
      <c r="E121" s="8">
        <f t="shared" si="7"/>
        <v>410076.49515295331</v>
      </c>
      <c r="F121" s="8">
        <f t="shared" si="9"/>
        <v>27957.848216544582</v>
      </c>
      <c r="G121" s="8">
        <f t="shared" si="10"/>
        <v>4271.6301578432649</v>
      </c>
      <c r="H121" s="8">
        <f t="shared" si="11"/>
        <v>23686.218058701317</v>
      </c>
      <c r="I121" s="8">
        <f>$E$10-SUM($H$17:H121)</f>
        <v>386390.27709425194</v>
      </c>
      <c r="J121" s="8">
        <f>SUM($G$17:G121)</f>
        <v>1411964.3398314307</v>
      </c>
    </row>
    <row r="122" spans="3:10" x14ac:dyDescent="0.3">
      <c r="C122" s="1">
        <v>106</v>
      </c>
      <c r="D122" s="12">
        <f t="shared" si="8"/>
        <v>46459</v>
      </c>
      <c r="E122" s="8">
        <f t="shared" si="7"/>
        <v>386390.27709425194</v>
      </c>
      <c r="F122" s="8">
        <f t="shared" si="9"/>
        <v>27957.848216544578</v>
      </c>
      <c r="G122" s="8">
        <f t="shared" si="10"/>
        <v>4024.8987197317911</v>
      </c>
      <c r="H122" s="8">
        <f t="shared" si="11"/>
        <v>23932.949496812787</v>
      </c>
      <c r="I122" s="8">
        <f>$E$10-SUM($H$17:H122)</f>
        <v>362457.32759743906</v>
      </c>
      <c r="J122" s="8">
        <f>SUM($G$17:G122)</f>
        <v>1415989.2385511624</v>
      </c>
    </row>
    <row r="123" spans="3:10" x14ac:dyDescent="0.3">
      <c r="C123" s="1">
        <v>107</v>
      </c>
      <c r="D123" s="12">
        <f t="shared" si="8"/>
        <v>46490</v>
      </c>
      <c r="E123" s="8">
        <f t="shared" si="7"/>
        <v>362457.32759743906</v>
      </c>
      <c r="F123" s="8">
        <f t="shared" si="9"/>
        <v>27957.848216544568</v>
      </c>
      <c r="G123" s="8">
        <f t="shared" si="10"/>
        <v>3775.5971624733247</v>
      </c>
      <c r="H123" s="8">
        <f t="shared" si="11"/>
        <v>24182.251054071243</v>
      </c>
      <c r="I123" s="8">
        <f>$E$10-SUM($H$17:H123)</f>
        <v>338275.0765433677</v>
      </c>
      <c r="J123" s="8">
        <f>SUM($G$17:G123)</f>
        <v>1419764.8357136357</v>
      </c>
    </row>
    <row r="124" spans="3:10" x14ac:dyDescent="0.3">
      <c r="C124" s="1">
        <v>108</v>
      </c>
      <c r="D124" s="12">
        <f t="shared" si="8"/>
        <v>46520</v>
      </c>
      <c r="E124" s="8">
        <f t="shared" si="7"/>
        <v>338275.0765433677</v>
      </c>
      <c r="F124" s="8">
        <f t="shared" si="9"/>
        <v>27957.848216544564</v>
      </c>
      <c r="G124" s="8">
        <f t="shared" si="10"/>
        <v>3523.6987139934099</v>
      </c>
      <c r="H124" s="8">
        <f t="shared" si="11"/>
        <v>24434.149502551154</v>
      </c>
      <c r="I124" s="8">
        <f>$E$10-SUM($H$17:H124)</f>
        <v>313840.92704081652</v>
      </c>
      <c r="J124" s="8">
        <f>SUM($G$17:G124)</f>
        <v>1423288.5344276291</v>
      </c>
    </row>
    <row r="125" spans="3:10" x14ac:dyDescent="0.3">
      <c r="C125" s="1">
        <v>109</v>
      </c>
      <c r="D125" s="12">
        <f t="shared" si="8"/>
        <v>46551</v>
      </c>
      <c r="E125" s="8">
        <f t="shared" si="7"/>
        <v>313840.92704081652</v>
      </c>
      <c r="F125" s="8">
        <f t="shared" si="9"/>
        <v>27957.848216544564</v>
      </c>
      <c r="G125" s="8">
        <f t="shared" si="10"/>
        <v>3269.1763233418424</v>
      </c>
      <c r="H125" s="8">
        <f t="shared" si="11"/>
        <v>24688.671893202722</v>
      </c>
      <c r="I125" s="8">
        <f>$E$10-SUM($H$17:H125)</f>
        <v>289152.25514761382</v>
      </c>
      <c r="J125" s="8">
        <f>SUM($G$17:G125)</f>
        <v>1426557.710750971</v>
      </c>
    </row>
    <row r="126" spans="3:10" x14ac:dyDescent="0.3">
      <c r="C126" s="1">
        <v>110</v>
      </c>
      <c r="D126" s="12">
        <f t="shared" si="8"/>
        <v>46581</v>
      </c>
      <c r="E126" s="8">
        <f t="shared" si="7"/>
        <v>289152.25514761382</v>
      </c>
      <c r="F126" s="8">
        <f t="shared" si="9"/>
        <v>27957.84821654456</v>
      </c>
      <c r="G126" s="8">
        <f t="shared" si="10"/>
        <v>3012.0026577876488</v>
      </c>
      <c r="H126" s="8">
        <f t="shared" si="11"/>
        <v>24945.845558756911</v>
      </c>
      <c r="I126" s="8">
        <f>$E$10-SUM($H$17:H126)</f>
        <v>264206.40958885686</v>
      </c>
      <c r="J126" s="8">
        <f>SUM($G$17:G126)</f>
        <v>1429569.7134087586</v>
      </c>
    </row>
    <row r="127" spans="3:10" x14ac:dyDescent="0.3">
      <c r="C127" s="1">
        <v>111</v>
      </c>
      <c r="D127" s="12">
        <f t="shared" si="8"/>
        <v>46612</v>
      </c>
      <c r="E127" s="8">
        <f t="shared" si="7"/>
        <v>264206.40958885686</v>
      </c>
      <c r="F127" s="8">
        <f t="shared" si="9"/>
        <v>27957.84821654456</v>
      </c>
      <c r="G127" s="8">
        <f t="shared" si="10"/>
        <v>2752.1500998839256</v>
      </c>
      <c r="H127" s="8">
        <f t="shared" si="11"/>
        <v>25205.698116660635</v>
      </c>
      <c r="I127" s="8">
        <f>$E$10-SUM($H$17:H127)</f>
        <v>239000.71147219627</v>
      </c>
      <c r="J127" s="8">
        <f>SUM($G$17:G127)</f>
        <v>1432321.8635086427</v>
      </c>
    </row>
    <row r="128" spans="3:10" x14ac:dyDescent="0.3">
      <c r="C128" s="1">
        <v>112</v>
      </c>
      <c r="D128" s="12">
        <f t="shared" si="8"/>
        <v>46643</v>
      </c>
      <c r="E128" s="8">
        <f t="shared" si="7"/>
        <v>239000.71147219627</v>
      </c>
      <c r="F128" s="8">
        <f t="shared" si="9"/>
        <v>27957.848216544564</v>
      </c>
      <c r="G128" s="8">
        <f t="shared" si="10"/>
        <v>2489.5907445020421</v>
      </c>
      <c r="H128" s="8">
        <f t="shared" si="11"/>
        <v>25468.257472042522</v>
      </c>
      <c r="I128" s="8">
        <f>$E$10-SUM($H$17:H128)</f>
        <v>213532.45400015381</v>
      </c>
      <c r="J128" s="8">
        <f>SUM($G$17:G128)</f>
        <v>1434811.4542531448</v>
      </c>
    </row>
    <row r="129" spans="3:10" x14ac:dyDescent="0.3">
      <c r="C129" s="1">
        <v>113</v>
      </c>
      <c r="D129" s="12">
        <f t="shared" si="8"/>
        <v>46673</v>
      </c>
      <c r="E129" s="8">
        <f t="shared" si="7"/>
        <v>213532.45400015381</v>
      </c>
      <c r="F129" s="8">
        <f t="shared" si="9"/>
        <v>27957.848216544575</v>
      </c>
      <c r="G129" s="8">
        <f t="shared" si="10"/>
        <v>2224.2963958349392</v>
      </c>
      <c r="H129" s="8">
        <f t="shared" si="11"/>
        <v>25733.551820709636</v>
      </c>
      <c r="I129" s="8">
        <f>$E$10-SUM($H$17:H129)</f>
        <v>187798.90217944421</v>
      </c>
      <c r="J129" s="8">
        <f>SUM($G$17:G129)</f>
        <v>1437035.7506489798</v>
      </c>
    </row>
    <row r="130" spans="3:10" x14ac:dyDescent="0.3">
      <c r="C130" s="1">
        <v>114</v>
      </c>
      <c r="D130" s="12">
        <f t="shared" si="8"/>
        <v>46704</v>
      </c>
      <c r="E130" s="8">
        <f t="shared" si="7"/>
        <v>187798.90217944421</v>
      </c>
      <c r="F130" s="8">
        <f t="shared" si="9"/>
        <v>27957.848216544575</v>
      </c>
      <c r="G130" s="8">
        <f t="shared" si="10"/>
        <v>1956.2385643692105</v>
      </c>
      <c r="H130" s="8">
        <f t="shared" si="11"/>
        <v>26001.609652175364</v>
      </c>
      <c r="I130" s="8">
        <f>$E$10-SUM($H$17:H130)</f>
        <v>161797.29252726887</v>
      </c>
      <c r="J130" s="8">
        <f>SUM($G$17:G130)</f>
        <v>1438991.9892133491</v>
      </c>
    </row>
    <row r="131" spans="3:10" x14ac:dyDescent="0.3">
      <c r="C131" s="1">
        <v>115</v>
      </c>
      <c r="D131" s="12">
        <f t="shared" si="8"/>
        <v>46734</v>
      </c>
      <c r="E131" s="8">
        <f t="shared" ref="E131:E194" si="12">I130</f>
        <v>161797.29252726887</v>
      </c>
      <c r="F131" s="8">
        <f t="shared" si="9"/>
        <v>27957.848216544589</v>
      </c>
      <c r="G131" s="8">
        <f t="shared" si="10"/>
        <v>1685.3884638257223</v>
      </c>
      <c r="H131" s="8">
        <f t="shared" si="11"/>
        <v>26272.459752718867</v>
      </c>
      <c r="I131" s="8">
        <f>$E$10-SUM($H$17:H131)</f>
        <v>135524.83277454996</v>
      </c>
      <c r="J131" s="8">
        <f>SUM($G$17:G131)</f>
        <v>1440677.3776771748</v>
      </c>
    </row>
    <row r="132" spans="3:10" x14ac:dyDescent="0.3">
      <c r="C132" s="1">
        <v>116</v>
      </c>
      <c r="D132" s="12">
        <f t="shared" si="8"/>
        <v>46765</v>
      </c>
      <c r="E132" s="8">
        <f t="shared" si="12"/>
        <v>135524.83277454996</v>
      </c>
      <c r="F132" s="8">
        <f t="shared" si="9"/>
        <v>27957.848216544578</v>
      </c>
      <c r="G132" s="8">
        <f t="shared" si="10"/>
        <v>1411.7170080682299</v>
      </c>
      <c r="H132" s="8">
        <f t="shared" si="11"/>
        <v>26546.131208476349</v>
      </c>
      <c r="I132" s="8">
        <f>$E$10-SUM($H$17:H132)</f>
        <v>108978.70156607358</v>
      </c>
      <c r="J132" s="8">
        <f>SUM($G$17:G132)</f>
        <v>1442089.094685243</v>
      </c>
    </row>
    <row r="133" spans="3:10" x14ac:dyDescent="0.3">
      <c r="C133" s="1">
        <v>117</v>
      </c>
      <c r="D133" s="12">
        <f t="shared" si="8"/>
        <v>46796</v>
      </c>
      <c r="E133" s="8">
        <f t="shared" si="12"/>
        <v>108978.70156607358</v>
      </c>
      <c r="F133" s="8">
        <f t="shared" si="9"/>
        <v>27957.848216544568</v>
      </c>
      <c r="G133" s="8">
        <f t="shared" si="10"/>
        <v>1135.1948079799331</v>
      </c>
      <c r="H133" s="8">
        <f t="shared" si="11"/>
        <v>26822.653408564634</v>
      </c>
      <c r="I133" s="8">
        <f>$E$10-SUM($H$17:H133)</f>
        <v>82156.048157508951</v>
      </c>
      <c r="J133" s="8">
        <f>SUM($G$17:G133)</f>
        <v>1443224.289493223</v>
      </c>
    </row>
    <row r="134" spans="3:10" x14ac:dyDescent="0.3">
      <c r="C134" s="1">
        <v>118</v>
      </c>
      <c r="D134" s="12">
        <f t="shared" si="8"/>
        <v>46825</v>
      </c>
      <c r="E134" s="8">
        <f t="shared" si="12"/>
        <v>82156.048157508951</v>
      </c>
      <c r="F134" s="8">
        <f t="shared" si="9"/>
        <v>27957.848216544575</v>
      </c>
      <c r="G134" s="8">
        <f t="shared" si="10"/>
        <v>855.79216830738733</v>
      </c>
      <c r="H134" s="8">
        <f t="shared" si="11"/>
        <v>27102.056048237187</v>
      </c>
      <c r="I134" s="8">
        <f>$E$10-SUM($H$17:H134)</f>
        <v>55053.992109271698</v>
      </c>
      <c r="J134" s="8">
        <f>SUM($G$17:G134)</f>
        <v>1444080.0816615303</v>
      </c>
    </row>
    <row r="135" spans="3:10" x14ac:dyDescent="0.3">
      <c r="C135" s="1">
        <v>119</v>
      </c>
      <c r="D135" s="12">
        <f t="shared" si="8"/>
        <v>46856</v>
      </c>
      <c r="E135" s="8">
        <f t="shared" si="12"/>
        <v>55053.992109271698</v>
      </c>
      <c r="F135" s="8">
        <f t="shared" si="9"/>
        <v>27957.848216544546</v>
      </c>
      <c r="G135" s="8">
        <f t="shared" si="10"/>
        <v>573.47908447158261</v>
      </c>
      <c r="H135" s="8">
        <f t="shared" si="11"/>
        <v>27384.369132072963</v>
      </c>
      <c r="I135" s="8">
        <f>$E$10-SUM($H$17:H135)</f>
        <v>27669.6229771988</v>
      </c>
      <c r="J135" s="8">
        <f>SUM($G$17:G135)</f>
        <v>1444653.5607460018</v>
      </c>
    </row>
    <row r="136" spans="3:10" x14ac:dyDescent="0.3">
      <c r="C136" s="1">
        <v>120</v>
      </c>
      <c r="D136" s="12">
        <f t="shared" si="8"/>
        <v>46886</v>
      </c>
      <c r="E136" s="8">
        <f t="shared" si="12"/>
        <v>27669.6229771988</v>
      </c>
      <c r="F136" s="8">
        <f t="shared" si="9"/>
        <v>27957.848216544618</v>
      </c>
      <c r="G136" s="8">
        <f t="shared" si="10"/>
        <v>288.22523934581841</v>
      </c>
      <c r="H136" s="8">
        <f t="shared" si="11"/>
        <v>27669.6229771988</v>
      </c>
      <c r="I136" s="8">
        <f>$E$10-SUM($H$17:H136)</f>
        <v>0</v>
      </c>
      <c r="J136" s="8">
        <f>SUM($G$17:G136)</f>
        <v>1444941.7859853476</v>
      </c>
    </row>
    <row r="137" spans="3:10" x14ac:dyDescent="0.3">
      <c r="D137" s="12">
        <f t="shared" si="8"/>
        <v>46917</v>
      </c>
      <c r="E137" s="8">
        <f t="shared" si="12"/>
        <v>0</v>
      </c>
      <c r="F137" s="8">
        <f t="shared" si="9"/>
        <v>0</v>
      </c>
      <c r="G137" s="8">
        <f t="shared" si="10"/>
        <v>0</v>
      </c>
      <c r="H137" s="8">
        <f t="shared" si="11"/>
        <v>0</v>
      </c>
      <c r="I137" s="8">
        <f>$E$10-SUM($H$17:H137)</f>
        <v>0</v>
      </c>
      <c r="J137" s="8">
        <f>SUM($G$17:G137)</f>
        <v>1444941.7859853476</v>
      </c>
    </row>
    <row r="138" spans="3:10" x14ac:dyDescent="0.3">
      <c r="D138" s="12">
        <f t="shared" si="8"/>
        <v>46947</v>
      </c>
      <c r="E138" s="8">
        <f t="shared" si="12"/>
        <v>0</v>
      </c>
      <c r="F138" s="8">
        <f t="shared" si="9"/>
        <v>0</v>
      </c>
      <c r="G138" s="8">
        <f t="shared" si="10"/>
        <v>0</v>
      </c>
      <c r="H138" s="8">
        <f t="shared" si="11"/>
        <v>0</v>
      </c>
      <c r="I138" s="8">
        <f>$E$10-SUM($H$17:H138)</f>
        <v>0</v>
      </c>
      <c r="J138" s="8">
        <f>SUM($G$17:G138)</f>
        <v>1444941.7859853476</v>
      </c>
    </row>
    <row r="139" spans="3:10" x14ac:dyDescent="0.3">
      <c r="D139" s="12">
        <f t="shared" si="8"/>
        <v>46978</v>
      </c>
      <c r="E139" s="8">
        <f t="shared" si="12"/>
        <v>0</v>
      </c>
      <c r="F139" s="8">
        <f t="shared" si="9"/>
        <v>0</v>
      </c>
      <c r="G139" s="8">
        <f t="shared" si="10"/>
        <v>0</v>
      </c>
      <c r="H139" s="8">
        <f t="shared" si="11"/>
        <v>0</v>
      </c>
      <c r="I139" s="8">
        <f>$E$10-SUM($H$17:H139)</f>
        <v>0</v>
      </c>
      <c r="J139" s="8">
        <f>SUM($G$17:G139)</f>
        <v>1444941.7859853476</v>
      </c>
    </row>
    <row r="140" spans="3:10" x14ac:dyDescent="0.3">
      <c r="D140" s="12">
        <f t="shared" si="8"/>
        <v>47009</v>
      </c>
      <c r="E140" s="8">
        <f t="shared" si="12"/>
        <v>0</v>
      </c>
      <c r="F140" s="8">
        <f t="shared" si="9"/>
        <v>0</v>
      </c>
      <c r="G140" s="8">
        <f t="shared" si="10"/>
        <v>0</v>
      </c>
      <c r="H140" s="8">
        <f t="shared" si="11"/>
        <v>0</v>
      </c>
      <c r="I140" s="8">
        <f>$E$10-SUM($H$17:H140)</f>
        <v>0</v>
      </c>
      <c r="J140" s="8">
        <f>SUM($G$17:G140)</f>
        <v>1444941.7859853476</v>
      </c>
    </row>
    <row r="141" spans="3:10" x14ac:dyDescent="0.3">
      <c r="D141" s="12">
        <f t="shared" si="8"/>
        <v>47039</v>
      </c>
      <c r="E141" s="8">
        <f t="shared" si="12"/>
        <v>0</v>
      </c>
      <c r="F141" s="8">
        <f t="shared" si="9"/>
        <v>0</v>
      </c>
      <c r="G141" s="8">
        <f t="shared" si="10"/>
        <v>0</v>
      </c>
      <c r="H141" s="8">
        <f t="shared" si="11"/>
        <v>0</v>
      </c>
      <c r="I141" s="8">
        <f>$E$10-SUM($H$17:H141)</f>
        <v>0</v>
      </c>
      <c r="J141" s="8">
        <f>SUM($G$17:G141)</f>
        <v>1444941.7859853476</v>
      </c>
    </row>
    <row r="142" spans="3:10" x14ac:dyDescent="0.3">
      <c r="D142" s="12">
        <f t="shared" si="8"/>
        <v>47070</v>
      </c>
      <c r="E142" s="8">
        <f t="shared" si="12"/>
        <v>0</v>
      </c>
      <c r="F142" s="8">
        <f t="shared" si="9"/>
        <v>0</v>
      </c>
      <c r="G142" s="8">
        <f t="shared" si="10"/>
        <v>0</v>
      </c>
      <c r="H142" s="8">
        <f t="shared" si="11"/>
        <v>0</v>
      </c>
      <c r="I142" s="8">
        <f>$E$10-SUM($H$17:H142)</f>
        <v>0</v>
      </c>
      <c r="J142" s="8">
        <f>SUM($G$17:G142)</f>
        <v>1444941.7859853476</v>
      </c>
    </row>
    <row r="143" spans="3:10" x14ac:dyDescent="0.3">
      <c r="D143" s="12">
        <f t="shared" si="8"/>
        <v>47100</v>
      </c>
      <c r="E143" s="8">
        <f t="shared" si="12"/>
        <v>0</v>
      </c>
      <c r="F143" s="8">
        <f t="shared" si="9"/>
        <v>0</v>
      </c>
      <c r="G143" s="8">
        <f t="shared" si="10"/>
        <v>0</v>
      </c>
      <c r="H143" s="8">
        <f t="shared" si="11"/>
        <v>0</v>
      </c>
      <c r="I143" s="8">
        <f>$E$10-SUM($H$17:H143)</f>
        <v>0</v>
      </c>
      <c r="J143" s="8">
        <f>SUM($G$17:G143)</f>
        <v>1444941.7859853476</v>
      </c>
    </row>
    <row r="144" spans="3:10" x14ac:dyDescent="0.3">
      <c r="D144" s="12">
        <f t="shared" si="8"/>
        <v>47131</v>
      </c>
      <c r="E144" s="8">
        <f t="shared" si="12"/>
        <v>0</v>
      </c>
      <c r="F144" s="8">
        <f t="shared" si="9"/>
        <v>0</v>
      </c>
      <c r="G144" s="8">
        <f t="shared" si="10"/>
        <v>0</v>
      </c>
      <c r="H144" s="8">
        <f t="shared" si="11"/>
        <v>0</v>
      </c>
      <c r="I144" s="8">
        <f>$E$10-SUM($H$17:H144)</f>
        <v>0</v>
      </c>
      <c r="J144" s="8">
        <f>SUM($G$17:G144)</f>
        <v>1444941.7859853476</v>
      </c>
    </row>
    <row r="145" spans="4:10" x14ac:dyDescent="0.3">
      <c r="D145" s="12">
        <f t="shared" si="8"/>
        <v>47162</v>
      </c>
      <c r="E145" s="8">
        <f t="shared" si="12"/>
        <v>0</v>
      </c>
      <c r="F145" s="8">
        <f t="shared" si="9"/>
        <v>0</v>
      </c>
      <c r="G145" s="8">
        <f t="shared" si="10"/>
        <v>0</v>
      </c>
      <c r="H145" s="8">
        <f t="shared" si="11"/>
        <v>0</v>
      </c>
      <c r="I145" s="8">
        <f>$E$10-SUM($H$17:H145)</f>
        <v>0</v>
      </c>
      <c r="J145" s="8">
        <f>SUM($G$17:G145)</f>
        <v>1444941.7859853476</v>
      </c>
    </row>
    <row r="146" spans="4:10" x14ac:dyDescent="0.3">
      <c r="D146" s="12">
        <f t="shared" ref="D146:D209" si="13">EDATE(D145,1)</f>
        <v>47190</v>
      </c>
      <c r="E146" s="8">
        <f t="shared" si="12"/>
        <v>0</v>
      </c>
      <c r="F146" s="8">
        <f t="shared" ref="F146:F209" si="14">-PMT($E$9/12,$E$11-C146+1,IF(C146=1,$E$10,I145))</f>
        <v>0</v>
      </c>
      <c r="G146" s="8">
        <f t="shared" ref="G146:G209" si="15">F146-H146</f>
        <v>0</v>
      </c>
      <c r="H146" s="8">
        <f t="shared" ref="H146:H209" si="16">-PPMT($E$9/12,1,$E$11-C146+1,IF(C146=1,$E$10,I145))</f>
        <v>0</v>
      </c>
      <c r="I146" s="8">
        <f>$E$10-SUM($H$17:H146)</f>
        <v>0</v>
      </c>
      <c r="J146" s="8">
        <f>SUM($G$17:G146)</f>
        <v>1444941.7859853476</v>
      </c>
    </row>
    <row r="147" spans="4:10" x14ac:dyDescent="0.3">
      <c r="D147" s="12">
        <f t="shared" si="13"/>
        <v>47221</v>
      </c>
      <c r="E147" s="8">
        <f t="shared" si="12"/>
        <v>0</v>
      </c>
      <c r="F147" s="8">
        <f t="shared" si="14"/>
        <v>0</v>
      </c>
      <c r="G147" s="8">
        <f t="shared" si="15"/>
        <v>0</v>
      </c>
      <c r="H147" s="8">
        <f t="shared" si="16"/>
        <v>0</v>
      </c>
      <c r="I147" s="8">
        <f>$E$10-SUM($H$17:H147)</f>
        <v>0</v>
      </c>
      <c r="J147" s="8">
        <f>SUM($G$17:G147)</f>
        <v>1444941.7859853476</v>
      </c>
    </row>
    <row r="148" spans="4:10" x14ac:dyDescent="0.3">
      <c r="D148" s="12">
        <f t="shared" si="13"/>
        <v>47251</v>
      </c>
      <c r="E148" s="8">
        <f t="shared" si="12"/>
        <v>0</v>
      </c>
      <c r="F148" s="8">
        <f t="shared" si="14"/>
        <v>0</v>
      </c>
      <c r="G148" s="8">
        <f t="shared" si="15"/>
        <v>0</v>
      </c>
      <c r="H148" s="8">
        <f t="shared" si="16"/>
        <v>0</v>
      </c>
      <c r="I148" s="8">
        <f>$E$10-SUM($H$17:H148)</f>
        <v>0</v>
      </c>
      <c r="J148" s="8">
        <f>SUM($G$17:G148)</f>
        <v>1444941.7859853476</v>
      </c>
    </row>
    <row r="149" spans="4:10" x14ac:dyDescent="0.3">
      <c r="D149" s="12">
        <f t="shared" si="13"/>
        <v>47282</v>
      </c>
      <c r="E149" s="8">
        <f t="shared" si="12"/>
        <v>0</v>
      </c>
      <c r="F149" s="8">
        <f t="shared" si="14"/>
        <v>0</v>
      </c>
      <c r="G149" s="8">
        <f t="shared" si="15"/>
        <v>0</v>
      </c>
      <c r="H149" s="8">
        <f t="shared" si="16"/>
        <v>0</v>
      </c>
      <c r="I149" s="8">
        <f>$E$10-SUM($H$17:H149)</f>
        <v>0</v>
      </c>
      <c r="J149" s="8">
        <f>SUM($G$17:G149)</f>
        <v>1444941.7859853476</v>
      </c>
    </row>
    <row r="150" spans="4:10" x14ac:dyDescent="0.3">
      <c r="D150" s="12">
        <f t="shared" si="13"/>
        <v>47312</v>
      </c>
      <c r="E150" s="8">
        <f t="shared" si="12"/>
        <v>0</v>
      </c>
      <c r="F150" s="8">
        <f t="shared" si="14"/>
        <v>0</v>
      </c>
      <c r="G150" s="8">
        <f t="shared" si="15"/>
        <v>0</v>
      </c>
      <c r="H150" s="8">
        <f t="shared" si="16"/>
        <v>0</v>
      </c>
      <c r="I150" s="8">
        <f>$E$10-SUM($H$17:H150)</f>
        <v>0</v>
      </c>
      <c r="J150" s="8">
        <f>SUM($G$17:G150)</f>
        <v>1444941.7859853476</v>
      </c>
    </row>
    <row r="151" spans="4:10" x14ac:dyDescent="0.3">
      <c r="D151" s="12">
        <f t="shared" si="13"/>
        <v>47343</v>
      </c>
      <c r="E151" s="8">
        <f t="shared" si="12"/>
        <v>0</v>
      </c>
      <c r="F151" s="8">
        <f t="shared" si="14"/>
        <v>0</v>
      </c>
      <c r="G151" s="8">
        <f t="shared" si="15"/>
        <v>0</v>
      </c>
      <c r="H151" s="8">
        <f t="shared" si="16"/>
        <v>0</v>
      </c>
      <c r="I151" s="8">
        <f>$E$10-SUM($H$17:H151)</f>
        <v>0</v>
      </c>
      <c r="J151" s="8">
        <f>SUM($G$17:G151)</f>
        <v>1444941.7859853476</v>
      </c>
    </row>
    <row r="152" spans="4:10" x14ac:dyDescent="0.3">
      <c r="D152" s="12">
        <f t="shared" si="13"/>
        <v>47374</v>
      </c>
      <c r="E152" s="8">
        <f t="shared" si="12"/>
        <v>0</v>
      </c>
      <c r="F152" s="8">
        <f t="shared" si="14"/>
        <v>0</v>
      </c>
      <c r="G152" s="8">
        <f t="shared" si="15"/>
        <v>0</v>
      </c>
      <c r="H152" s="8">
        <f t="shared" si="16"/>
        <v>0</v>
      </c>
      <c r="I152" s="8">
        <f>$E$10-SUM($H$17:H152)</f>
        <v>0</v>
      </c>
      <c r="J152" s="8">
        <f>SUM($G$17:G152)</f>
        <v>1444941.7859853476</v>
      </c>
    </row>
    <row r="153" spans="4:10" x14ac:dyDescent="0.3">
      <c r="D153" s="12">
        <f t="shared" si="13"/>
        <v>47404</v>
      </c>
      <c r="E153" s="8">
        <f t="shared" si="12"/>
        <v>0</v>
      </c>
      <c r="F153" s="8">
        <f t="shared" si="14"/>
        <v>0</v>
      </c>
      <c r="G153" s="8">
        <f t="shared" si="15"/>
        <v>0</v>
      </c>
      <c r="H153" s="8">
        <f t="shared" si="16"/>
        <v>0</v>
      </c>
      <c r="I153" s="8">
        <f>$E$10-SUM($H$17:H153)</f>
        <v>0</v>
      </c>
      <c r="J153" s="8">
        <f>SUM($G$17:G153)</f>
        <v>1444941.7859853476</v>
      </c>
    </row>
    <row r="154" spans="4:10" x14ac:dyDescent="0.3">
      <c r="D154" s="12">
        <f t="shared" si="13"/>
        <v>47435</v>
      </c>
      <c r="E154" s="8">
        <f t="shared" si="12"/>
        <v>0</v>
      </c>
      <c r="F154" s="8">
        <f t="shared" si="14"/>
        <v>0</v>
      </c>
      <c r="G154" s="8">
        <f t="shared" si="15"/>
        <v>0</v>
      </c>
      <c r="H154" s="8">
        <f t="shared" si="16"/>
        <v>0</v>
      </c>
      <c r="I154" s="8">
        <f>$E$10-SUM($H$17:H154)</f>
        <v>0</v>
      </c>
      <c r="J154" s="8">
        <f>SUM($G$17:G154)</f>
        <v>1444941.7859853476</v>
      </c>
    </row>
    <row r="155" spans="4:10" x14ac:dyDescent="0.3">
      <c r="D155" s="12">
        <f t="shared" si="13"/>
        <v>47465</v>
      </c>
      <c r="E155" s="8">
        <f t="shared" si="12"/>
        <v>0</v>
      </c>
      <c r="F155" s="8">
        <f t="shared" si="14"/>
        <v>0</v>
      </c>
      <c r="G155" s="8">
        <f t="shared" si="15"/>
        <v>0</v>
      </c>
      <c r="H155" s="8">
        <f t="shared" si="16"/>
        <v>0</v>
      </c>
      <c r="I155" s="8">
        <f>$E$10-SUM($H$17:H155)</f>
        <v>0</v>
      </c>
      <c r="J155" s="8">
        <f>SUM($G$17:G155)</f>
        <v>1444941.7859853476</v>
      </c>
    </row>
    <row r="156" spans="4:10" x14ac:dyDescent="0.3">
      <c r="D156" s="12">
        <f t="shared" si="13"/>
        <v>47496</v>
      </c>
      <c r="E156" s="8">
        <f t="shared" si="12"/>
        <v>0</v>
      </c>
      <c r="F156" s="8">
        <f t="shared" si="14"/>
        <v>0</v>
      </c>
      <c r="G156" s="8">
        <f t="shared" si="15"/>
        <v>0</v>
      </c>
      <c r="H156" s="8">
        <f t="shared" si="16"/>
        <v>0</v>
      </c>
      <c r="I156" s="8">
        <f>$E$10-SUM($H$17:H156)</f>
        <v>0</v>
      </c>
      <c r="J156" s="8">
        <f>SUM($G$17:G156)</f>
        <v>1444941.7859853476</v>
      </c>
    </row>
    <row r="157" spans="4:10" x14ac:dyDescent="0.3">
      <c r="D157" s="12">
        <f t="shared" si="13"/>
        <v>47527</v>
      </c>
      <c r="E157" s="8">
        <f t="shared" si="12"/>
        <v>0</v>
      </c>
      <c r="F157" s="8">
        <f t="shared" si="14"/>
        <v>0</v>
      </c>
      <c r="G157" s="8">
        <f t="shared" si="15"/>
        <v>0</v>
      </c>
      <c r="H157" s="8">
        <f t="shared" si="16"/>
        <v>0</v>
      </c>
      <c r="I157" s="8">
        <f>$E$10-SUM($H$17:H157)</f>
        <v>0</v>
      </c>
      <c r="J157" s="8">
        <f>SUM($G$17:G157)</f>
        <v>1444941.7859853476</v>
      </c>
    </row>
    <row r="158" spans="4:10" x14ac:dyDescent="0.3">
      <c r="D158" s="12">
        <f t="shared" si="13"/>
        <v>47555</v>
      </c>
      <c r="E158" s="8">
        <f t="shared" si="12"/>
        <v>0</v>
      </c>
      <c r="F158" s="8">
        <f t="shared" si="14"/>
        <v>0</v>
      </c>
      <c r="G158" s="8">
        <f t="shared" si="15"/>
        <v>0</v>
      </c>
      <c r="H158" s="8">
        <f t="shared" si="16"/>
        <v>0</v>
      </c>
      <c r="I158" s="8">
        <f>$E$10-SUM($H$17:H158)</f>
        <v>0</v>
      </c>
      <c r="J158" s="8">
        <f>SUM($G$17:G158)</f>
        <v>1444941.7859853476</v>
      </c>
    </row>
    <row r="159" spans="4:10" x14ac:dyDescent="0.3">
      <c r="D159" s="12">
        <f t="shared" si="13"/>
        <v>47586</v>
      </c>
      <c r="E159" s="8">
        <f t="shared" si="12"/>
        <v>0</v>
      </c>
      <c r="F159" s="8">
        <f t="shared" si="14"/>
        <v>0</v>
      </c>
      <c r="G159" s="8">
        <f t="shared" si="15"/>
        <v>0</v>
      </c>
      <c r="H159" s="8">
        <f t="shared" si="16"/>
        <v>0</v>
      </c>
      <c r="I159" s="8">
        <f>$E$10-SUM($H$17:H159)</f>
        <v>0</v>
      </c>
      <c r="J159" s="8">
        <f>SUM($G$17:G159)</f>
        <v>1444941.7859853476</v>
      </c>
    </row>
    <row r="160" spans="4:10" x14ac:dyDescent="0.3">
      <c r="D160" s="12">
        <f t="shared" si="13"/>
        <v>47616</v>
      </c>
      <c r="E160" s="8">
        <f t="shared" si="12"/>
        <v>0</v>
      </c>
      <c r="F160" s="8">
        <f t="shared" si="14"/>
        <v>0</v>
      </c>
      <c r="G160" s="8">
        <f t="shared" si="15"/>
        <v>0</v>
      </c>
      <c r="H160" s="8">
        <f t="shared" si="16"/>
        <v>0</v>
      </c>
      <c r="I160" s="8">
        <f>$E$10-SUM($H$17:H160)</f>
        <v>0</v>
      </c>
      <c r="J160" s="8">
        <f>SUM($G$17:G160)</f>
        <v>1444941.7859853476</v>
      </c>
    </row>
    <row r="161" spans="4:10" x14ac:dyDescent="0.3">
      <c r="D161" s="12">
        <f t="shared" si="13"/>
        <v>47647</v>
      </c>
      <c r="E161" s="8">
        <f t="shared" si="12"/>
        <v>0</v>
      </c>
      <c r="F161" s="8">
        <f t="shared" si="14"/>
        <v>0</v>
      </c>
      <c r="G161" s="8">
        <f t="shared" si="15"/>
        <v>0</v>
      </c>
      <c r="H161" s="8">
        <f t="shared" si="16"/>
        <v>0</v>
      </c>
      <c r="I161" s="8">
        <f>$E$10-SUM($H$17:H161)</f>
        <v>0</v>
      </c>
      <c r="J161" s="8">
        <f>SUM($G$17:G161)</f>
        <v>1444941.7859853476</v>
      </c>
    </row>
    <row r="162" spans="4:10" x14ac:dyDescent="0.3">
      <c r="D162" s="12">
        <f t="shared" si="13"/>
        <v>47677</v>
      </c>
      <c r="E162" s="8">
        <f t="shared" si="12"/>
        <v>0</v>
      </c>
      <c r="F162" s="8">
        <f t="shared" si="14"/>
        <v>0</v>
      </c>
      <c r="G162" s="8">
        <f t="shared" si="15"/>
        <v>0</v>
      </c>
      <c r="H162" s="8">
        <f t="shared" si="16"/>
        <v>0</v>
      </c>
      <c r="I162" s="8">
        <f>$E$10-SUM($H$17:H162)</f>
        <v>0</v>
      </c>
      <c r="J162" s="8">
        <f>SUM($G$17:G162)</f>
        <v>1444941.7859853476</v>
      </c>
    </row>
    <row r="163" spans="4:10" x14ac:dyDescent="0.3">
      <c r="D163" s="12">
        <f t="shared" si="13"/>
        <v>47708</v>
      </c>
      <c r="E163" s="8">
        <f t="shared" si="12"/>
        <v>0</v>
      </c>
      <c r="F163" s="8">
        <f t="shared" si="14"/>
        <v>0</v>
      </c>
      <c r="G163" s="8">
        <f t="shared" si="15"/>
        <v>0</v>
      </c>
      <c r="H163" s="8">
        <f t="shared" si="16"/>
        <v>0</v>
      </c>
      <c r="I163" s="8">
        <f>$E$10-SUM($H$17:H163)</f>
        <v>0</v>
      </c>
      <c r="J163" s="8">
        <f>SUM($G$17:G163)</f>
        <v>1444941.7859853476</v>
      </c>
    </row>
    <row r="164" spans="4:10" x14ac:dyDescent="0.3">
      <c r="D164" s="12">
        <f t="shared" si="13"/>
        <v>47739</v>
      </c>
      <c r="E164" s="8">
        <f t="shared" si="12"/>
        <v>0</v>
      </c>
      <c r="F164" s="8">
        <f t="shared" si="14"/>
        <v>0</v>
      </c>
      <c r="G164" s="8">
        <f t="shared" si="15"/>
        <v>0</v>
      </c>
      <c r="H164" s="8">
        <f t="shared" si="16"/>
        <v>0</v>
      </c>
      <c r="I164" s="8">
        <f>$E$10-SUM($H$17:H164)</f>
        <v>0</v>
      </c>
      <c r="J164" s="8">
        <f>SUM($G$17:G164)</f>
        <v>1444941.7859853476</v>
      </c>
    </row>
    <row r="165" spans="4:10" x14ac:dyDescent="0.3">
      <c r="D165" s="12">
        <f t="shared" si="13"/>
        <v>47769</v>
      </c>
      <c r="E165" s="8">
        <f t="shared" si="12"/>
        <v>0</v>
      </c>
      <c r="F165" s="8">
        <f t="shared" si="14"/>
        <v>0</v>
      </c>
      <c r="G165" s="8">
        <f t="shared" si="15"/>
        <v>0</v>
      </c>
      <c r="H165" s="8">
        <f t="shared" si="16"/>
        <v>0</v>
      </c>
      <c r="I165" s="8">
        <f>$E$10-SUM($H$17:H165)</f>
        <v>0</v>
      </c>
      <c r="J165" s="8">
        <f>SUM($G$17:G165)</f>
        <v>1444941.7859853476</v>
      </c>
    </row>
    <row r="166" spans="4:10" x14ac:dyDescent="0.3">
      <c r="D166" s="12">
        <f t="shared" si="13"/>
        <v>47800</v>
      </c>
      <c r="E166" s="8">
        <f t="shared" si="12"/>
        <v>0</v>
      </c>
      <c r="F166" s="8">
        <f t="shared" si="14"/>
        <v>0</v>
      </c>
      <c r="G166" s="8">
        <f t="shared" si="15"/>
        <v>0</v>
      </c>
      <c r="H166" s="8">
        <f t="shared" si="16"/>
        <v>0</v>
      </c>
      <c r="I166" s="8">
        <f>$E$10-SUM($H$17:H166)</f>
        <v>0</v>
      </c>
      <c r="J166" s="8">
        <f>SUM($G$17:G166)</f>
        <v>1444941.7859853476</v>
      </c>
    </row>
    <row r="167" spans="4:10" x14ac:dyDescent="0.3">
      <c r="D167" s="12">
        <f t="shared" si="13"/>
        <v>47830</v>
      </c>
      <c r="E167" s="8">
        <f t="shared" si="12"/>
        <v>0</v>
      </c>
      <c r="F167" s="8">
        <f t="shared" si="14"/>
        <v>0</v>
      </c>
      <c r="G167" s="8">
        <f t="shared" si="15"/>
        <v>0</v>
      </c>
      <c r="H167" s="8">
        <f t="shared" si="16"/>
        <v>0</v>
      </c>
      <c r="I167" s="8">
        <f>$E$10-SUM($H$17:H167)</f>
        <v>0</v>
      </c>
      <c r="J167" s="8">
        <f>SUM($G$17:G167)</f>
        <v>1444941.7859853476</v>
      </c>
    </row>
    <row r="168" spans="4:10" x14ac:dyDescent="0.3">
      <c r="D168" s="12">
        <f t="shared" si="13"/>
        <v>47861</v>
      </c>
      <c r="E168" s="8">
        <f t="shared" si="12"/>
        <v>0</v>
      </c>
      <c r="F168" s="8">
        <f t="shared" si="14"/>
        <v>0</v>
      </c>
      <c r="G168" s="8">
        <f t="shared" si="15"/>
        <v>0</v>
      </c>
      <c r="H168" s="8">
        <f t="shared" si="16"/>
        <v>0</v>
      </c>
      <c r="I168" s="8">
        <f>$E$10-SUM($H$17:H168)</f>
        <v>0</v>
      </c>
      <c r="J168" s="8">
        <f>SUM($G$17:G168)</f>
        <v>1444941.7859853476</v>
      </c>
    </row>
    <row r="169" spans="4:10" x14ac:dyDescent="0.3">
      <c r="D169" s="12">
        <f t="shared" si="13"/>
        <v>47892</v>
      </c>
      <c r="E169" s="8">
        <f t="shared" si="12"/>
        <v>0</v>
      </c>
      <c r="F169" s="8">
        <f t="shared" si="14"/>
        <v>0</v>
      </c>
      <c r="G169" s="8">
        <f t="shared" si="15"/>
        <v>0</v>
      </c>
      <c r="H169" s="8">
        <f t="shared" si="16"/>
        <v>0</v>
      </c>
      <c r="I169" s="8">
        <f>$E$10-SUM($H$17:H169)</f>
        <v>0</v>
      </c>
      <c r="J169" s="8">
        <f>SUM($G$17:G169)</f>
        <v>1444941.7859853476</v>
      </c>
    </row>
    <row r="170" spans="4:10" x14ac:dyDescent="0.3">
      <c r="D170" s="12">
        <f t="shared" si="13"/>
        <v>47920</v>
      </c>
      <c r="E170" s="8">
        <f t="shared" si="12"/>
        <v>0</v>
      </c>
      <c r="F170" s="8">
        <f t="shared" si="14"/>
        <v>0</v>
      </c>
      <c r="G170" s="8">
        <f t="shared" si="15"/>
        <v>0</v>
      </c>
      <c r="H170" s="8">
        <f t="shared" si="16"/>
        <v>0</v>
      </c>
      <c r="I170" s="8">
        <f>$E$10-SUM($H$17:H170)</f>
        <v>0</v>
      </c>
      <c r="J170" s="8">
        <f>SUM($G$17:G170)</f>
        <v>1444941.7859853476</v>
      </c>
    </row>
    <row r="171" spans="4:10" x14ac:dyDescent="0.3">
      <c r="D171" s="12">
        <f t="shared" si="13"/>
        <v>47951</v>
      </c>
      <c r="E171" s="8">
        <f t="shared" si="12"/>
        <v>0</v>
      </c>
      <c r="F171" s="8">
        <f t="shared" si="14"/>
        <v>0</v>
      </c>
      <c r="G171" s="8">
        <f t="shared" si="15"/>
        <v>0</v>
      </c>
      <c r="H171" s="8">
        <f t="shared" si="16"/>
        <v>0</v>
      </c>
      <c r="I171" s="8">
        <f>$E$10-SUM($H$17:H171)</f>
        <v>0</v>
      </c>
      <c r="J171" s="8">
        <f>SUM($G$17:G171)</f>
        <v>1444941.7859853476</v>
      </c>
    </row>
    <row r="172" spans="4:10" x14ac:dyDescent="0.3">
      <c r="D172" s="12">
        <f t="shared" si="13"/>
        <v>47981</v>
      </c>
      <c r="E172" s="8">
        <f t="shared" si="12"/>
        <v>0</v>
      </c>
      <c r="F172" s="8">
        <f t="shared" si="14"/>
        <v>0</v>
      </c>
      <c r="G172" s="8">
        <f t="shared" si="15"/>
        <v>0</v>
      </c>
      <c r="H172" s="8">
        <f t="shared" si="16"/>
        <v>0</v>
      </c>
      <c r="I172" s="8">
        <f>$E$10-SUM($H$17:H172)</f>
        <v>0</v>
      </c>
      <c r="J172" s="8">
        <f>SUM($G$17:G172)</f>
        <v>1444941.7859853476</v>
      </c>
    </row>
    <row r="173" spans="4:10" x14ac:dyDescent="0.3">
      <c r="D173" s="12">
        <f t="shared" si="13"/>
        <v>48012</v>
      </c>
      <c r="E173" s="8">
        <f t="shared" si="12"/>
        <v>0</v>
      </c>
      <c r="F173" s="8">
        <f t="shared" si="14"/>
        <v>0</v>
      </c>
      <c r="G173" s="8">
        <f t="shared" si="15"/>
        <v>0</v>
      </c>
      <c r="H173" s="8">
        <f t="shared" si="16"/>
        <v>0</v>
      </c>
      <c r="I173" s="8">
        <f>$E$10-SUM($H$17:H173)</f>
        <v>0</v>
      </c>
      <c r="J173" s="8">
        <f>SUM($G$17:G173)</f>
        <v>1444941.7859853476</v>
      </c>
    </row>
    <row r="174" spans="4:10" x14ac:dyDescent="0.3">
      <c r="D174" s="12">
        <f t="shared" si="13"/>
        <v>48042</v>
      </c>
      <c r="E174" s="8">
        <f t="shared" si="12"/>
        <v>0</v>
      </c>
      <c r="F174" s="8">
        <f t="shared" si="14"/>
        <v>0</v>
      </c>
      <c r="G174" s="8">
        <f t="shared" si="15"/>
        <v>0</v>
      </c>
      <c r="H174" s="8">
        <f t="shared" si="16"/>
        <v>0</v>
      </c>
      <c r="I174" s="8">
        <f>$E$10-SUM($H$17:H174)</f>
        <v>0</v>
      </c>
      <c r="J174" s="8">
        <f>SUM($G$17:G174)</f>
        <v>1444941.7859853476</v>
      </c>
    </row>
    <row r="175" spans="4:10" x14ac:dyDescent="0.3">
      <c r="D175" s="12">
        <f t="shared" si="13"/>
        <v>48073</v>
      </c>
      <c r="E175" s="8">
        <f t="shared" si="12"/>
        <v>0</v>
      </c>
      <c r="F175" s="8">
        <f t="shared" si="14"/>
        <v>0</v>
      </c>
      <c r="G175" s="8">
        <f t="shared" si="15"/>
        <v>0</v>
      </c>
      <c r="H175" s="8">
        <f t="shared" si="16"/>
        <v>0</v>
      </c>
      <c r="I175" s="8">
        <f>$E$10-SUM($H$17:H175)</f>
        <v>0</v>
      </c>
      <c r="J175" s="8">
        <f>SUM($G$17:G175)</f>
        <v>1444941.7859853476</v>
      </c>
    </row>
    <row r="176" spans="4:10" x14ac:dyDescent="0.3">
      <c r="D176" s="12">
        <f t="shared" si="13"/>
        <v>48104</v>
      </c>
      <c r="E176" s="8">
        <f t="shared" si="12"/>
        <v>0</v>
      </c>
      <c r="F176" s="8">
        <f t="shared" si="14"/>
        <v>0</v>
      </c>
      <c r="G176" s="8">
        <f t="shared" si="15"/>
        <v>0</v>
      </c>
      <c r="H176" s="8">
        <f t="shared" si="16"/>
        <v>0</v>
      </c>
      <c r="I176" s="8">
        <f>$E$10-SUM($H$17:H176)</f>
        <v>0</v>
      </c>
      <c r="J176" s="8">
        <f>SUM($G$17:G176)</f>
        <v>1444941.7859853476</v>
      </c>
    </row>
    <row r="177" spans="4:10" x14ac:dyDescent="0.3">
      <c r="D177" s="12">
        <f t="shared" si="13"/>
        <v>48134</v>
      </c>
      <c r="E177" s="8">
        <f t="shared" si="12"/>
        <v>0</v>
      </c>
      <c r="F177" s="8">
        <f t="shared" si="14"/>
        <v>0</v>
      </c>
      <c r="G177" s="8">
        <f t="shared" si="15"/>
        <v>0</v>
      </c>
      <c r="H177" s="8">
        <f t="shared" si="16"/>
        <v>0</v>
      </c>
      <c r="I177" s="8">
        <f>$E$10-SUM($H$17:H177)</f>
        <v>0</v>
      </c>
      <c r="J177" s="8">
        <f>SUM($G$17:G177)</f>
        <v>1444941.7859853476</v>
      </c>
    </row>
    <row r="178" spans="4:10" x14ac:dyDescent="0.3">
      <c r="D178" s="12">
        <f t="shared" si="13"/>
        <v>48165</v>
      </c>
      <c r="E178" s="8">
        <f t="shared" si="12"/>
        <v>0</v>
      </c>
      <c r="F178" s="8">
        <f t="shared" si="14"/>
        <v>0</v>
      </c>
      <c r="G178" s="8">
        <f t="shared" si="15"/>
        <v>0</v>
      </c>
      <c r="H178" s="8">
        <f t="shared" si="16"/>
        <v>0</v>
      </c>
      <c r="I178" s="8">
        <f>$E$10-SUM($H$17:H178)</f>
        <v>0</v>
      </c>
      <c r="J178" s="8">
        <f>SUM($G$17:G178)</f>
        <v>1444941.7859853476</v>
      </c>
    </row>
    <row r="179" spans="4:10" x14ac:dyDescent="0.3">
      <c r="D179" s="12">
        <f t="shared" si="13"/>
        <v>48195</v>
      </c>
      <c r="E179" s="8">
        <f t="shared" si="12"/>
        <v>0</v>
      </c>
      <c r="F179" s="8">
        <f t="shared" si="14"/>
        <v>0</v>
      </c>
      <c r="G179" s="8">
        <f t="shared" si="15"/>
        <v>0</v>
      </c>
      <c r="H179" s="8">
        <f t="shared" si="16"/>
        <v>0</v>
      </c>
      <c r="I179" s="8">
        <f>$E$10-SUM($H$17:H179)</f>
        <v>0</v>
      </c>
      <c r="J179" s="8">
        <f>SUM($G$17:G179)</f>
        <v>1444941.7859853476</v>
      </c>
    </row>
    <row r="180" spans="4:10" x14ac:dyDescent="0.3">
      <c r="D180" s="12">
        <f t="shared" si="13"/>
        <v>48226</v>
      </c>
      <c r="E180" s="8">
        <f t="shared" si="12"/>
        <v>0</v>
      </c>
      <c r="F180" s="8">
        <f t="shared" si="14"/>
        <v>0</v>
      </c>
      <c r="G180" s="8">
        <f t="shared" si="15"/>
        <v>0</v>
      </c>
      <c r="H180" s="8">
        <f t="shared" si="16"/>
        <v>0</v>
      </c>
      <c r="I180" s="8">
        <f>$E$10-SUM($H$17:H180)</f>
        <v>0</v>
      </c>
      <c r="J180" s="8">
        <f>SUM($G$17:G180)</f>
        <v>1444941.7859853476</v>
      </c>
    </row>
    <row r="181" spans="4:10" x14ac:dyDescent="0.3">
      <c r="D181" s="12">
        <f t="shared" si="13"/>
        <v>48257</v>
      </c>
      <c r="E181" s="8">
        <f t="shared" si="12"/>
        <v>0</v>
      </c>
      <c r="F181" s="8">
        <f t="shared" si="14"/>
        <v>0</v>
      </c>
      <c r="G181" s="8">
        <f t="shared" si="15"/>
        <v>0</v>
      </c>
      <c r="H181" s="8">
        <f t="shared" si="16"/>
        <v>0</v>
      </c>
      <c r="I181" s="8">
        <f>$E$10-SUM($H$17:H181)</f>
        <v>0</v>
      </c>
      <c r="J181" s="8">
        <f>SUM($G$17:G181)</f>
        <v>1444941.7859853476</v>
      </c>
    </row>
    <row r="182" spans="4:10" x14ac:dyDescent="0.3">
      <c r="D182" s="12">
        <f t="shared" si="13"/>
        <v>48286</v>
      </c>
      <c r="E182" s="8">
        <f t="shared" si="12"/>
        <v>0</v>
      </c>
      <c r="F182" s="8">
        <f t="shared" si="14"/>
        <v>0</v>
      </c>
      <c r="G182" s="8">
        <f t="shared" si="15"/>
        <v>0</v>
      </c>
      <c r="H182" s="8">
        <f t="shared" si="16"/>
        <v>0</v>
      </c>
      <c r="I182" s="8">
        <f>$E$10-SUM($H$17:H182)</f>
        <v>0</v>
      </c>
      <c r="J182" s="8">
        <f>SUM($G$17:G182)</f>
        <v>1444941.7859853476</v>
      </c>
    </row>
    <row r="183" spans="4:10" x14ac:dyDescent="0.3">
      <c r="D183" s="12">
        <f t="shared" si="13"/>
        <v>48317</v>
      </c>
      <c r="E183" s="8">
        <f t="shared" si="12"/>
        <v>0</v>
      </c>
      <c r="F183" s="8">
        <f t="shared" si="14"/>
        <v>0</v>
      </c>
      <c r="G183" s="8">
        <f t="shared" si="15"/>
        <v>0</v>
      </c>
      <c r="H183" s="8">
        <f t="shared" si="16"/>
        <v>0</v>
      </c>
      <c r="I183" s="8">
        <f>$E$10-SUM($H$17:H183)</f>
        <v>0</v>
      </c>
      <c r="J183" s="8">
        <f>SUM($G$17:G183)</f>
        <v>1444941.7859853476</v>
      </c>
    </row>
    <row r="184" spans="4:10" x14ac:dyDescent="0.3">
      <c r="D184" s="12">
        <f t="shared" si="13"/>
        <v>48347</v>
      </c>
      <c r="E184" s="8">
        <f t="shared" si="12"/>
        <v>0</v>
      </c>
      <c r="F184" s="8">
        <f t="shared" si="14"/>
        <v>0</v>
      </c>
      <c r="G184" s="8">
        <f t="shared" si="15"/>
        <v>0</v>
      </c>
      <c r="H184" s="8">
        <f t="shared" si="16"/>
        <v>0</v>
      </c>
      <c r="I184" s="8">
        <f>$E$10-SUM($H$17:H184)</f>
        <v>0</v>
      </c>
      <c r="J184" s="8">
        <f>SUM($G$17:G184)</f>
        <v>1444941.7859853476</v>
      </c>
    </row>
    <row r="185" spans="4:10" x14ac:dyDescent="0.3">
      <c r="D185" s="12">
        <f t="shared" si="13"/>
        <v>48378</v>
      </c>
      <c r="E185" s="8">
        <f t="shared" si="12"/>
        <v>0</v>
      </c>
      <c r="F185" s="8">
        <f t="shared" si="14"/>
        <v>0</v>
      </c>
      <c r="G185" s="8">
        <f t="shared" si="15"/>
        <v>0</v>
      </c>
      <c r="H185" s="8">
        <f t="shared" si="16"/>
        <v>0</v>
      </c>
      <c r="I185" s="8">
        <f>$E$10-SUM($H$17:H185)</f>
        <v>0</v>
      </c>
      <c r="J185" s="8">
        <f>SUM($G$17:G185)</f>
        <v>1444941.7859853476</v>
      </c>
    </row>
    <row r="186" spans="4:10" x14ac:dyDescent="0.3">
      <c r="D186" s="12">
        <f t="shared" si="13"/>
        <v>48408</v>
      </c>
      <c r="E186" s="8">
        <f t="shared" si="12"/>
        <v>0</v>
      </c>
      <c r="F186" s="8">
        <f t="shared" si="14"/>
        <v>0</v>
      </c>
      <c r="G186" s="8">
        <f t="shared" si="15"/>
        <v>0</v>
      </c>
      <c r="H186" s="8">
        <f t="shared" si="16"/>
        <v>0</v>
      </c>
      <c r="I186" s="8">
        <f>$E$10-SUM($H$17:H186)</f>
        <v>0</v>
      </c>
      <c r="J186" s="8">
        <f>SUM($G$17:G186)</f>
        <v>1444941.7859853476</v>
      </c>
    </row>
    <row r="187" spans="4:10" x14ac:dyDescent="0.3">
      <c r="D187" s="12">
        <f t="shared" si="13"/>
        <v>48439</v>
      </c>
      <c r="E187" s="8">
        <f t="shared" si="12"/>
        <v>0</v>
      </c>
      <c r="F187" s="8">
        <f t="shared" si="14"/>
        <v>0</v>
      </c>
      <c r="G187" s="8">
        <f t="shared" si="15"/>
        <v>0</v>
      </c>
      <c r="H187" s="8">
        <f t="shared" si="16"/>
        <v>0</v>
      </c>
      <c r="I187" s="8">
        <f>$E$10-SUM($H$17:H187)</f>
        <v>0</v>
      </c>
      <c r="J187" s="8">
        <f>SUM($G$17:G187)</f>
        <v>1444941.7859853476</v>
      </c>
    </row>
    <row r="188" spans="4:10" x14ac:dyDescent="0.3">
      <c r="D188" s="12">
        <f t="shared" si="13"/>
        <v>48470</v>
      </c>
      <c r="E188" s="8">
        <f t="shared" si="12"/>
        <v>0</v>
      </c>
      <c r="F188" s="8">
        <f t="shared" si="14"/>
        <v>0</v>
      </c>
      <c r="G188" s="8">
        <f t="shared" si="15"/>
        <v>0</v>
      </c>
      <c r="H188" s="8">
        <f t="shared" si="16"/>
        <v>0</v>
      </c>
      <c r="I188" s="8">
        <f>$E$10-SUM($H$17:H188)</f>
        <v>0</v>
      </c>
      <c r="J188" s="8">
        <f>SUM($G$17:G188)</f>
        <v>1444941.7859853476</v>
      </c>
    </row>
    <row r="189" spans="4:10" x14ac:dyDescent="0.3">
      <c r="D189" s="12">
        <f t="shared" si="13"/>
        <v>48500</v>
      </c>
      <c r="E189" s="8">
        <f t="shared" si="12"/>
        <v>0</v>
      </c>
      <c r="F189" s="8">
        <f t="shared" si="14"/>
        <v>0</v>
      </c>
      <c r="G189" s="8">
        <f t="shared" si="15"/>
        <v>0</v>
      </c>
      <c r="H189" s="8">
        <f t="shared" si="16"/>
        <v>0</v>
      </c>
      <c r="I189" s="8">
        <f>$E$10-SUM($H$17:H189)</f>
        <v>0</v>
      </c>
      <c r="J189" s="8">
        <f>SUM($G$17:G189)</f>
        <v>1444941.7859853476</v>
      </c>
    </row>
    <row r="190" spans="4:10" x14ac:dyDescent="0.3">
      <c r="D190" s="12">
        <f t="shared" si="13"/>
        <v>48531</v>
      </c>
      <c r="E190" s="8">
        <f t="shared" si="12"/>
        <v>0</v>
      </c>
      <c r="F190" s="8">
        <f t="shared" si="14"/>
        <v>0</v>
      </c>
      <c r="G190" s="8">
        <f t="shared" si="15"/>
        <v>0</v>
      </c>
      <c r="H190" s="8">
        <f t="shared" si="16"/>
        <v>0</v>
      </c>
      <c r="I190" s="8">
        <f>$E$10-SUM($H$17:H190)</f>
        <v>0</v>
      </c>
      <c r="J190" s="8">
        <f>SUM($G$17:G190)</f>
        <v>1444941.7859853476</v>
      </c>
    </row>
    <row r="191" spans="4:10" x14ac:dyDescent="0.3">
      <c r="D191" s="12">
        <f t="shared" si="13"/>
        <v>48561</v>
      </c>
      <c r="E191" s="8">
        <f t="shared" si="12"/>
        <v>0</v>
      </c>
      <c r="F191" s="8">
        <f t="shared" si="14"/>
        <v>0</v>
      </c>
      <c r="G191" s="8">
        <f t="shared" si="15"/>
        <v>0</v>
      </c>
      <c r="H191" s="8">
        <f t="shared" si="16"/>
        <v>0</v>
      </c>
      <c r="I191" s="8">
        <f>$E$10-SUM($H$17:H191)</f>
        <v>0</v>
      </c>
      <c r="J191" s="8">
        <f>SUM($G$17:G191)</f>
        <v>1444941.7859853476</v>
      </c>
    </row>
    <row r="192" spans="4:10" x14ac:dyDescent="0.3">
      <c r="D192" s="12">
        <f t="shared" si="13"/>
        <v>48592</v>
      </c>
      <c r="E192" s="8">
        <f t="shared" si="12"/>
        <v>0</v>
      </c>
      <c r="F192" s="8">
        <f t="shared" si="14"/>
        <v>0</v>
      </c>
      <c r="G192" s="8">
        <f t="shared" si="15"/>
        <v>0</v>
      </c>
      <c r="H192" s="8">
        <f t="shared" si="16"/>
        <v>0</v>
      </c>
      <c r="I192" s="8">
        <f>$E$10-SUM($H$17:H192)</f>
        <v>0</v>
      </c>
      <c r="J192" s="8">
        <f>SUM($G$17:G192)</f>
        <v>1444941.7859853476</v>
      </c>
    </row>
    <row r="193" spans="4:10" x14ac:dyDescent="0.3">
      <c r="D193" s="12">
        <f t="shared" si="13"/>
        <v>48623</v>
      </c>
      <c r="E193" s="8">
        <f t="shared" si="12"/>
        <v>0</v>
      </c>
      <c r="F193" s="8">
        <f t="shared" si="14"/>
        <v>0</v>
      </c>
      <c r="G193" s="8">
        <f t="shared" si="15"/>
        <v>0</v>
      </c>
      <c r="H193" s="8">
        <f t="shared" si="16"/>
        <v>0</v>
      </c>
      <c r="I193" s="8">
        <f>$E$10-SUM($H$17:H193)</f>
        <v>0</v>
      </c>
      <c r="J193" s="8">
        <f>SUM($G$17:G193)</f>
        <v>1444941.7859853476</v>
      </c>
    </row>
    <row r="194" spans="4:10" x14ac:dyDescent="0.3">
      <c r="D194" s="12">
        <f t="shared" si="13"/>
        <v>48651</v>
      </c>
      <c r="E194" s="8">
        <f t="shared" si="12"/>
        <v>0</v>
      </c>
      <c r="F194" s="8">
        <f t="shared" si="14"/>
        <v>0</v>
      </c>
      <c r="G194" s="8">
        <f t="shared" si="15"/>
        <v>0</v>
      </c>
      <c r="H194" s="8">
        <f t="shared" si="16"/>
        <v>0</v>
      </c>
      <c r="I194" s="8">
        <f>$E$10-SUM($H$17:H194)</f>
        <v>0</v>
      </c>
      <c r="J194" s="8">
        <f>SUM($G$17:G194)</f>
        <v>1444941.7859853476</v>
      </c>
    </row>
    <row r="195" spans="4:10" x14ac:dyDescent="0.3">
      <c r="D195" s="12">
        <f t="shared" si="13"/>
        <v>48682</v>
      </c>
      <c r="E195" s="8">
        <f t="shared" ref="E195:E256" si="17">I194</f>
        <v>0</v>
      </c>
      <c r="F195" s="8">
        <f t="shared" si="14"/>
        <v>0</v>
      </c>
      <c r="G195" s="8">
        <f t="shared" si="15"/>
        <v>0</v>
      </c>
      <c r="H195" s="8">
        <f t="shared" si="16"/>
        <v>0</v>
      </c>
      <c r="I195" s="8">
        <f>$E$10-SUM($H$17:H195)</f>
        <v>0</v>
      </c>
      <c r="J195" s="8">
        <f>SUM($G$17:G195)</f>
        <v>1444941.7859853476</v>
      </c>
    </row>
    <row r="196" spans="4:10" x14ac:dyDescent="0.3">
      <c r="D196" s="12">
        <f t="shared" si="13"/>
        <v>48712</v>
      </c>
      <c r="E196" s="8">
        <f t="shared" si="17"/>
        <v>0</v>
      </c>
      <c r="F196" s="8">
        <f t="shared" si="14"/>
        <v>0</v>
      </c>
      <c r="G196" s="8">
        <f t="shared" si="15"/>
        <v>0</v>
      </c>
      <c r="H196" s="8">
        <f t="shared" si="16"/>
        <v>0</v>
      </c>
      <c r="I196" s="8">
        <f>$E$10-SUM($H$17:H196)</f>
        <v>0</v>
      </c>
      <c r="J196" s="8">
        <f>SUM($G$17:G196)</f>
        <v>1444941.7859853476</v>
      </c>
    </row>
    <row r="197" spans="4:10" x14ac:dyDescent="0.3">
      <c r="D197" s="12">
        <f t="shared" si="13"/>
        <v>48743</v>
      </c>
      <c r="E197" s="8">
        <f t="shared" si="17"/>
        <v>0</v>
      </c>
      <c r="F197" s="8">
        <f t="shared" si="14"/>
        <v>0</v>
      </c>
      <c r="G197" s="8">
        <f t="shared" si="15"/>
        <v>0</v>
      </c>
      <c r="H197" s="8">
        <f t="shared" si="16"/>
        <v>0</v>
      </c>
      <c r="I197" s="8">
        <f>$E$10-SUM($H$17:H197)</f>
        <v>0</v>
      </c>
      <c r="J197" s="8">
        <f>SUM($G$17:G197)</f>
        <v>1444941.7859853476</v>
      </c>
    </row>
    <row r="198" spans="4:10" x14ac:dyDescent="0.3">
      <c r="D198" s="12">
        <f t="shared" si="13"/>
        <v>48773</v>
      </c>
      <c r="E198" s="8">
        <f t="shared" si="17"/>
        <v>0</v>
      </c>
      <c r="F198" s="8">
        <f t="shared" si="14"/>
        <v>0</v>
      </c>
      <c r="G198" s="8">
        <f t="shared" si="15"/>
        <v>0</v>
      </c>
      <c r="H198" s="8">
        <f t="shared" si="16"/>
        <v>0</v>
      </c>
      <c r="I198" s="8">
        <f>$E$10-SUM($H$17:H198)</f>
        <v>0</v>
      </c>
      <c r="J198" s="8">
        <f>SUM($G$17:G198)</f>
        <v>1444941.7859853476</v>
      </c>
    </row>
    <row r="199" spans="4:10" x14ac:dyDescent="0.3">
      <c r="D199" s="12">
        <f t="shared" si="13"/>
        <v>48804</v>
      </c>
      <c r="E199" s="8">
        <f t="shared" si="17"/>
        <v>0</v>
      </c>
      <c r="F199" s="8">
        <f t="shared" si="14"/>
        <v>0</v>
      </c>
      <c r="G199" s="8">
        <f t="shared" si="15"/>
        <v>0</v>
      </c>
      <c r="H199" s="8">
        <f t="shared" si="16"/>
        <v>0</v>
      </c>
      <c r="I199" s="8">
        <f>$E$10-SUM($H$17:H199)</f>
        <v>0</v>
      </c>
      <c r="J199" s="8">
        <f>SUM($G$17:G199)</f>
        <v>1444941.7859853476</v>
      </c>
    </row>
    <row r="200" spans="4:10" x14ac:dyDescent="0.3">
      <c r="D200" s="12">
        <f t="shared" si="13"/>
        <v>48835</v>
      </c>
      <c r="E200" s="8">
        <f t="shared" si="17"/>
        <v>0</v>
      </c>
      <c r="F200" s="8">
        <f t="shared" si="14"/>
        <v>0</v>
      </c>
      <c r="G200" s="8">
        <f t="shared" si="15"/>
        <v>0</v>
      </c>
      <c r="H200" s="8">
        <f t="shared" si="16"/>
        <v>0</v>
      </c>
      <c r="I200" s="8">
        <f>$E$10-SUM($H$17:H200)</f>
        <v>0</v>
      </c>
      <c r="J200" s="8">
        <f>SUM($G$17:G200)</f>
        <v>1444941.7859853476</v>
      </c>
    </row>
    <row r="201" spans="4:10" x14ac:dyDescent="0.3">
      <c r="D201" s="12">
        <f t="shared" si="13"/>
        <v>48865</v>
      </c>
      <c r="E201" s="8">
        <f t="shared" si="17"/>
        <v>0</v>
      </c>
      <c r="F201" s="8">
        <f t="shared" si="14"/>
        <v>0</v>
      </c>
      <c r="G201" s="8">
        <f t="shared" si="15"/>
        <v>0</v>
      </c>
      <c r="H201" s="8">
        <f t="shared" si="16"/>
        <v>0</v>
      </c>
      <c r="I201" s="8">
        <f>$E$10-SUM($H$17:H201)</f>
        <v>0</v>
      </c>
      <c r="J201" s="8">
        <f>SUM($G$17:G201)</f>
        <v>1444941.7859853476</v>
      </c>
    </row>
    <row r="202" spans="4:10" x14ac:dyDescent="0.3">
      <c r="D202" s="12">
        <f t="shared" si="13"/>
        <v>48896</v>
      </c>
      <c r="E202" s="8">
        <f t="shared" si="17"/>
        <v>0</v>
      </c>
      <c r="F202" s="8">
        <f t="shared" si="14"/>
        <v>0</v>
      </c>
      <c r="G202" s="8">
        <f t="shared" si="15"/>
        <v>0</v>
      </c>
      <c r="H202" s="8">
        <f t="shared" si="16"/>
        <v>0</v>
      </c>
      <c r="I202" s="8">
        <f>$E$10-SUM($H$17:H202)</f>
        <v>0</v>
      </c>
      <c r="J202" s="8">
        <f>SUM($G$17:G202)</f>
        <v>1444941.7859853476</v>
      </c>
    </row>
    <row r="203" spans="4:10" x14ac:dyDescent="0.3">
      <c r="D203" s="12">
        <f t="shared" si="13"/>
        <v>48926</v>
      </c>
      <c r="E203" s="8">
        <f t="shared" si="17"/>
        <v>0</v>
      </c>
      <c r="F203" s="8">
        <f t="shared" si="14"/>
        <v>0</v>
      </c>
      <c r="G203" s="8">
        <f t="shared" si="15"/>
        <v>0</v>
      </c>
      <c r="H203" s="8">
        <f t="shared" si="16"/>
        <v>0</v>
      </c>
      <c r="I203" s="8">
        <f>$E$10-SUM($H$17:H203)</f>
        <v>0</v>
      </c>
      <c r="J203" s="8">
        <f>SUM($G$17:G203)</f>
        <v>1444941.7859853476</v>
      </c>
    </row>
    <row r="204" spans="4:10" x14ac:dyDescent="0.3">
      <c r="D204" s="12">
        <f t="shared" si="13"/>
        <v>48957</v>
      </c>
      <c r="E204" s="8">
        <f t="shared" si="17"/>
        <v>0</v>
      </c>
      <c r="F204" s="8">
        <f t="shared" si="14"/>
        <v>0</v>
      </c>
      <c r="G204" s="8">
        <f t="shared" si="15"/>
        <v>0</v>
      </c>
      <c r="H204" s="8">
        <f t="shared" si="16"/>
        <v>0</v>
      </c>
      <c r="I204" s="8">
        <f>$E$10-SUM($H$17:H204)</f>
        <v>0</v>
      </c>
      <c r="J204" s="8">
        <f>SUM($G$17:G204)</f>
        <v>1444941.7859853476</v>
      </c>
    </row>
    <row r="205" spans="4:10" x14ac:dyDescent="0.3">
      <c r="D205" s="12">
        <f t="shared" si="13"/>
        <v>48988</v>
      </c>
      <c r="E205" s="8">
        <f t="shared" si="17"/>
        <v>0</v>
      </c>
      <c r="F205" s="8">
        <f t="shared" si="14"/>
        <v>0</v>
      </c>
      <c r="G205" s="8">
        <f t="shared" si="15"/>
        <v>0</v>
      </c>
      <c r="H205" s="8">
        <f t="shared" si="16"/>
        <v>0</v>
      </c>
      <c r="I205" s="8">
        <f>$E$10-SUM($H$17:H205)</f>
        <v>0</v>
      </c>
      <c r="J205" s="8">
        <f>SUM($G$17:G205)</f>
        <v>1444941.7859853476</v>
      </c>
    </row>
    <row r="206" spans="4:10" x14ac:dyDescent="0.3">
      <c r="D206" s="12">
        <f t="shared" si="13"/>
        <v>49016</v>
      </c>
      <c r="E206" s="8">
        <f t="shared" si="17"/>
        <v>0</v>
      </c>
      <c r="F206" s="8">
        <f t="shared" si="14"/>
        <v>0</v>
      </c>
      <c r="G206" s="8">
        <f t="shared" si="15"/>
        <v>0</v>
      </c>
      <c r="H206" s="8">
        <f t="shared" si="16"/>
        <v>0</v>
      </c>
      <c r="I206" s="8">
        <f>$E$10-SUM($H$17:H206)</f>
        <v>0</v>
      </c>
      <c r="J206" s="8">
        <f>SUM($G$17:G206)</f>
        <v>1444941.7859853476</v>
      </c>
    </row>
    <row r="207" spans="4:10" x14ac:dyDescent="0.3">
      <c r="D207" s="12">
        <f t="shared" si="13"/>
        <v>49047</v>
      </c>
      <c r="E207" s="8">
        <f t="shared" si="17"/>
        <v>0</v>
      </c>
      <c r="F207" s="8">
        <f t="shared" si="14"/>
        <v>0</v>
      </c>
      <c r="G207" s="8">
        <f t="shared" si="15"/>
        <v>0</v>
      </c>
      <c r="H207" s="8">
        <f t="shared" si="16"/>
        <v>0</v>
      </c>
      <c r="I207" s="8">
        <f>$E$10-SUM($H$17:H207)</f>
        <v>0</v>
      </c>
      <c r="J207" s="8">
        <f>SUM($G$17:G207)</f>
        <v>1444941.7859853476</v>
      </c>
    </row>
    <row r="208" spans="4:10" x14ac:dyDescent="0.3">
      <c r="D208" s="12">
        <f t="shared" si="13"/>
        <v>49077</v>
      </c>
      <c r="E208" s="8">
        <f t="shared" si="17"/>
        <v>0</v>
      </c>
      <c r="F208" s="8">
        <f t="shared" si="14"/>
        <v>0</v>
      </c>
      <c r="G208" s="8">
        <f t="shared" si="15"/>
        <v>0</v>
      </c>
      <c r="H208" s="8">
        <f t="shared" si="16"/>
        <v>0</v>
      </c>
      <c r="I208" s="8">
        <f>$E$10-SUM($H$17:H208)</f>
        <v>0</v>
      </c>
      <c r="J208" s="8">
        <f>SUM($G$17:G208)</f>
        <v>1444941.7859853476</v>
      </c>
    </row>
    <row r="209" spans="4:10" x14ac:dyDescent="0.3">
      <c r="D209" s="12">
        <f t="shared" si="13"/>
        <v>49108</v>
      </c>
      <c r="E209" s="8">
        <f t="shared" si="17"/>
        <v>0</v>
      </c>
      <c r="F209" s="8">
        <f t="shared" si="14"/>
        <v>0</v>
      </c>
      <c r="G209" s="8">
        <f t="shared" si="15"/>
        <v>0</v>
      </c>
      <c r="H209" s="8">
        <f t="shared" si="16"/>
        <v>0</v>
      </c>
      <c r="I209" s="8">
        <f>$E$10-SUM($H$17:H209)</f>
        <v>0</v>
      </c>
      <c r="J209" s="8">
        <f>SUM($G$17:G209)</f>
        <v>1444941.7859853476</v>
      </c>
    </row>
    <row r="210" spans="4:10" x14ac:dyDescent="0.3">
      <c r="D210" s="12">
        <f t="shared" ref="D210:D256" si="18">EDATE(D209,1)</f>
        <v>49138</v>
      </c>
      <c r="E210" s="8">
        <f t="shared" si="17"/>
        <v>0</v>
      </c>
      <c r="F210" s="8">
        <f t="shared" ref="F210:F256" si="19">-PMT($E$9/12,$E$11-C210+1,IF(C210=1,$E$10,I209))</f>
        <v>0</v>
      </c>
      <c r="G210" s="8">
        <f t="shared" ref="G210:G256" si="20">F210-H210</f>
        <v>0</v>
      </c>
      <c r="H210" s="8">
        <f t="shared" ref="H210:H256" si="21">-PPMT($E$9/12,1,$E$11-C210+1,IF(C210=1,$E$10,I209))</f>
        <v>0</v>
      </c>
      <c r="I210" s="8">
        <f>$E$10-SUM($H$17:H210)</f>
        <v>0</v>
      </c>
      <c r="J210" s="8">
        <f>SUM($G$17:G210)</f>
        <v>1444941.7859853476</v>
      </c>
    </row>
    <row r="211" spans="4:10" x14ac:dyDescent="0.3">
      <c r="D211" s="12">
        <f t="shared" si="18"/>
        <v>49169</v>
      </c>
      <c r="E211" s="8">
        <f t="shared" si="17"/>
        <v>0</v>
      </c>
      <c r="F211" s="8">
        <f t="shared" si="19"/>
        <v>0</v>
      </c>
      <c r="G211" s="8">
        <f t="shared" si="20"/>
        <v>0</v>
      </c>
      <c r="H211" s="8">
        <f t="shared" si="21"/>
        <v>0</v>
      </c>
      <c r="I211" s="8">
        <f>$E$10-SUM($H$17:H211)</f>
        <v>0</v>
      </c>
      <c r="J211" s="8">
        <f>SUM($G$17:G211)</f>
        <v>1444941.7859853476</v>
      </c>
    </row>
    <row r="212" spans="4:10" x14ac:dyDescent="0.3">
      <c r="D212" s="12">
        <f t="shared" si="18"/>
        <v>49200</v>
      </c>
      <c r="E212" s="8">
        <f t="shared" si="17"/>
        <v>0</v>
      </c>
      <c r="F212" s="8">
        <f t="shared" si="19"/>
        <v>0</v>
      </c>
      <c r="G212" s="8">
        <f t="shared" si="20"/>
        <v>0</v>
      </c>
      <c r="H212" s="8">
        <f t="shared" si="21"/>
        <v>0</v>
      </c>
      <c r="I212" s="8">
        <f>$E$10-SUM($H$17:H212)</f>
        <v>0</v>
      </c>
      <c r="J212" s="8">
        <f>SUM($G$17:G212)</f>
        <v>1444941.7859853476</v>
      </c>
    </row>
    <row r="213" spans="4:10" x14ac:dyDescent="0.3">
      <c r="D213" s="12">
        <f t="shared" si="18"/>
        <v>49230</v>
      </c>
      <c r="E213" s="8">
        <f t="shared" si="17"/>
        <v>0</v>
      </c>
      <c r="F213" s="8">
        <f t="shared" si="19"/>
        <v>0</v>
      </c>
      <c r="G213" s="8">
        <f t="shared" si="20"/>
        <v>0</v>
      </c>
      <c r="H213" s="8">
        <f t="shared" si="21"/>
        <v>0</v>
      </c>
      <c r="I213" s="8">
        <f>$E$10-SUM($H$17:H213)</f>
        <v>0</v>
      </c>
      <c r="J213" s="8">
        <f>SUM($G$17:G213)</f>
        <v>1444941.7859853476</v>
      </c>
    </row>
    <row r="214" spans="4:10" x14ac:dyDescent="0.3">
      <c r="D214" s="12">
        <f t="shared" si="18"/>
        <v>49261</v>
      </c>
      <c r="E214" s="8">
        <f t="shared" si="17"/>
        <v>0</v>
      </c>
      <c r="F214" s="8">
        <f t="shared" si="19"/>
        <v>0</v>
      </c>
      <c r="G214" s="8">
        <f t="shared" si="20"/>
        <v>0</v>
      </c>
      <c r="H214" s="8">
        <f t="shared" si="21"/>
        <v>0</v>
      </c>
      <c r="I214" s="8">
        <f>$E$10-SUM($H$17:H214)</f>
        <v>0</v>
      </c>
      <c r="J214" s="8">
        <f>SUM($G$17:G214)</f>
        <v>1444941.7859853476</v>
      </c>
    </row>
    <row r="215" spans="4:10" x14ac:dyDescent="0.3">
      <c r="D215" s="12">
        <f t="shared" si="18"/>
        <v>49291</v>
      </c>
      <c r="E215" s="8">
        <f t="shared" si="17"/>
        <v>0</v>
      </c>
      <c r="F215" s="8">
        <f t="shared" si="19"/>
        <v>0</v>
      </c>
      <c r="G215" s="8">
        <f t="shared" si="20"/>
        <v>0</v>
      </c>
      <c r="H215" s="8">
        <f t="shared" si="21"/>
        <v>0</v>
      </c>
      <c r="I215" s="8">
        <f>$E$10-SUM($H$17:H215)</f>
        <v>0</v>
      </c>
      <c r="J215" s="8">
        <f>SUM($G$17:G215)</f>
        <v>1444941.7859853476</v>
      </c>
    </row>
    <row r="216" spans="4:10" x14ac:dyDescent="0.3">
      <c r="D216" s="12">
        <f t="shared" si="18"/>
        <v>49322</v>
      </c>
      <c r="E216" s="8">
        <f t="shared" si="17"/>
        <v>0</v>
      </c>
      <c r="F216" s="8">
        <f t="shared" si="19"/>
        <v>0</v>
      </c>
      <c r="G216" s="8">
        <f t="shared" si="20"/>
        <v>0</v>
      </c>
      <c r="H216" s="8">
        <f t="shared" si="21"/>
        <v>0</v>
      </c>
      <c r="I216" s="8">
        <f>$E$10-SUM($H$17:H216)</f>
        <v>0</v>
      </c>
      <c r="J216" s="8">
        <f>SUM($G$17:G216)</f>
        <v>1444941.7859853476</v>
      </c>
    </row>
    <row r="217" spans="4:10" x14ac:dyDescent="0.3">
      <c r="D217" s="12">
        <f t="shared" si="18"/>
        <v>49353</v>
      </c>
      <c r="E217" s="8">
        <f t="shared" si="17"/>
        <v>0</v>
      </c>
      <c r="F217" s="8">
        <f t="shared" si="19"/>
        <v>0</v>
      </c>
      <c r="G217" s="8">
        <f t="shared" si="20"/>
        <v>0</v>
      </c>
      <c r="H217" s="8">
        <f t="shared" si="21"/>
        <v>0</v>
      </c>
      <c r="I217" s="8">
        <f>$E$10-SUM($H$17:H217)</f>
        <v>0</v>
      </c>
      <c r="J217" s="8">
        <f>SUM($G$17:G217)</f>
        <v>1444941.7859853476</v>
      </c>
    </row>
    <row r="218" spans="4:10" x14ac:dyDescent="0.3">
      <c r="D218" s="12">
        <f t="shared" si="18"/>
        <v>49381</v>
      </c>
      <c r="E218" s="8">
        <f t="shared" si="17"/>
        <v>0</v>
      </c>
      <c r="F218" s="8">
        <f t="shared" si="19"/>
        <v>0</v>
      </c>
      <c r="G218" s="8">
        <f t="shared" si="20"/>
        <v>0</v>
      </c>
      <c r="H218" s="8">
        <f t="shared" si="21"/>
        <v>0</v>
      </c>
      <c r="I218" s="8">
        <f>$E$10-SUM($H$17:H218)</f>
        <v>0</v>
      </c>
      <c r="J218" s="8">
        <f>SUM($G$17:G218)</f>
        <v>1444941.7859853476</v>
      </c>
    </row>
    <row r="219" spans="4:10" x14ac:dyDescent="0.3">
      <c r="D219" s="12">
        <f t="shared" si="18"/>
        <v>49412</v>
      </c>
      <c r="E219" s="8">
        <f t="shared" si="17"/>
        <v>0</v>
      </c>
      <c r="F219" s="8">
        <f t="shared" si="19"/>
        <v>0</v>
      </c>
      <c r="G219" s="8">
        <f t="shared" si="20"/>
        <v>0</v>
      </c>
      <c r="H219" s="8">
        <f t="shared" si="21"/>
        <v>0</v>
      </c>
      <c r="I219" s="8">
        <f>$E$10-SUM($H$17:H219)</f>
        <v>0</v>
      </c>
      <c r="J219" s="8">
        <f>SUM($G$17:G219)</f>
        <v>1444941.7859853476</v>
      </c>
    </row>
    <row r="220" spans="4:10" x14ac:dyDescent="0.3">
      <c r="D220" s="12">
        <f t="shared" si="18"/>
        <v>49442</v>
      </c>
      <c r="E220" s="8">
        <f t="shared" si="17"/>
        <v>0</v>
      </c>
      <c r="F220" s="8">
        <f t="shared" si="19"/>
        <v>0</v>
      </c>
      <c r="G220" s="8">
        <f t="shared" si="20"/>
        <v>0</v>
      </c>
      <c r="H220" s="8">
        <f t="shared" si="21"/>
        <v>0</v>
      </c>
      <c r="I220" s="8">
        <f>$E$10-SUM($H$17:H220)</f>
        <v>0</v>
      </c>
      <c r="J220" s="8">
        <f>SUM($G$17:G220)</f>
        <v>1444941.7859853476</v>
      </c>
    </row>
    <row r="221" spans="4:10" x14ac:dyDescent="0.3">
      <c r="D221" s="12">
        <f t="shared" si="18"/>
        <v>49473</v>
      </c>
      <c r="E221" s="8">
        <f t="shared" si="17"/>
        <v>0</v>
      </c>
      <c r="F221" s="8">
        <f t="shared" si="19"/>
        <v>0</v>
      </c>
      <c r="G221" s="8">
        <f t="shared" si="20"/>
        <v>0</v>
      </c>
      <c r="H221" s="8">
        <f t="shared" si="21"/>
        <v>0</v>
      </c>
      <c r="I221" s="8">
        <f>$E$10-SUM($H$17:H221)</f>
        <v>0</v>
      </c>
      <c r="J221" s="8">
        <f>SUM($G$17:G221)</f>
        <v>1444941.7859853476</v>
      </c>
    </row>
    <row r="222" spans="4:10" x14ac:dyDescent="0.3">
      <c r="D222" s="12">
        <f t="shared" si="18"/>
        <v>49503</v>
      </c>
      <c r="E222" s="8">
        <f t="shared" si="17"/>
        <v>0</v>
      </c>
      <c r="F222" s="8">
        <f t="shared" si="19"/>
        <v>0</v>
      </c>
      <c r="G222" s="8">
        <f t="shared" si="20"/>
        <v>0</v>
      </c>
      <c r="H222" s="8">
        <f t="shared" si="21"/>
        <v>0</v>
      </c>
      <c r="I222" s="8">
        <f>$E$10-SUM($H$17:H222)</f>
        <v>0</v>
      </c>
      <c r="J222" s="8">
        <f>SUM($G$17:G222)</f>
        <v>1444941.7859853476</v>
      </c>
    </row>
    <row r="223" spans="4:10" x14ac:dyDescent="0.3">
      <c r="D223" s="12">
        <f t="shared" si="18"/>
        <v>49534</v>
      </c>
      <c r="E223" s="8">
        <f t="shared" si="17"/>
        <v>0</v>
      </c>
      <c r="F223" s="8">
        <f t="shared" si="19"/>
        <v>0</v>
      </c>
      <c r="G223" s="8">
        <f t="shared" si="20"/>
        <v>0</v>
      </c>
      <c r="H223" s="8">
        <f t="shared" si="21"/>
        <v>0</v>
      </c>
      <c r="I223" s="8">
        <f>$E$10-SUM($H$17:H223)</f>
        <v>0</v>
      </c>
      <c r="J223" s="8">
        <f>SUM($G$17:G223)</f>
        <v>1444941.7859853476</v>
      </c>
    </row>
    <row r="224" spans="4:10" x14ac:dyDescent="0.3">
      <c r="D224" s="12">
        <f t="shared" si="18"/>
        <v>49565</v>
      </c>
      <c r="E224" s="8">
        <f t="shared" si="17"/>
        <v>0</v>
      </c>
      <c r="F224" s="8">
        <f t="shared" si="19"/>
        <v>0</v>
      </c>
      <c r="G224" s="8">
        <f t="shared" si="20"/>
        <v>0</v>
      </c>
      <c r="H224" s="8">
        <f t="shared" si="21"/>
        <v>0</v>
      </c>
      <c r="I224" s="8">
        <f>$E$10-SUM($H$17:H224)</f>
        <v>0</v>
      </c>
      <c r="J224" s="8">
        <f>SUM($G$17:G224)</f>
        <v>1444941.7859853476</v>
      </c>
    </row>
    <row r="225" spans="4:10" x14ac:dyDescent="0.3">
      <c r="D225" s="12">
        <f t="shared" si="18"/>
        <v>49595</v>
      </c>
      <c r="E225" s="8">
        <f t="shared" si="17"/>
        <v>0</v>
      </c>
      <c r="F225" s="8">
        <f t="shared" si="19"/>
        <v>0</v>
      </c>
      <c r="G225" s="8">
        <f t="shared" si="20"/>
        <v>0</v>
      </c>
      <c r="H225" s="8">
        <f t="shared" si="21"/>
        <v>0</v>
      </c>
      <c r="I225" s="8">
        <f>$E$10-SUM($H$17:H225)</f>
        <v>0</v>
      </c>
      <c r="J225" s="8">
        <f>SUM($G$17:G225)</f>
        <v>1444941.7859853476</v>
      </c>
    </row>
    <row r="226" spans="4:10" x14ac:dyDescent="0.3">
      <c r="D226" s="12">
        <f t="shared" si="18"/>
        <v>49626</v>
      </c>
      <c r="E226" s="8">
        <f t="shared" si="17"/>
        <v>0</v>
      </c>
      <c r="F226" s="8">
        <f t="shared" si="19"/>
        <v>0</v>
      </c>
      <c r="G226" s="8">
        <f t="shared" si="20"/>
        <v>0</v>
      </c>
      <c r="H226" s="8">
        <f t="shared" si="21"/>
        <v>0</v>
      </c>
      <c r="I226" s="8">
        <f>$E$10-SUM($H$17:H226)</f>
        <v>0</v>
      </c>
      <c r="J226" s="8">
        <f>SUM($G$17:G226)</f>
        <v>1444941.7859853476</v>
      </c>
    </row>
    <row r="227" spans="4:10" x14ac:dyDescent="0.3">
      <c r="D227" s="12">
        <f t="shared" si="18"/>
        <v>49656</v>
      </c>
      <c r="E227" s="8">
        <f t="shared" si="17"/>
        <v>0</v>
      </c>
      <c r="F227" s="8">
        <f t="shared" si="19"/>
        <v>0</v>
      </c>
      <c r="G227" s="8">
        <f t="shared" si="20"/>
        <v>0</v>
      </c>
      <c r="H227" s="8">
        <f t="shared" si="21"/>
        <v>0</v>
      </c>
      <c r="I227" s="8">
        <f>$E$10-SUM($H$17:H227)</f>
        <v>0</v>
      </c>
      <c r="J227" s="8">
        <f>SUM($G$17:G227)</f>
        <v>1444941.7859853476</v>
      </c>
    </row>
    <row r="228" spans="4:10" x14ac:dyDescent="0.3">
      <c r="D228" s="12">
        <f t="shared" si="18"/>
        <v>49687</v>
      </c>
      <c r="E228" s="8">
        <f t="shared" si="17"/>
        <v>0</v>
      </c>
      <c r="F228" s="8">
        <f t="shared" si="19"/>
        <v>0</v>
      </c>
      <c r="G228" s="8">
        <f t="shared" si="20"/>
        <v>0</v>
      </c>
      <c r="H228" s="8">
        <f t="shared" si="21"/>
        <v>0</v>
      </c>
      <c r="I228" s="8">
        <f>$E$10-SUM($H$17:H228)</f>
        <v>0</v>
      </c>
      <c r="J228" s="8">
        <f>SUM($G$17:G228)</f>
        <v>1444941.7859853476</v>
      </c>
    </row>
    <row r="229" spans="4:10" x14ac:dyDescent="0.3">
      <c r="D229" s="12">
        <f t="shared" si="18"/>
        <v>49718</v>
      </c>
      <c r="E229" s="8">
        <f t="shared" si="17"/>
        <v>0</v>
      </c>
      <c r="F229" s="8">
        <f t="shared" si="19"/>
        <v>0</v>
      </c>
      <c r="G229" s="8">
        <f t="shared" si="20"/>
        <v>0</v>
      </c>
      <c r="H229" s="8">
        <f t="shared" si="21"/>
        <v>0</v>
      </c>
      <c r="I229" s="8">
        <f>$E$10-SUM($H$17:H229)</f>
        <v>0</v>
      </c>
      <c r="J229" s="8">
        <f>SUM($G$17:G229)</f>
        <v>1444941.7859853476</v>
      </c>
    </row>
    <row r="230" spans="4:10" x14ac:dyDescent="0.3">
      <c r="D230" s="12">
        <f t="shared" si="18"/>
        <v>49747</v>
      </c>
      <c r="E230" s="8">
        <f t="shared" si="17"/>
        <v>0</v>
      </c>
      <c r="F230" s="8">
        <f t="shared" si="19"/>
        <v>0</v>
      </c>
      <c r="G230" s="8">
        <f t="shared" si="20"/>
        <v>0</v>
      </c>
      <c r="H230" s="8">
        <f t="shared" si="21"/>
        <v>0</v>
      </c>
      <c r="I230" s="8">
        <f>$E$10-SUM($H$17:H230)</f>
        <v>0</v>
      </c>
      <c r="J230" s="8">
        <f>SUM($G$17:G230)</f>
        <v>1444941.7859853476</v>
      </c>
    </row>
    <row r="231" spans="4:10" x14ac:dyDescent="0.3">
      <c r="D231" s="12">
        <f t="shared" si="18"/>
        <v>49778</v>
      </c>
      <c r="E231" s="8">
        <f t="shared" si="17"/>
        <v>0</v>
      </c>
      <c r="F231" s="8">
        <f t="shared" si="19"/>
        <v>0</v>
      </c>
      <c r="G231" s="8">
        <f t="shared" si="20"/>
        <v>0</v>
      </c>
      <c r="H231" s="8">
        <f t="shared" si="21"/>
        <v>0</v>
      </c>
      <c r="I231" s="8">
        <f>$E$10-SUM($H$17:H231)</f>
        <v>0</v>
      </c>
      <c r="J231" s="8">
        <f>SUM($G$17:G231)</f>
        <v>1444941.7859853476</v>
      </c>
    </row>
    <row r="232" spans="4:10" x14ac:dyDescent="0.3">
      <c r="D232" s="12">
        <f t="shared" si="18"/>
        <v>49808</v>
      </c>
      <c r="E232" s="8">
        <f t="shared" si="17"/>
        <v>0</v>
      </c>
      <c r="F232" s="8">
        <f t="shared" si="19"/>
        <v>0</v>
      </c>
      <c r="G232" s="8">
        <f t="shared" si="20"/>
        <v>0</v>
      </c>
      <c r="H232" s="8">
        <f t="shared" si="21"/>
        <v>0</v>
      </c>
      <c r="I232" s="8">
        <f>$E$10-SUM($H$17:H232)</f>
        <v>0</v>
      </c>
      <c r="J232" s="8">
        <f>SUM($G$17:G232)</f>
        <v>1444941.7859853476</v>
      </c>
    </row>
    <row r="233" spans="4:10" x14ac:dyDescent="0.3">
      <c r="D233" s="12">
        <f t="shared" si="18"/>
        <v>49839</v>
      </c>
      <c r="E233" s="8">
        <f t="shared" si="17"/>
        <v>0</v>
      </c>
      <c r="F233" s="8">
        <f t="shared" si="19"/>
        <v>0</v>
      </c>
      <c r="G233" s="8">
        <f t="shared" si="20"/>
        <v>0</v>
      </c>
      <c r="H233" s="8">
        <f t="shared" si="21"/>
        <v>0</v>
      </c>
      <c r="I233" s="8">
        <f>$E$10-SUM($H$17:H233)</f>
        <v>0</v>
      </c>
      <c r="J233" s="8">
        <f>SUM($G$17:G233)</f>
        <v>1444941.7859853476</v>
      </c>
    </row>
    <row r="234" spans="4:10" x14ac:dyDescent="0.3">
      <c r="D234" s="12">
        <f t="shared" si="18"/>
        <v>49869</v>
      </c>
      <c r="E234" s="8">
        <f t="shared" si="17"/>
        <v>0</v>
      </c>
      <c r="F234" s="8">
        <f t="shared" si="19"/>
        <v>0</v>
      </c>
      <c r="G234" s="8">
        <f t="shared" si="20"/>
        <v>0</v>
      </c>
      <c r="H234" s="8">
        <f t="shared" si="21"/>
        <v>0</v>
      </c>
      <c r="I234" s="8">
        <f>$E$10-SUM($H$17:H234)</f>
        <v>0</v>
      </c>
      <c r="J234" s="8">
        <f>SUM($G$17:G234)</f>
        <v>1444941.7859853476</v>
      </c>
    </row>
    <row r="235" spans="4:10" x14ac:dyDescent="0.3">
      <c r="D235" s="12">
        <f t="shared" si="18"/>
        <v>49900</v>
      </c>
      <c r="E235" s="8">
        <f t="shared" si="17"/>
        <v>0</v>
      </c>
      <c r="F235" s="8">
        <f t="shared" si="19"/>
        <v>0</v>
      </c>
      <c r="G235" s="8">
        <f t="shared" si="20"/>
        <v>0</v>
      </c>
      <c r="H235" s="8">
        <f t="shared" si="21"/>
        <v>0</v>
      </c>
      <c r="I235" s="8">
        <f>$E$10-SUM($H$17:H235)</f>
        <v>0</v>
      </c>
      <c r="J235" s="8">
        <f>SUM($G$17:G235)</f>
        <v>1444941.7859853476</v>
      </c>
    </row>
    <row r="236" spans="4:10" x14ac:dyDescent="0.3">
      <c r="D236" s="12">
        <f t="shared" si="18"/>
        <v>49931</v>
      </c>
      <c r="E236" s="8">
        <f t="shared" si="17"/>
        <v>0</v>
      </c>
      <c r="F236" s="8">
        <f t="shared" si="19"/>
        <v>0</v>
      </c>
      <c r="G236" s="8">
        <f t="shared" si="20"/>
        <v>0</v>
      </c>
      <c r="H236" s="8">
        <f t="shared" si="21"/>
        <v>0</v>
      </c>
      <c r="I236" s="8">
        <f>$E$10-SUM($H$17:H236)</f>
        <v>0</v>
      </c>
      <c r="J236" s="8">
        <f>SUM($G$17:G236)</f>
        <v>1444941.7859853476</v>
      </c>
    </row>
    <row r="237" spans="4:10" x14ac:dyDescent="0.3">
      <c r="D237" s="12">
        <f t="shared" si="18"/>
        <v>49961</v>
      </c>
      <c r="E237" s="8">
        <f t="shared" si="17"/>
        <v>0</v>
      </c>
      <c r="F237" s="8">
        <f t="shared" si="19"/>
        <v>0</v>
      </c>
      <c r="G237" s="8">
        <f t="shared" si="20"/>
        <v>0</v>
      </c>
      <c r="H237" s="8">
        <f t="shared" si="21"/>
        <v>0</v>
      </c>
      <c r="I237" s="8">
        <f>$E$10-SUM($H$17:H237)</f>
        <v>0</v>
      </c>
      <c r="J237" s="8">
        <f>SUM($G$17:G237)</f>
        <v>1444941.7859853476</v>
      </c>
    </row>
    <row r="238" spans="4:10" x14ac:dyDescent="0.3">
      <c r="D238" s="12">
        <f t="shared" si="18"/>
        <v>49992</v>
      </c>
      <c r="E238" s="8">
        <f t="shared" si="17"/>
        <v>0</v>
      </c>
      <c r="F238" s="8">
        <f t="shared" si="19"/>
        <v>0</v>
      </c>
      <c r="G238" s="8">
        <f t="shared" si="20"/>
        <v>0</v>
      </c>
      <c r="H238" s="8">
        <f t="shared" si="21"/>
        <v>0</v>
      </c>
      <c r="I238" s="8">
        <f>$E$10-SUM($H$17:H238)</f>
        <v>0</v>
      </c>
      <c r="J238" s="8">
        <f>SUM($G$17:G238)</f>
        <v>1444941.7859853476</v>
      </c>
    </row>
    <row r="239" spans="4:10" x14ac:dyDescent="0.3">
      <c r="D239" s="12">
        <f t="shared" si="18"/>
        <v>50022</v>
      </c>
      <c r="E239" s="8">
        <f t="shared" si="17"/>
        <v>0</v>
      </c>
      <c r="F239" s="8">
        <f t="shared" si="19"/>
        <v>0</v>
      </c>
      <c r="G239" s="8">
        <f t="shared" si="20"/>
        <v>0</v>
      </c>
      <c r="H239" s="8">
        <f t="shared" si="21"/>
        <v>0</v>
      </c>
      <c r="I239" s="8">
        <f>$E$10-SUM($H$17:H239)</f>
        <v>0</v>
      </c>
      <c r="J239" s="8">
        <f>SUM($G$17:G239)</f>
        <v>1444941.7859853476</v>
      </c>
    </row>
    <row r="240" spans="4:10" x14ac:dyDescent="0.3">
      <c r="D240" s="12">
        <f t="shared" si="18"/>
        <v>50053</v>
      </c>
      <c r="E240" s="8">
        <f t="shared" si="17"/>
        <v>0</v>
      </c>
      <c r="F240" s="8">
        <f t="shared" si="19"/>
        <v>0</v>
      </c>
      <c r="G240" s="8">
        <f t="shared" si="20"/>
        <v>0</v>
      </c>
      <c r="H240" s="8">
        <f t="shared" si="21"/>
        <v>0</v>
      </c>
      <c r="I240" s="8">
        <f>$E$10-SUM($H$17:H240)</f>
        <v>0</v>
      </c>
      <c r="J240" s="8">
        <f>SUM($G$17:G240)</f>
        <v>1444941.7859853476</v>
      </c>
    </row>
    <row r="241" spans="4:10" x14ac:dyDescent="0.3">
      <c r="D241" s="12">
        <f t="shared" si="18"/>
        <v>50084</v>
      </c>
      <c r="E241" s="8">
        <f t="shared" si="17"/>
        <v>0</v>
      </c>
      <c r="F241" s="8">
        <f t="shared" si="19"/>
        <v>0</v>
      </c>
      <c r="G241" s="8">
        <f t="shared" si="20"/>
        <v>0</v>
      </c>
      <c r="H241" s="8">
        <f t="shared" si="21"/>
        <v>0</v>
      </c>
      <c r="I241" s="8">
        <f>$E$10-SUM($H$17:H241)</f>
        <v>0</v>
      </c>
      <c r="J241" s="8">
        <f>SUM($G$17:G241)</f>
        <v>1444941.7859853476</v>
      </c>
    </row>
    <row r="242" spans="4:10" x14ac:dyDescent="0.3">
      <c r="D242" s="12">
        <f t="shared" si="18"/>
        <v>50112</v>
      </c>
      <c r="E242" s="8">
        <f t="shared" si="17"/>
        <v>0</v>
      </c>
      <c r="F242" s="8">
        <f t="shared" si="19"/>
        <v>0</v>
      </c>
      <c r="G242" s="8">
        <f t="shared" si="20"/>
        <v>0</v>
      </c>
      <c r="H242" s="8">
        <f t="shared" si="21"/>
        <v>0</v>
      </c>
      <c r="I242" s="8">
        <f>$E$10-SUM($H$17:H242)</f>
        <v>0</v>
      </c>
      <c r="J242" s="8">
        <f>SUM($G$17:G242)</f>
        <v>1444941.7859853476</v>
      </c>
    </row>
    <row r="243" spans="4:10" x14ac:dyDescent="0.3">
      <c r="D243" s="12">
        <f t="shared" si="18"/>
        <v>50143</v>
      </c>
      <c r="E243" s="8">
        <f t="shared" si="17"/>
        <v>0</v>
      </c>
      <c r="F243" s="8">
        <f t="shared" si="19"/>
        <v>0</v>
      </c>
      <c r="G243" s="8">
        <f t="shared" si="20"/>
        <v>0</v>
      </c>
      <c r="H243" s="8">
        <f t="shared" si="21"/>
        <v>0</v>
      </c>
      <c r="I243" s="8">
        <f>$E$10-SUM($H$17:H243)</f>
        <v>0</v>
      </c>
      <c r="J243" s="8">
        <f>SUM($G$17:G243)</f>
        <v>1444941.7859853476</v>
      </c>
    </row>
    <row r="244" spans="4:10" x14ac:dyDescent="0.3">
      <c r="D244" s="12">
        <f t="shared" si="18"/>
        <v>50173</v>
      </c>
      <c r="E244" s="8">
        <f t="shared" si="17"/>
        <v>0</v>
      </c>
      <c r="F244" s="8">
        <f t="shared" si="19"/>
        <v>0</v>
      </c>
      <c r="G244" s="8">
        <f t="shared" si="20"/>
        <v>0</v>
      </c>
      <c r="H244" s="8">
        <f t="shared" si="21"/>
        <v>0</v>
      </c>
      <c r="I244" s="8">
        <f>$E$10-SUM($H$17:H244)</f>
        <v>0</v>
      </c>
      <c r="J244" s="8">
        <f>SUM($G$17:G244)</f>
        <v>1444941.7859853476</v>
      </c>
    </row>
    <row r="245" spans="4:10" x14ac:dyDescent="0.3">
      <c r="D245" s="12">
        <f t="shared" si="18"/>
        <v>50204</v>
      </c>
      <c r="E245" s="8">
        <f t="shared" si="17"/>
        <v>0</v>
      </c>
      <c r="F245" s="8">
        <f t="shared" si="19"/>
        <v>0</v>
      </c>
      <c r="G245" s="8">
        <f t="shared" si="20"/>
        <v>0</v>
      </c>
      <c r="H245" s="8">
        <f t="shared" si="21"/>
        <v>0</v>
      </c>
      <c r="I245" s="8">
        <f>$E$10-SUM($H$17:H245)</f>
        <v>0</v>
      </c>
      <c r="J245" s="8">
        <f>SUM($G$17:G245)</f>
        <v>1444941.7859853476</v>
      </c>
    </row>
    <row r="246" spans="4:10" x14ac:dyDescent="0.3">
      <c r="D246" s="12">
        <f t="shared" si="18"/>
        <v>50234</v>
      </c>
      <c r="E246" s="8">
        <f t="shared" si="17"/>
        <v>0</v>
      </c>
      <c r="F246" s="8">
        <f t="shared" si="19"/>
        <v>0</v>
      </c>
      <c r="G246" s="8">
        <f t="shared" si="20"/>
        <v>0</v>
      </c>
      <c r="H246" s="8">
        <f t="shared" si="21"/>
        <v>0</v>
      </c>
      <c r="I246" s="8">
        <f>$E$10-SUM($H$17:H246)</f>
        <v>0</v>
      </c>
      <c r="J246" s="8">
        <f>SUM($G$17:G246)</f>
        <v>1444941.7859853476</v>
      </c>
    </row>
    <row r="247" spans="4:10" x14ac:dyDescent="0.3">
      <c r="D247" s="12">
        <f t="shared" si="18"/>
        <v>50265</v>
      </c>
      <c r="E247" s="8">
        <f t="shared" si="17"/>
        <v>0</v>
      </c>
      <c r="F247" s="8">
        <f t="shared" si="19"/>
        <v>0</v>
      </c>
      <c r="G247" s="8">
        <f t="shared" si="20"/>
        <v>0</v>
      </c>
      <c r="H247" s="8">
        <f t="shared" si="21"/>
        <v>0</v>
      </c>
      <c r="I247" s="8">
        <f>$E$10-SUM($H$17:H247)</f>
        <v>0</v>
      </c>
      <c r="J247" s="8">
        <f>SUM($G$17:G247)</f>
        <v>1444941.7859853476</v>
      </c>
    </row>
    <row r="248" spans="4:10" x14ac:dyDescent="0.3">
      <c r="D248" s="12">
        <f t="shared" si="18"/>
        <v>50296</v>
      </c>
      <c r="E248" s="8">
        <f t="shared" si="17"/>
        <v>0</v>
      </c>
      <c r="F248" s="8">
        <f t="shared" si="19"/>
        <v>0</v>
      </c>
      <c r="G248" s="8">
        <f t="shared" si="20"/>
        <v>0</v>
      </c>
      <c r="H248" s="8">
        <f t="shared" si="21"/>
        <v>0</v>
      </c>
      <c r="I248" s="8">
        <f>$E$10-SUM($H$17:H248)</f>
        <v>0</v>
      </c>
      <c r="J248" s="8">
        <f>SUM($G$17:G248)</f>
        <v>1444941.7859853476</v>
      </c>
    </row>
    <row r="249" spans="4:10" x14ac:dyDescent="0.3">
      <c r="D249" s="12">
        <f t="shared" si="18"/>
        <v>50326</v>
      </c>
      <c r="E249" s="8">
        <f t="shared" si="17"/>
        <v>0</v>
      </c>
      <c r="F249" s="8">
        <f t="shared" si="19"/>
        <v>0</v>
      </c>
      <c r="G249" s="8">
        <f t="shared" si="20"/>
        <v>0</v>
      </c>
      <c r="H249" s="8">
        <f t="shared" si="21"/>
        <v>0</v>
      </c>
      <c r="I249" s="8">
        <f>$E$10-SUM($H$17:H249)</f>
        <v>0</v>
      </c>
      <c r="J249" s="8">
        <f>SUM($G$17:G249)</f>
        <v>1444941.7859853476</v>
      </c>
    </row>
    <row r="250" spans="4:10" x14ac:dyDescent="0.3">
      <c r="D250" s="12">
        <f t="shared" si="18"/>
        <v>50357</v>
      </c>
      <c r="E250" s="8">
        <f t="shared" si="17"/>
        <v>0</v>
      </c>
      <c r="F250" s="8">
        <f t="shared" si="19"/>
        <v>0</v>
      </c>
      <c r="G250" s="8">
        <f t="shared" si="20"/>
        <v>0</v>
      </c>
      <c r="H250" s="8">
        <f t="shared" si="21"/>
        <v>0</v>
      </c>
      <c r="I250" s="8">
        <f>$E$10-SUM($H$17:H250)</f>
        <v>0</v>
      </c>
      <c r="J250" s="8">
        <f>SUM($G$17:G250)</f>
        <v>1444941.7859853476</v>
      </c>
    </row>
    <row r="251" spans="4:10" x14ac:dyDescent="0.3">
      <c r="D251" s="12">
        <f t="shared" si="18"/>
        <v>50387</v>
      </c>
      <c r="E251" s="8">
        <f t="shared" si="17"/>
        <v>0</v>
      </c>
      <c r="F251" s="8">
        <f t="shared" si="19"/>
        <v>0</v>
      </c>
      <c r="G251" s="8">
        <f t="shared" si="20"/>
        <v>0</v>
      </c>
      <c r="H251" s="8">
        <f t="shared" si="21"/>
        <v>0</v>
      </c>
      <c r="I251" s="8">
        <f>$E$10-SUM($H$17:H251)</f>
        <v>0</v>
      </c>
      <c r="J251" s="8">
        <f>SUM($G$17:G251)</f>
        <v>1444941.7859853476</v>
      </c>
    </row>
    <row r="252" spans="4:10" x14ac:dyDescent="0.3">
      <c r="D252" s="12">
        <f t="shared" si="18"/>
        <v>50418</v>
      </c>
      <c r="E252" s="8">
        <f t="shared" si="17"/>
        <v>0</v>
      </c>
      <c r="F252" s="8">
        <f t="shared" si="19"/>
        <v>0</v>
      </c>
      <c r="G252" s="8">
        <f t="shared" si="20"/>
        <v>0</v>
      </c>
      <c r="H252" s="8">
        <f t="shared" si="21"/>
        <v>0</v>
      </c>
      <c r="I252" s="8">
        <f>$E$10-SUM($H$17:H252)</f>
        <v>0</v>
      </c>
      <c r="J252" s="8">
        <f>SUM($G$17:G252)</f>
        <v>1444941.7859853476</v>
      </c>
    </row>
    <row r="253" spans="4:10" x14ac:dyDescent="0.3">
      <c r="D253" s="12">
        <f t="shared" si="18"/>
        <v>50449</v>
      </c>
      <c r="E253" s="8">
        <f t="shared" si="17"/>
        <v>0</v>
      </c>
      <c r="F253" s="8">
        <f t="shared" si="19"/>
        <v>0</v>
      </c>
      <c r="G253" s="8">
        <f t="shared" si="20"/>
        <v>0</v>
      </c>
      <c r="H253" s="8">
        <f t="shared" si="21"/>
        <v>0</v>
      </c>
      <c r="I253" s="8">
        <f>$E$10-SUM($H$17:H253)</f>
        <v>0</v>
      </c>
      <c r="J253" s="8">
        <f>SUM($G$17:G253)</f>
        <v>1444941.7859853476</v>
      </c>
    </row>
    <row r="254" spans="4:10" x14ac:dyDescent="0.3">
      <c r="D254" s="12">
        <f t="shared" si="18"/>
        <v>50477</v>
      </c>
      <c r="E254" s="8">
        <f t="shared" si="17"/>
        <v>0</v>
      </c>
      <c r="F254" s="8">
        <f t="shared" si="19"/>
        <v>0</v>
      </c>
      <c r="G254" s="8">
        <f t="shared" si="20"/>
        <v>0</v>
      </c>
      <c r="H254" s="8">
        <f t="shared" si="21"/>
        <v>0</v>
      </c>
      <c r="I254" s="8">
        <f>$E$10-SUM($H$17:H254)</f>
        <v>0</v>
      </c>
      <c r="J254" s="8">
        <f>SUM($G$17:G254)</f>
        <v>1444941.7859853476</v>
      </c>
    </row>
    <row r="255" spans="4:10" x14ac:dyDescent="0.3">
      <c r="D255" s="12">
        <f t="shared" si="18"/>
        <v>50508</v>
      </c>
      <c r="E255" s="8">
        <f t="shared" si="17"/>
        <v>0</v>
      </c>
      <c r="F255" s="8">
        <f t="shared" si="19"/>
        <v>0</v>
      </c>
      <c r="G255" s="8">
        <f t="shared" si="20"/>
        <v>0</v>
      </c>
      <c r="H255" s="8">
        <f t="shared" si="21"/>
        <v>0</v>
      </c>
      <c r="I255" s="8">
        <f>$E$10-SUM($H$17:H255)</f>
        <v>0</v>
      </c>
      <c r="J255" s="8">
        <f>SUM($G$17:G255)</f>
        <v>1444941.7859853476</v>
      </c>
    </row>
    <row r="256" spans="4:10" x14ac:dyDescent="0.3">
      <c r="D256" s="12">
        <f t="shared" si="18"/>
        <v>50538</v>
      </c>
      <c r="E256" s="8">
        <f t="shared" si="17"/>
        <v>0</v>
      </c>
      <c r="F256" s="8">
        <f t="shared" si="19"/>
        <v>0</v>
      </c>
      <c r="G256" s="8">
        <f t="shared" si="20"/>
        <v>0</v>
      </c>
      <c r="H256" s="8">
        <f t="shared" si="21"/>
        <v>0</v>
      </c>
      <c r="I256" s="8">
        <f>$E$10-SUM($H$17:H256)</f>
        <v>0</v>
      </c>
      <c r="J256" s="8">
        <f>SUM($G$17:G256)</f>
        <v>1444941.7859853476</v>
      </c>
    </row>
    <row r="257" spans="4:10" x14ac:dyDescent="0.3">
      <c r="D257" s="12"/>
      <c r="E257" s="8"/>
      <c r="F257" s="8"/>
      <c r="G257" s="8"/>
      <c r="H257" s="8"/>
      <c r="I257" s="8"/>
      <c r="J257" s="8"/>
    </row>
    <row r="258" spans="4:10" x14ac:dyDescent="0.3">
      <c r="D258" s="12"/>
      <c r="E258" s="8"/>
      <c r="F258" s="8"/>
      <c r="G258" s="8"/>
      <c r="H258" s="8"/>
      <c r="I258" s="8"/>
      <c r="J258" s="8"/>
    </row>
    <row r="259" spans="4:10" x14ac:dyDescent="0.3">
      <c r="D259" s="12"/>
      <c r="E259" s="8"/>
      <c r="F259" s="8"/>
      <c r="G259" s="8"/>
      <c r="H259" s="8"/>
      <c r="I259" s="8"/>
      <c r="J259" s="8"/>
    </row>
    <row r="260" spans="4:10" x14ac:dyDescent="0.3">
      <c r="D260" s="12"/>
      <c r="E260" s="8"/>
      <c r="F260" s="8"/>
      <c r="G260" s="8"/>
      <c r="H260" s="8"/>
      <c r="I260" s="8"/>
      <c r="J260" s="8"/>
    </row>
    <row r="261" spans="4:10" x14ac:dyDescent="0.3">
      <c r="D261" s="12"/>
      <c r="E261" s="8"/>
      <c r="F261" s="8"/>
      <c r="G261" s="8"/>
      <c r="H261" s="8"/>
      <c r="I261" s="8"/>
      <c r="J261" s="8"/>
    </row>
    <row r="262" spans="4:10" x14ac:dyDescent="0.3">
      <c r="D262" s="12"/>
      <c r="E262" s="8"/>
      <c r="F262" s="8"/>
      <c r="G262" s="8"/>
      <c r="H262" s="8"/>
      <c r="I262" s="8"/>
      <c r="J262" s="8"/>
    </row>
    <row r="263" spans="4:10" x14ac:dyDescent="0.3">
      <c r="D263" s="12"/>
      <c r="E263" s="8"/>
      <c r="F263" s="8"/>
      <c r="G263" s="8"/>
      <c r="H263" s="8"/>
      <c r="I263" s="8"/>
      <c r="J263" s="8"/>
    </row>
    <row r="264" spans="4:10" x14ac:dyDescent="0.3">
      <c r="D264" s="12"/>
      <c r="E264" s="8"/>
      <c r="F264" s="8"/>
      <c r="G264" s="8"/>
      <c r="H264" s="8"/>
      <c r="I264" s="8"/>
      <c r="J264" s="8"/>
    </row>
    <row r="265" spans="4:10" x14ac:dyDescent="0.3">
      <c r="D265" s="12"/>
      <c r="E265" s="8"/>
      <c r="F265" s="8"/>
      <c r="G265" s="8"/>
      <c r="H265" s="8"/>
      <c r="I265" s="8"/>
      <c r="J265" s="8"/>
    </row>
    <row r="266" spans="4:10" x14ac:dyDescent="0.3">
      <c r="D266" s="12"/>
      <c r="E266" s="8"/>
      <c r="F266" s="8"/>
      <c r="G266" s="8"/>
      <c r="H266" s="8"/>
      <c r="I266" s="8"/>
      <c r="J266" s="8"/>
    </row>
    <row r="267" spans="4:10" x14ac:dyDescent="0.3">
      <c r="D267" s="12"/>
      <c r="E267" s="8"/>
      <c r="F267" s="8"/>
      <c r="G267" s="8"/>
      <c r="H267" s="8"/>
      <c r="I267" s="8"/>
      <c r="J267" s="8"/>
    </row>
    <row r="268" spans="4:10" x14ac:dyDescent="0.3">
      <c r="D268" s="12"/>
      <c r="E268" s="8"/>
      <c r="F268" s="8"/>
      <c r="G268" s="8"/>
      <c r="H268" s="8"/>
      <c r="I268" s="8"/>
      <c r="J268" s="8"/>
    </row>
    <row r="269" spans="4:10" x14ac:dyDescent="0.3">
      <c r="D269" s="12"/>
      <c r="E269" s="8"/>
      <c r="F269" s="8"/>
      <c r="G269" s="8"/>
      <c r="H269" s="8"/>
      <c r="I269" s="8"/>
      <c r="J269" s="8"/>
    </row>
    <row r="270" spans="4:10" x14ac:dyDescent="0.3">
      <c r="D270" s="12"/>
      <c r="E270" s="8"/>
      <c r="F270" s="8"/>
      <c r="G270" s="8"/>
      <c r="H270" s="8"/>
      <c r="I270" s="8"/>
      <c r="J270" s="8"/>
    </row>
    <row r="271" spans="4:10" x14ac:dyDescent="0.3">
      <c r="D271" s="12"/>
      <c r="E271" s="8"/>
      <c r="F271" s="8"/>
      <c r="G271" s="8"/>
      <c r="H271" s="8"/>
      <c r="I271" s="8"/>
      <c r="J271" s="8"/>
    </row>
    <row r="272" spans="4:10" x14ac:dyDescent="0.3">
      <c r="D272" s="12"/>
      <c r="E272" s="8"/>
      <c r="F272" s="8"/>
      <c r="G272" s="8"/>
      <c r="H272" s="8"/>
      <c r="I272" s="8"/>
      <c r="J272" s="8"/>
    </row>
    <row r="273" spans="4:10" x14ac:dyDescent="0.3">
      <c r="D273" s="12"/>
      <c r="E273" s="8"/>
      <c r="F273" s="8"/>
      <c r="G273" s="8"/>
      <c r="H273" s="8"/>
      <c r="I273" s="8"/>
      <c r="J273" s="8"/>
    </row>
    <row r="274" spans="4:10" x14ac:dyDescent="0.3">
      <c r="D274" s="12"/>
      <c r="E274" s="8"/>
      <c r="F274" s="8"/>
      <c r="G274" s="8"/>
      <c r="H274" s="8"/>
      <c r="I274" s="8"/>
      <c r="J274" s="8"/>
    </row>
    <row r="275" spans="4:10" x14ac:dyDescent="0.3">
      <c r="D275" s="12"/>
      <c r="E275" s="8"/>
      <c r="F275" s="8"/>
      <c r="G275" s="8"/>
      <c r="H275" s="8"/>
      <c r="I275" s="8"/>
      <c r="J275" s="8"/>
    </row>
    <row r="276" spans="4:10" x14ac:dyDescent="0.3">
      <c r="D276" s="12"/>
      <c r="E276" s="8"/>
      <c r="F276" s="8"/>
      <c r="G276" s="8"/>
      <c r="H276" s="8"/>
      <c r="I276" s="8"/>
      <c r="J276" s="8"/>
    </row>
    <row r="277" spans="4:10" x14ac:dyDescent="0.3">
      <c r="D277" s="12"/>
      <c r="E277" s="8"/>
      <c r="F277" s="8"/>
      <c r="G277" s="8"/>
      <c r="H277" s="8"/>
      <c r="I277" s="8"/>
      <c r="J277" s="8"/>
    </row>
    <row r="278" spans="4:10" x14ac:dyDescent="0.3">
      <c r="D278" s="12"/>
      <c r="E278" s="8"/>
      <c r="F278" s="8"/>
      <c r="G278" s="8"/>
      <c r="H278" s="8"/>
      <c r="I278" s="8"/>
      <c r="J278" s="8"/>
    </row>
    <row r="279" spans="4:10" x14ac:dyDescent="0.3">
      <c r="D279" s="12"/>
      <c r="E279" s="8"/>
      <c r="F279" s="8"/>
      <c r="G279" s="8"/>
      <c r="H279" s="8"/>
      <c r="I279" s="8"/>
      <c r="J279" s="8"/>
    </row>
    <row r="280" spans="4:10" x14ac:dyDescent="0.3">
      <c r="D280" s="12"/>
      <c r="E280" s="8"/>
      <c r="F280" s="8"/>
      <c r="G280" s="8"/>
      <c r="H280" s="8"/>
      <c r="I280" s="8"/>
      <c r="J280" s="8"/>
    </row>
    <row r="281" spans="4:10" x14ac:dyDescent="0.3">
      <c r="D281" s="12"/>
      <c r="E281" s="8"/>
      <c r="F281" s="8"/>
      <c r="G281" s="8"/>
      <c r="H281" s="8"/>
      <c r="I281" s="8"/>
      <c r="J281" s="8"/>
    </row>
    <row r="282" spans="4:10" x14ac:dyDescent="0.3">
      <c r="D282" s="12"/>
      <c r="E282" s="8"/>
      <c r="F282" s="8"/>
      <c r="G282" s="8"/>
      <c r="H282" s="8"/>
      <c r="I282" s="8"/>
      <c r="J282" s="8"/>
    </row>
    <row r="283" spans="4:10" x14ac:dyDescent="0.3">
      <c r="D283" s="12"/>
      <c r="E283" s="8"/>
      <c r="F283" s="8"/>
      <c r="G283" s="8"/>
      <c r="H283" s="8"/>
      <c r="I283" s="8"/>
      <c r="J283" s="8"/>
    </row>
    <row r="284" spans="4:10" x14ac:dyDescent="0.3">
      <c r="D284" s="12"/>
      <c r="E284" s="8"/>
      <c r="F284" s="8"/>
      <c r="G284" s="8"/>
      <c r="H284" s="8"/>
      <c r="I284" s="8"/>
      <c r="J284" s="8"/>
    </row>
    <row r="285" spans="4:10" x14ac:dyDescent="0.3">
      <c r="D285" s="12"/>
      <c r="E285" s="8"/>
      <c r="F285" s="8"/>
      <c r="G285" s="8"/>
      <c r="H285" s="8"/>
      <c r="I285" s="8"/>
      <c r="J285" s="8"/>
    </row>
    <row r="286" spans="4:10" x14ac:dyDescent="0.3">
      <c r="D286" s="12"/>
      <c r="E286" s="8"/>
      <c r="F286" s="8"/>
      <c r="G286" s="8"/>
      <c r="H286" s="8"/>
      <c r="I286" s="8"/>
      <c r="J286" s="8"/>
    </row>
    <row r="287" spans="4:10" x14ac:dyDescent="0.3">
      <c r="D287" s="12"/>
      <c r="E287" s="8"/>
      <c r="F287" s="8"/>
      <c r="G287" s="8"/>
      <c r="H287" s="8"/>
      <c r="I287" s="8"/>
      <c r="J287" s="8"/>
    </row>
    <row r="288" spans="4:10" x14ac:dyDescent="0.3">
      <c r="D288" s="12"/>
      <c r="E288" s="8"/>
      <c r="F288" s="8"/>
      <c r="G288" s="8"/>
      <c r="H288" s="8"/>
      <c r="I288" s="8"/>
      <c r="J288" s="8"/>
    </row>
    <row r="289" spans="4:10" x14ac:dyDescent="0.3">
      <c r="D289" s="12"/>
      <c r="E289" s="8"/>
      <c r="F289" s="8"/>
      <c r="G289" s="8"/>
      <c r="H289" s="8"/>
      <c r="I289" s="8"/>
      <c r="J289" s="8"/>
    </row>
    <row r="290" spans="4:10" x14ac:dyDescent="0.3">
      <c r="D290" s="12"/>
      <c r="E290" s="8"/>
      <c r="F290" s="8"/>
      <c r="G290" s="8"/>
      <c r="H290" s="8"/>
      <c r="I290" s="8"/>
      <c r="J290" s="8"/>
    </row>
    <row r="291" spans="4:10" x14ac:dyDescent="0.3">
      <c r="D291" s="12"/>
      <c r="E291" s="8"/>
      <c r="F291" s="8"/>
      <c r="G291" s="8"/>
      <c r="H291" s="8"/>
      <c r="I291" s="8"/>
      <c r="J291" s="8"/>
    </row>
    <row r="292" spans="4:10" x14ac:dyDescent="0.3">
      <c r="D292" s="12"/>
      <c r="E292" s="8"/>
      <c r="F292" s="8"/>
      <c r="G292" s="8"/>
      <c r="H292" s="8"/>
      <c r="I292" s="8"/>
      <c r="J292" s="8"/>
    </row>
    <row r="293" spans="4:10" x14ac:dyDescent="0.3">
      <c r="D293" s="12"/>
      <c r="E293" s="8"/>
      <c r="F293" s="8"/>
      <c r="G293" s="8"/>
      <c r="H293" s="8"/>
      <c r="I293" s="8"/>
      <c r="J293" s="8"/>
    </row>
    <row r="294" spans="4:10" x14ac:dyDescent="0.3">
      <c r="D294" s="12"/>
      <c r="E294" s="8"/>
      <c r="F294" s="8"/>
      <c r="G294" s="8"/>
      <c r="H294" s="8"/>
      <c r="I294" s="8"/>
      <c r="J294" s="8"/>
    </row>
    <row r="295" spans="4:10" x14ac:dyDescent="0.3">
      <c r="D295" s="12"/>
      <c r="E295" s="8"/>
      <c r="F295" s="8"/>
      <c r="G295" s="8"/>
      <c r="H295" s="8"/>
      <c r="I295" s="8"/>
      <c r="J295" s="8"/>
    </row>
    <row r="296" spans="4:10" x14ac:dyDescent="0.3">
      <c r="D296" s="12"/>
      <c r="E296" s="8"/>
      <c r="F296" s="8"/>
      <c r="G296" s="8"/>
      <c r="H296" s="8"/>
      <c r="I296" s="8"/>
      <c r="J296" s="8"/>
    </row>
    <row r="297" spans="4:10" x14ac:dyDescent="0.3">
      <c r="D297" s="12"/>
      <c r="E297" s="8"/>
      <c r="F297" s="8"/>
      <c r="G297" s="8"/>
      <c r="H297" s="8"/>
      <c r="I297" s="8"/>
      <c r="J297" s="8"/>
    </row>
    <row r="298" spans="4:10" x14ac:dyDescent="0.3">
      <c r="D298" s="12"/>
      <c r="E298" s="8"/>
      <c r="F298" s="8"/>
      <c r="G298" s="8"/>
      <c r="H298" s="8"/>
      <c r="I298" s="8"/>
      <c r="J298" s="8"/>
    </row>
    <row r="299" spans="4:10" x14ac:dyDescent="0.3">
      <c r="D299" s="12"/>
      <c r="E299" s="8"/>
      <c r="F299" s="8"/>
      <c r="G299" s="8"/>
      <c r="H299" s="8"/>
      <c r="I299" s="8"/>
      <c r="J299" s="8"/>
    </row>
    <row r="300" spans="4:10" x14ac:dyDescent="0.3">
      <c r="D300" s="12"/>
      <c r="E300" s="8"/>
      <c r="F300" s="8"/>
      <c r="G300" s="8"/>
      <c r="H300" s="8"/>
      <c r="I300" s="8"/>
      <c r="J300" s="8"/>
    </row>
    <row r="301" spans="4:10" x14ac:dyDescent="0.3">
      <c r="D301" s="12"/>
      <c r="E301" s="8"/>
      <c r="F301" s="8"/>
      <c r="G301" s="8"/>
      <c r="H301" s="8"/>
      <c r="I301" s="8"/>
      <c r="J301" s="8"/>
    </row>
    <row r="302" spans="4:10" x14ac:dyDescent="0.3">
      <c r="D302" s="12"/>
      <c r="E302" s="8"/>
      <c r="F302" s="8"/>
      <c r="G302" s="8"/>
      <c r="H302" s="8"/>
      <c r="I302" s="8"/>
      <c r="J302" s="8"/>
    </row>
    <row r="303" spans="4:10" x14ac:dyDescent="0.3">
      <c r="D303" s="12"/>
      <c r="E303" s="8"/>
      <c r="F303" s="8"/>
      <c r="G303" s="8"/>
      <c r="H303" s="8"/>
      <c r="I303" s="8"/>
      <c r="J303" s="8"/>
    </row>
    <row r="304" spans="4:10" x14ac:dyDescent="0.3">
      <c r="D304" s="12"/>
      <c r="E304" s="8"/>
      <c r="F304" s="8"/>
      <c r="G304" s="8"/>
      <c r="H304" s="8"/>
      <c r="I304" s="8"/>
      <c r="J304" s="8"/>
    </row>
    <row r="305" spans="4:10" x14ac:dyDescent="0.3">
      <c r="D305" s="12"/>
      <c r="E305" s="8"/>
      <c r="F305" s="8"/>
      <c r="G305" s="8"/>
      <c r="H305" s="8"/>
      <c r="I305" s="8"/>
      <c r="J305" s="8"/>
    </row>
    <row r="306" spans="4:10" x14ac:dyDescent="0.3">
      <c r="D306" s="12"/>
      <c r="E306" s="8"/>
      <c r="F306" s="8"/>
      <c r="G306" s="8"/>
      <c r="H306" s="8"/>
      <c r="I306" s="8"/>
      <c r="J306" s="8"/>
    </row>
    <row r="307" spans="4:10" x14ac:dyDescent="0.3">
      <c r="D307" s="12"/>
      <c r="E307" s="8"/>
      <c r="F307" s="8"/>
      <c r="G307" s="8"/>
      <c r="H307" s="8"/>
      <c r="I307" s="8"/>
      <c r="J307" s="8"/>
    </row>
    <row r="308" spans="4:10" x14ac:dyDescent="0.3">
      <c r="D308" s="12"/>
      <c r="E308" s="8"/>
      <c r="F308" s="8"/>
      <c r="G308" s="8"/>
      <c r="H308" s="8"/>
      <c r="I308" s="8"/>
      <c r="J308" s="8"/>
    </row>
    <row r="309" spans="4:10" x14ac:dyDescent="0.3">
      <c r="D309" s="12"/>
      <c r="E309" s="8"/>
      <c r="F309" s="8"/>
      <c r="G309" s="8"/>
      <c r="H309" s="8"/>
      <c r="I309" s="8"/>
      <c r="J309" s="8"/>
    </row>
    <row r="310" spans="4:10" x14ac:dyDescent="0.3">
      <c r="D310" s="12"/>
      <c r="E310" s="8"/>
      <c r="F310" s="8"/>
      <c r="G310" s="8"/>
      <c r="H310" s="8"/>
      <c r="I310" s="8"/>
      <c r="J310" s="8"/>
    </row>
    <row r="311" spans="4:10" x14ac:dyDescent="0.3">
      <c r="D311" s="12"/>
      <c r="E311" s="8"/>
      <c r="F311" s="8"/>
      <c r="G311" s="8"/>
      <c r="H311" s="8"/>
      <c r="I311" s="8"/>
      <c r="J311" s="8"/>
    </row>
    <row r="312" spans="4:10" x14ac:dyDescent="0.3">
      <c r="D312" s="12"/>
      <c r="E312" s="8"/>
      <c r="F312" s="8"/>
      <c r="G312" s="8"/>
      <c r="H312" s="8"/>
      <c r="I312" s="8"/>
      <c r="J312" s="8"/>
    </row>
    <row r="313" spans="4:10" x14ac:dyDescent="0.3">
      <c r="D313" s="12"/>
      <c r="E313" s="8"/>
      <c r="F313" s="8"/>
      <c r="G313" s="8"/>
      <c r="H313" s="8"/>
      <c r="I313" s="8"/>
      <c r="J313" s="8"/>
    </row>
    <row r="314" spans="4:10" x14ac:dyDescent="0.3">
      <c r="D314" s="12"/>
      <c r="E314" s="8"/>
      <c r="F314" s="8"/>
      <c r="G314" s="8"/>
      <c r="H314" s="8"/>
      <c r="I314" s="8"/>
      <c r="J314" s="8"/>
    </row>
    <row r="315" spans="4:10" x14ac:dyDescent="0.3">
      <c r="D315" s="12"/>
      <c r="E315" s="8"/>
      <c r="F315" s="8"/>
      <c r="G315" s="8"/>
      <c r="H315" s="8"/>
      <c r="I315" s="8"/>
      <c r="J315" s="8"/>
    </row>
    <row r="316" spans="4:10" x14ac:dyDescent="0.3">
      <c r="D316" s="12"/>
      <c r="E316" s="8"/>
      <c r="F316" s="8"/>
      <c r="G316" s="8"/>
      <c r="H316" s="8"/>
      <c r="I316" s="8"/>
      <c r="J316" s="8"/>
    </row>
    <row r="317" spans="4:10" x14ac:dyDescent="0.3">
      <c r="D317" s="12"/>
      <c r="E317" s="8"/>
      <c r="F317" s="8"/>
      <c r="G317" s="8"/>
      <c r="H317" s="8"/>
      <c r="I317" s="8"/>
      <c r="J317" s="8"/>
    </row>
    <row r="318" spans="4:10" x14ac:dyDescent="0.3">
      <c r="D318" s="12"/>
      <c r="E318" s="8"/>
      <c r="F318" s="8"/>
      <c r="G318" s="8"/>
      <c r="H318" s="8"/>
      <c r="I318" s="8"/>
      <c r="J318" s="8"/>
    </row>
    <row r="319" spans="4:10" x14ac:dyDescent="0.3">
      <c r="D319" s="12"/>
      <c r="E319" s="8"/>
      <c r="F319" s="8"/>
      <c r="G319" s="8"/>
      <c r="H319" s="8"/>
      <c r="I319" s="8"/>
      <c r="J319" s="8"/>
    </row>
    <row r="320" spans="4:10" x14ac:dyDescent="0.3">
      <c r="D320" s="12"/>
      <c r="E320" s="8"/>
      <c r="F320" s="8"/>
      <c r="G320" s="8"/>
      <c r="H320" s="8"/>
      <c r="I320" s="8"/>
      <c r="J320" s="8"/>
    </row>
    <row r="321" spans="4:10" x14ac:dyDescent="0.3">
      <c r="D321" s="12"/>
      <c r="E321" s="8"/>
      <c r="F321" s="8"/>
      <c r="G321" s="8"/>
      <c r="H321" s="8"/>
      <c r="I321" s="8"/>
      <c r="J321" s="8"/>
    </row>
    <row r="322" spans="4:10" x14ac:dyDescent="0.3">
      <c r="D322" s="12"/>
      <c r="E322" s="8"/>
      <c r="F322" s="8"/>
      <c r="G322" s="8"/>
      <c r="H322" s="8"/>
      <c r="I322" s="8"/>
      <c r="J322" s="8"/>
    </row>
    <row r="323" spans="4:10" x14ac:dyDescent="0.3">
      <c r="D323" s="12"/>
      <c r="E323" s="8"/>
      <c r="F323" s="8"/>
      <c r="G323" s="8"/>
      <c r="H323" s="8"/>
      <c r="I323" s="8"/>
      <c r="J323" s="8"/>
    </row>
    <row r="324" spans="4:10" x14ac:dyDescent="0.3">
      <c r="D324" s="12"/>
      <c r="E324" s="8"/>
      <c r="F324" s="8"/>
      <c r="G324" s="8"/>
      <c r="H324" s="8"/>
      <c r="I324" s="8"/>
      <c r="J324" s="8"/>
    </row>
    <row r="325" spans="4:10" x14ac:dyDescent="0.3">
      <c r="D325" s="12"/>
      <c r="E325" s="8"/>
      <c r="F325" s="8"/>
      <c r="G325" s="8"/>
      <c r="H325" s="8"/>
      <c r="I325" s="8"/>
      <c r="J325" s="8"/>
    </row>
    <row r="326" spans="4:10" x14ac:dyDescent="0.3">
      <c r="D326" s="12"/>
      <c r="E326" s="8"/>
      <c r="F326" s="8"/>
      <c r="G326" s="8"/>
      <c r="H326" s="8"/>
      <c r="I326" s="8"/>
      <c r="J326" s="8"/>
    </row>
    <row r="327" spans="4:10" x14ac:dyDescent="0.3">
      <c r="D327" s="12"/>
      <c r="E327" s="8"/>
      <c r="F327" s="8"/>
      <c r="G327" s="8"/>
      <c r="H327" s="8"/>
      <c r="I327" s="8"/>
      <c r="J327" s="8"/>
    </row>
    <row r="328" spans="4:10" x14ac:dyDescent="0.3">
      <c r="D328" s="12"/>
      <c r="E328" s="8"/>
      <c r="F328" s="8"/>
      <c r="G328" s="8"/>
      <c r="H328" s="8"/>
      <c r="I328" s="8"/>
      <c r="J328" s="8"/>
    </row>
    <row r="329" spans="4:10" x14ac:dyDescent="0.3">
      <c r="D329" s="12"/>
      <c r="E329" s="8"/>
      <c r="F329" s="8"/>
      <c r="G329" s="8"/>
      <c r="H329" s="8"/>
      <c r="I329" s="8"/>
      <c r="J329" s="8"/>
    </row>
    <row r="330" spans="4:10" x14ac:dyDescent="0.3">
      <c r="D330" s="12"/>
      <c r="E330" s="8"/>
      <c r="F330" s="8"/>
      <c r="G330" s="8"/>
      <c r="H330" s="8"/>
      <c r="I330" s="8"/>
      <c r="J330" s="8"/>
    </row>
    <row r="331" spans="4:10" x14ac:dyDescent="0.3">
      <c r="D331" s="12"/>
      <c r="E331" s="8"/>
      <c r="F331" s="8"/>
      <c r="G331" s="8"/>
      <c r="H331" s="8"/>
      <c r="I331" s="8"/>
      <c r="J331" s="8"/>
    </row>
    <row r="332" spans="4:10" x14ac:dyDescent="0.3">
      <c r="D332" s="12"/>
      <c r="E332" s="8"/>
      <c r="F332" s="8"/>
      <c r="G332" s="8"/>
      <c r="H332" s="8"/>
      <c r="I332" s="8"/>
      <c r="J332" s="8"/>
    </row>
    <row r="333" spans="4:10" x14ac:dyDescent="0.3">
      <c r="D333" s="12"/>
      <c r="E333" s="8"/>
      <c r="F333" s="8"/>
      <c r="G333" s="8"/>
      <c r="H333" s="8"/>
      <c r="I333" s="8"/>
      <c r="J333" s="8"/>
    </row>
    <row r="334" spans="4:10" x14ac:dyDescent="0.3">
      <c r="D334" s="12"/>
      <c r="E334" s="8"/>
      <c r="F334" s="8"/>
      <c r="G334" s="8"/>
      <c r="H334" s="8"/>
      <c r="I334" s="8"/>
      <c r="J334" s="8"/>
    </row>
    <row r="335" spans="4:10" x14ac:dyDescent="0.3">
      <c r="D335" s="12"/>
      <c r="E335" s="8"/>
      <c r="F335" s="8"/>
      <c r="G335" s="8"/>
      <c r="H335" s="8"/>
      <c r="I335" s="8"/>
      <c r="J335" s="8"/>
    </row>
    <row r="336" spans="4:10" x14ac:dyDescent="0.3">
      <c r="D336" s="12"/>
      <c r="E336" s="8"/>
      <c r="F336" s="8"/>
      <c r="G336" s="8"/>
      <c r="H336" s="8"/>
      <c r="I336" s="8"/>
      <c r="J336" s="8"/>
    </row>
    <row r="337" spans="4:10" x14ac:dyDescent="0.3">
      <c r="D337" s="12"/>
      <c r="E337" s="8"/>
      <c r="F337" s="8"/>
      <c r="G337" s="8"/>
      <c r="H337" s="8"/>
      <c r="I337" s="8"/>
      <c r="J337" s="8"/>
    </row>
    <row r="338" spans="4:10" x14ac:dyDescent="0.3">
      <c r="D338" s="12"/>
      <c r="E338" s="8"/>
      <c r="F338" s="8"/>
      <c r="G338" s="8"/>
      <c r="H338" s="8"/>
      <c r="I338" s="8"/>
      <c r="J338" s="8"/>
    </row>
    <row r="339" spans="4:10" x14ac:dyDescent="0.3">
      <c r="D339" s="12"/>
      <c r="E339" s="8"/>
      <c r="F339" s="8"/>
      <c r="G339" s="8"/>
      <c r="H339" s="8"/>
      <c r="I339" s="8"/>
      <c r="J339" s="8"/>
    </row>
    <row r="340" spans="4:10" x14ac:dyDescent="0.3">
      <c r="D340" s="12"/>
      <c r="E340" s="8"/>
      <c r="F340" s="8"/>
      <c r="G340" s="8"/>
      <c r="H340" s="8"/>
      <c r="I340" s="8"/>
      <c r="J340" s="8"/>
    </row>
    <row r="341" spans="4:10" x14ac:dyDescent="0.3">
      <c r="D341" s="12"/>
      <c r="E341" s="8"/>
      <c r="F341" s="8"/>
      <c r="G341" s="8"/>
      <c r="H341" s="8"/>
      <c r="I341" s="8"/>
      <c r="J341" s="8"/>
    </row>
    <row r="342" spans="4:10" x14ac:dyDescent="0.3">
      <c r="D342" s="12"/>
      <c r="E342" s="8"/>
      <c r="F342" s="8"/>
      <c r="G342" s="8"/>
      <c r="H342" s="8"/>
      <c r="I342" s="8"/>
      <c r="J342" s="8"/>
    </row>
    <row r="343" spans="4:10" x14ac:dyDescent="0.3">
      <c r="D343" s="12"/>
      <c r="E343" s="8"/>
      <c r="F343" s="8"/>
      <c r="G343" s="8"/>
      <c r="H343" s="8"/>
      <c r="I343" s="8"/>
      <c r="J343" s="8"/>
    </row>
    <row r="344" spans="4:10" x14ac:dyDescent="0.3">
      <c r="D344" s="12"/>
      <c r="E344" s="8"/>
      <c r="F344" s="8"/>
      <c r="G344" s="8"/>
      <c r="H344" s="8"/>
      <c r="I344" s="8"/>
      <c r="J344" s="8"/>
    </row>
    <row r="345" spans="4:10" x14ac:dyDescent="0.3">
      <c r="D345" s="12"/>
      <c r="E345" s="8"/>
      <c r="F345" s="8"/>
      <c r="G345" s="8"/>
      <c r="H345" s="8"/>
      <c r="I345" s="8"/>
      <c r="J345" s="8"/>
    </row>
    <row r="346" spans="4:10" x14ac:dyDescent="0.3">
      <c r="D346" s="12"/>
      <c r="E346" s="8"/>
      <c r="F346" s="8"/>
      <c r="G346" s="8"/>
      <c r="H346" s="8"/>
      <c r="I346" s="8"/>
      <c r="J346" s="8"/>
    </row>
    <row r="347" spans="4:10" x14ac:dyDescent="0.3">
      <c r="D347" s="12"/>
      <c r="E347" s="8"/>
      <c r="F347" s="8"/>
      <c r="G347" s="8"/>
      <c r="H347" s="8"/>
      <c r="I347" s="8"/>
      <c r="J347" s="8"/>
    </row>
    <row r="348" spans="4:10" x14ac:dyDescent="0.3">
      <c r="D348" s="12"/>
      <c r="E348" s="8"/>
      <c r="F348" s="8"/>
      <c r="G348" s="8"/>
      <c r="H348" s="8"/>
      <c r="I348" s="8"/>
      <c r="J348" s="8"/>
    </row>
    <row r="349" spans="4:10" x14ac:dyDescent="0.3">
      <c r="D349" s="12"/>
      <c r="E349" s="8"/>
      <c r="F349" s="8"/>
      <c r="G349" s="8"/>
      <c r="H349" s="8"/>
      <c r="I349" s="8"/>
      <c r="J349" s="8"/>
    </row>
    <row r="350" spans="4:10" x14ac:dyDescent="0.3">
      <c r="D350" s="12"/>
      <c r="E350" s="8"/>
      <c r="F350" s="8"/>
      <c r="G350" s="8"/>
      <c r="H350" s="8"/>
      <c r="I350" s="8"/>
      <c r="J350" s="8"/>
    </row>
    <row r="351" spans="4:10" x14ac:dyDescent="0.3">
      <c r="D351" s="12"/>
      <c r="E351" s="8"/>
      <c r="F351" s="8"/>
      <c r="G351" s="8"/>
      <c r="H351" s="8"/>
      <c r="I351" s="8"/>
      <c r="J351" s="8"/>
    </row>
    <row r="352" spans="4:10" x14ac:dyDescent="0.3">
      <c r="D352" s="12"/>
      <c r="E352" s="8"/>
      <c r="F352" s="8"/>
      <c r="G352" s="8"/>
      <c r="H352" s="8"/>
      <c r="I352" s="8"/>
      <c r="J352" s="8"/>
    </row>
    <row r="353" spans="4:10" x14ac:dyDescent="0.3">
      <c r="D353" s="12"/>
      <c r="E353" s="8"/>
      <c r="F353" s="8"/>
      <c r="G353" s="8"/>
      <c r="H353" s="8"/>
      <c r="I353" s="8"/>
      <c r="J353" s="8"/>
    </row>
    <row r="354" spans="4:10" x14ac:dyDescent="0.3">
      <c r="D354" s="12"/>
      <c r="E354" s="8"/>
      <c r="F354" s="8"/>
      <c r="G354" s="8"/>
      <c r="H354" s="8"/>
      <c r="I354" s="8"/>
      <c r="J354" s="8"/>
    </row>
    <row r="355" spans="4:10" x14ac:dyDescent="0.3">
      <c r="D355" s="12"/>
      <c r="E355" s="8"/>
      <c r="F355" s="8"/>
      <c r="G355" s="8"/>
      <c r="H355" s="8"/>
      <c r="I355" s="8"/>
      <c r="J355" s="8"/>
    </row>
    <row r="356" spans="4:10" x14ac:dyDescent="0.3">
      <c r="D356" s="12"/>
      <c r="E356" s="8"/>
      <c r="F356" s="8"/>
      <c r="G356" s="8"/>
      <c r="H356" s="8"/>
      <c r="I356" s="8"/>
      <c r="J356" s="8"/>
    </row>
    <row r="357" spans="4:10" x14ac:dyDescent="0.3">
      <c r="D357" s="12"/>
      <c r="E357" s="8"/>
      <c r="F357" s="8"/>
      <c r="G357" s="8"/>
      <c r="H357" s="8"/>
      <c r="I357" s="8"/>
      <c r="J357" s="8"/>
    </row>
    <row r="358" spans="4:10" x14ac:dyDescent="0.3">
      <c r="D358" s="12"/>
      <c r="E358" s="8"/>
      <c r="F358" s="8"/>
      <c r="G358" s="8"/>
      <c r="H358" s="8"/>
      <c r="I358" s="8"/>
      <c r="J358" s="8"/>
    </row>
    <row r="359" spans="4:10" x14ac:dyDescent="0.3">
      <c r="D359" s="12"/>
      <c r="E359" s="8"/>
      <c r="F359" s="8"/>
      <c r="G359" s="8"/>
      <c r="H359" s="8"/>
      <c r="I359" s="8"/>
      <c r="J359" s="8"/>
    </row>
    <row r="360" spans="4:10" x14ac:dyDescent="0.3">
      <c r="D360" s="12"/>
      <c r="E360" s="8"/>
      <c r="F360" s="8"/>
      <c r="G360" s="8"/>
      <c r="H360" s="8"/>
      <c r="I360" s="8"/>
      <c r="J360" s="8"/>
    </row>
    <row r="361" spans="4:10" x14ac:dyDescent="0.3">
      <c r="D361" s="12"/>
      <c r="E361" s="8"/>
      <c r="F361" s="8"/>
      <c r="G361" s="8"/>
      <c r="H361" s="8"/>
      <c r="I361" s="8"/>
      <c r="J361" s="8"/>
    </row>
    <row r="362" spans="4:10" x14ac:dyDescent="0.3">
      <c r="D362" s="12"/>
      <c r="E362" s="8"/>
      <c r="F362" s="8"/>
      <c r="G362" s="8"/>
      <c r="H362" s="8"/>
      <c r="I362" s="8"/>
      <c r="J362" s="8"/>
    </row>
    <row r="363" spans="4:10" x14ac:dyDescent="0.3">
      <c r="D363" s="12"/>
      <c r="E363" s="8"/>
      <c r="F363" s="8"/>
      <c r="G363" s="8"/>
      <c r="H363" s="8"/>
      <c r="I363" s="8"/>
      <c r="J363" s="8"/>
    </row>
    <row r="364" spans="4:10" x14ac:dyDescent="0.3">
      <c r="D364" s="12"/>
      <c r="E364" s="8"/>
      <c r="F364" s="8"/>
      <c r="G364" s="8"/>
      <c r="H364" s="8"/>
      <c r="I364" s="8"/>
      <c r="J364" s="8"/>
    </row>
    <row r="365" spans="4:10" x14ac:dyDescent="0.3">
      <c r="D365" s="12"/>
      <c r="E365" s="8"/>
      <c r="F365" s="8"/>
      <c r="G365" s="8"/>
      <c r="H365" s="8"/>
      <c r="I365" s="8"/>
      <c r="J365" s="8"/>
    </row>
    <row r="366" spans="4:10" x14ac:dyDescent="0.3">
      <c r="D366" s="12"/>
      <c r="E366" s="8"/>
      <c r="F366" s="8"/>
      <c r="G366" s="8"/>
      <c r="H366" s="8"/>
      <c r="I366" s="8"/>
      <c r="J366" s="8"/>
    </row>
    <row r="367" spans="4:10" x14ac:dyDescent="0.3">
      <c r="D367" s="12"/>
      <c r="E367" s="8"/>
      <c r="F367" s="8"/>
      <c r="G367" s="8"/>
      <c r="H367" s="8"/>
      <c r="I367" s="8"/>
      <c r="J367" s="8"/>
    </row>
    <row r="368" spans="4:10" x14ac:dyDescent="0.3">
      <c r="D368" s="12"/>
      <c r="E368" s="8"/>
      <c r="F368" s="8"/>
      <c r="G368" s="8"/>
      <c r="H368" s="8"/>
      <c r="I368" s="8"/>
      <c r="J368" s="8"/>
    </row>
    <row r="369" spans="4:10" x14ac:dyDescent="0.3">
      <c r="D369" s="12"/>
      <c r="E369" s="8"/>
      <c r="F369" s="8"/>
      <c r="G369" s="8"/>
      <c r="H369" s="8"/>
      <c r="I369" s="8"/>
      <c r="J369" s="8"/>
    </row>
    <row r="370" spans="4:10" x14ac:dyDescent="0.3">
      <c r="D370" s="12"/>
      <c r="E370" s="8"/>
      <c r="F370" s="8"/>
      <c r="G370" s="8"/>
      <c r="H370" s="8"/>
      <c r="I370" s="8"/>
      <c r="J370" s="8"/>
    </row>
    <row r="371" spans="4:10" x14ac:dyDescent="0.3">
      <c r="D371" s="12"/>
      <c r="E371" s="8"/>
      <c r="F371" s="8"/>
      <c r="G371" s="8"/>
      <c r="H371" s="8"/>
      <c r="I371" s="8"/>
      <c r="J371" s="8"/>
    </row>
    <row r="372" spans="4:10" x14ac:dyDescent="0.3">
      <c r="D372" s="12"/>
      <c r="E372" s="8"/>
      <c r="F372" s="8"/>
      <c r="G372" s="8"/>
      <c r="H372" s="8"/>
      <c r="I372" s="8"/>
      <c r="J372" s="8"/>
    </row>
    <row r="373" spans="4:10" x14ac:dyDescent="0.3">
      <c r="D373" s="12"/>
      <c r="E373" s="8"/>
      <c r="F373" s="8"/>
      <c r="G373" s="8"/>
      <c r="H373" s="8"/>
      <c r="I373" s="8"/>
      <c r="J373" s="8"/>
    </row>
    <row r="374" spans="4:10" x14ac:dyDescent="0.3">
      <c r="D374" s="12"/>
      <c r="E374" s="8"/>
      <c r="F374" s="8"/>
      <c r="G374" s="8"/>
      <c r="H374" s="8"/>
      <c r="I374" s="8"/>
      <c r="J374" s="8"/>
    </row>
    <row r="375" spans="4:10" x14ac:dyDescent="0.3">
      <c r="D375" s="12"/>
      <c r="E375" s="8"/>
      <c r="F375" s="8"/>
      <c r="G375" s="8"/>
      <c r="H375" s="8"/>
      <c r="I375" s="8"/>
      <c r="J375" s="8"/>
    </row>
    <row r="376" spans="4:10" x14ac:dyDescent="0.3">
      <c r="D376" s="12"/>
      <c r="E376" s="8"/>
      <c r="F376" s="8"/>
      <c r="G376" s="8"/>
      <c r="H376" s="8"/>
      <c r="I376" s="8"/>
      <c r="J376" s="8"/>
    </row>
    <row r="377" spans="4:10" x14ac:dyDescent="0.3">
      <c r="D377" s="12"/>
      <c r="E377" s="8"/>
      <c r="F377" s="8"/>
      <c r="G377" s="8"/>
      <c r="H377" s="8"/>
      <c r="I377" s="8"/>
      <c r="J377" s="8"/>
    </row>
    <row r="378" spans="4:10" x14ac:dyDescent="0.3">
      <c r="D378" s="12"/>
      <c r="E378" s="8"/>
      <c r="F378" s="8"/>
      <c r="G378" s="8"/>
      <c r="H378" s="8"/>
      <c r="I378" s="8"/>
      <c r="J378" s="8"/>
    </row>
    <row r="379" spans="4:10" x14ac:dyDescent="0.3">
      <c r="D379" s="12"/>
      <c r="E379" s="8"/>
      <c r="F379" s="8"/>
      <c r="G379" s="8"/>
      <c r="H379" s="8"/>
      <c r="I379" s="8"/>
      <c r="J379" s="8"/>
    </row>
    <row r="380" spans="4:10" x14ac:dyDescent="0.3">
      <c r="D380" s="12"/>
      <c r="E380" s="8"/>
      <c r="F380" s="8"/>
      <c r="G380" s="8"/>
      <c r="H380" s="8"/>
      <c r="I380" s="8"/>
      <c r="J380" s="8"/>
    </row>
    <row r="381" spans="4:10" x14ac:dyDescent="0.3">
      <c r="D381" s="12"/>
      <c r="E381" s="8"/>
      <c r="F381" s="8"/>
      <c r="G381" s="8"/>
      <c r="H381" s="8"/>
      <c r="I381" s="8"/>
      <c r="J381" s="8"/>
    </row>
    <row r="382" spans="4:10" x14ac:dyDescent="0.3">
      <c r="D382" s="12"/>
      <c r="E382" s="8"/>
      <c r="F382" s="8"/>
      <c r="G382" s="8"/>
      <c r="H382" s="8"/>
      <c r="I382" s="8"/>
      <c r="J382" s="8"/>
    </row>
    <row r="383" spans="4:10" x14ac:dyDescent="0.3">
      <c r="D383" s="12"/>
      <c r="E383" s="8"/>
      <c r="F383" s="8"/>
      <c r="G383" s="8"/>
      <c r="H383" s="8"/>
      <c r="I383" s="8"/>
      <c r="J383" s="8"/>
    </row>
    <row r="384" spans="4:10" x14ac:dyDescent="0.3">
      <c r="D384" s="12"/>
      <c r="E384" s="8"/>
      <c r="F384" s="8"/>
      <c r="G384" s="8"/>
      <c r="H384" s="8"/>
      <c r="I384" s="8"/>
      <c r="J384" s="8"/>
    </row>
    <row r="385" spans="4:10" x14ac:dyDescent="0.3">
      <c r="D385" s="12"/>
      <c r="E385" s="8"/>
      <c r="F385" s="8"/>
      <c r="G385" s="8"/>
      <c r="H385" s="8"/>
      <c r="I385" s="8"/>
      <c r="J385" s="8"/>
    </row>
    <row r="386" spans="4:10" x14ac:dyDescent="0.3">
      <c r="D386" s="12"/>
      <c r="E386" s="8"/>
      <c r="F386" s="8"/>
      <c r="G386" s="8"/>
      <c r="H386" s="8"/>
      <c r="I386" s="8"/>
      <c r="J386" s="8"/>
    </row>
    <row r="387" spans="4:10" x14ac:dyDescent="0.3">
      <c r="D387" s="12"/>
      <c r="E387" s="8"/>
      <c r="F387" s="8"/>
      <c r="G387" s="8"/>
      <c r="H387" s="8"/>
      <c r="I387" s="8"/>
      <c r="J387" s="8"/>
    </row>
    <row r="388" spans="4:10" x14ac:dyDescent="0.3">
      <c r="D388" s="12"/>
      <c r="E388" s="8"/>
      <c r="F388" s="8"/>
      <c r="G388" s="8"/>
      <c r="H388" s="8"/>
      <c r="I388" s="8"/>
      <c r="J388" s="8"/>
    </row>
    <row r="389" spans="4:10" x14ac:dyDescent="0.3">
      <c r="D389" s="12"/>
      <c r="E389" s="8"/>
      <c r="F389" s="8"/>
      <c r="G389" s="8"/>
      <c r="H389" s="8"/>
      <c r="I389" s="8"/>
      <c r="J389" s="8"/>
    </row>
    <row r="390" spans="4:10" x14ac:dyDescent="0.3">
      <c r="D390" s="12"/>
      <c r="E390" s="8"/>
      <c r="F390" s="8"/>
      <c r="G390" s="8"/>
      <c r="H390" s="8"/>
      <c r="I390" s="8"/>
      <c r="J390" s="8"/>
    </row>
    <row r="391" spans="4:10" x14ac:dyDescent="0.3">
      <c r="D391" s="12"/>
      <c r="E391" s="8"/>
      <c r="F391" s="8"/>
      <c r="G391" s="8"/>
      <c r="H391" s="8"/>
      <c r="I391" s="8"/>
      <c r="J391" s="8"/>
    </row>
    <row r="392" spans="4:10" x14ac:dyDescent="0.3">
      <c r="D392" s="12"/>
      <c r="E392" s="8"/>
      <c r="F392" s="8"/>
      <c r="G392" s="8"/>
      <c r="H392" s="8"/>
      <c r="I392" s="8"/>
      <c r="J392" s="8"/>
    </row>
    <row r="393" spans="4:10" x14ac:dyDescent="0.3">
      <c r="D393" s="12"/>
      <c r="E393" s="8"/>
      <c r="F393" s="8"/>
      <c r="G393" s="8"/>
      <c r="H393" s="8"/>
      <c r="I393" s="8"/>
      <c r="J393" s="8"/>
    </row>
    <row r="394" spans="4:10" x14ac:dyDescent="0.3">
      <c r="D394" s="12"/>
      <c r="E394" s="8"/>
      <c r="F394" s="8"/>
      <c r="G394" s="8"/>
      <c r="H394" s="8"/>
      <c r="I394" s="8"/>
      <c r="J394" s="8"/>
    </row>
    <row r="395" spans="4:10" x14ac:dyDescent="0.3">
      <c r="D395" s="12"/>
      <c r="E395" s="8"/>
      <c r="F395" s="8"/>
      <c r="G395" s="8"/>
      <c r="H395" s="8"/>
      <c r="I395" s="8"/>
      <c r="J395" s="8"/>
    </row>
    <row r="396" spans="4:10" x14ac:dyDescent="0.3">
      <c r="D396" s="12"/>
      <c r="E396" s="8"/>
      <c r="F396" s="8"/>
      <c r="G396" s="8"/>
      <c r="H396" s="8"/>
      <c r="I396" s="8"/>
      <c r="J396" s="8"/>
    </row>
    <row r="397" spans="4:10" x14ac:dyDescent="0.3">
      <c r="D397" s="12"/>
      <c r="E397" s="8"/>
      <c r="F397" s="8"/>
      <c r="G397" s="8"/>
      <c r="H397" s="8"/>
      <c r="I397" s="8"/>
      <c r="J397" s="8"/>
    </row>
    <row r="398" spans="4:10" x14ac:dyDescent="0.3">
      <c r="D398" s="12"/>
      <c r="E398" s="8"/>
      <c r="F398" s="8"/>
      <c r="G398" s="8"/>
      <c r="H398" s="8"/>
      <c r="I398" s="8"/>
      <c r="J398" s="8"/>
    </row>
    <row r="399" spans="4:10" x14ac:dyDescent="0.3">
      <c r="D399" s="12"/>
      <c r="E399" s="8"/>
      <c r="F399" s="8"/>
      <c r="G399" s="8"/>
      <c r="H399" s="8"/>
      <c r="I399" s="8"/>
      <c r="J399" s="8"/>
    </row>
    <row r="400" spans="4:10" x14ac:dyDescent="0.3">
      <c r="D400" s="12"/>
      <c r="E400" s="8"/>
      <c r="F400" s="8"/>
      <c r="G400" s="8"/>
      <c r="H400" s="8"/>
      <c r="I400" s="8"/>
      <c r="J400" s="8"/>
    </row>
    <row r="401" spans="4:10" x14ac:dyDescent="0.3">
      <c r="D401" s="12"/>
      <c r="E401" s="8"/>
      <c r="F401" s="8"/>
      <c r="G401" s="8"/>
      <c r="H401" s="8"/>
      <c r="I401" s="8"/>
      <c r="J401" s="8"/>
    </row>
    <row r="402" spans="4:10" x14ac:dyDescent="0.3">
      <c r="D402" s="12"/>
      <c r="E402" s="8"/>
      <c r="F402" s="8"/>
      <c r="G402" s="8"/>
      <c r="H402" s="8"/>
      <c r="I402" s="8"/>
      <c r="J402" s="8"/>
    </row>
    <row r="403" spans="4:10" x14ac:dyDescent="0.3">
      <c r="D403" s="12"/>
      <c r="E403" s="8"/>
      <c r="F403" s="8"/>
      <c r="G403" s="8"/>
      <c r="H403" s="8"/>
      <c r="I403" s="8"/>
      <c r="J403" s="8"/>
    </row>
    <row r="404" spans="4:10" x14ac:dyDescent="0.3">
      <c r="D404" s="12"/>
      <c r="E404" s="8"/>
      <c r="F404" s="8"/>
      <c r="G404" s="8"/>
      <c r="H404" s="8"/>
      <c r="I404" s="8"/>
      <c r="J404" s="8"/>
    </row>
    <row r="405" spans="4:10" x14ac:dyDescent="0.3">
      <c r="D405" s="12"/>
      <c r="E405" s="8"/>
      <c r="F405" s="8"/>
      <c r="G405" s="8"/>
      <c r="H405" s="8"/>
      <c r="I405" s="8"/>
      <c r="J405" s="8"/>
    </row>
    <row r="406" spans="4:10" x14ac:dyDescent="0.3">
      <c r="D406" s="12"/>
      <c r="E406" s="8"/>
      <c r="F406" s="8"/>
      <c r="G406" s="8"/>
      <c r="H406" s="8"/>
      <c r="I406" s="8"/>
      <c r="J406" s="8"/>
    </row>
    <row r="407" spans="4:10" x14ac:dyDescent="0.3">
      <c r="D407" s="12"/>
      <c r="E407" s="8"/>
      <c r="F407" s="8"/>
      <c r="G407" s="8"/>
      <c r="H407" s="8"/>
      <c r="I407" s="8"/>
      <c r="J407" s="8"/>
    </row>
    <row r="408" spans="4:10" x14ac:dyDescent="0.3">
      <c r="D408" s="12"/>
      <c r="E408" s="8"/>
      <c r="F408" s="8"/>
      <c r="G408" s="8"/>
      <c r="H408" s="8"/>
      <c r="I408" s="8"/>
      <c r="J408" s="8"/>
    </row>
    <row r="409" spans="4:10" x14ac:dyDescent="0.3">
      <c r="D409" s="12"/>
      <c r="E409" s="8"/>
      <c r="F409" s="8"/>
      <c r="G409" s="8"/>
      <c r="H409" s="8"/>
      <c r="I409" s="8"/>
      <c r="J409" s="8"/>
    </row>
    <row r="410" spans="4:10" x14ac:dyDescent="0.3">
      <c r="D410" s="12"/>
      <c r="E410" s="8"/>
      <c r="F410" s="8"/>
      <c r="G410" s="8"/>
      <c r="H410" s="8"/>
      <c r="I410" s="8"/>
      <c r="J410" s="8"/>
    </row>
    <row r="411" spans="4:10" x14ac:dyDescent="0.3">
      <c r="D411" s="12"/>
      <c r="E411" s="8"/>
      <c r="F411" s="8"/>
      <c r="G411" s="8"/>
      <c r="H411" s="8"/>
      <c r="I411" s="8"/>
      <c r="J411" s="8"/>
    </row>
    <row r="412" spans="4:10" x14ac:dyDescent="0.3">
      <c r="D412" s="12"/>
      <c r="E412" s="8"/>
      <c r="F412" s="8"/>
      <c r="G412" s="8"/>
      <c r="H412" s="8"/>
      <c r="I412" s="8"/>
      <c r="J412" s="8"/>
    </row>
    <row r="413" spans="4:10" x14ac:dyDescent="0.3">
      <c r="D413" s="12"/>
      <c r="E413" s="8"/>
      <c r="F413" s="8"/>
      <c r="G413" s="8"/>
      <c r="H413" s="8"/>
      <c r="I413" s="8"/>
      <c r="J413" s="8"/>
    </row>
    <row r="414" spans="4:10" x14ac:dyDescent="0.3">
      <c r="D414" s="12"/>
      <c r="E414" s="8"/>
      <c r="F414" s="8"/>
      <c r="G414" s="8"/>
      <c r="H414" s="8"/>
      <c r="I414" s="8"/>
      <c r="J414" s="8"/>
    </row>
    <row r="415" spans="4:10" x14ac:dyDescent="0.3">
      <c r="D415" s="12"/>
      <c r="E415" s="8"/>
      <c r="F415" s="8"/>
      <c r="G415" s="8"/>
      <c r="H415" s="8"/>
      <c r="I415" s="8"/>
      <c r="J415" s="8"/>
    </row>
    <row r="416" spans="4:10" x14ac:dyDescent="0.3">
      <c r="D416" s="12"/>
      <c r="E416" s="8"/>
      <c r="F416" s="8"/>
      <c r="G416" s="8"/>
      <c r="H416" s="8"/>
      <c r="I416" s="8"/>
      <c r="J416" s="8"/>
    </row>
    <row r="417" spans="4:10" x14ac:dyDescent="0.3">
      <c r="D417" s="12"/>
      <c r="E417" s="8"/>
      <c r="F417" s="8"/>
      <c r="G417" s="8"/>
      <c r="H417" s="8"/>
      <c r="I417" s="8"/>
      <c r="J417" s="8"/>
    </row>
    <row r="418" spans="4:10" x14ac:dyDescent="0.3">
      <c r="D418" s="12"/>
      <c r="E418" s="8"/>
      <c r="F418" s="8"/>
      <c r="G418" s="8"/>
      <c r="H418" s="8"/>
      <c r="I418" s="8"/>
      <c r="J418" s="8"/>
    </row>
    <row r="419" spans="4:10" x14ac:dyDescent="0.3">
      <c r="D419" s="12"/>
      <c r="E419" s="8"/>
      <c r="F419" s="8"/>
      <c r="G419" s="8"/>
      <c r="H419" s="8"/>
      <c r="I419" s="8"/>
      <c r="J419" s="8"/>
    </row>
    <row r="420" spans="4:10" x14ac:dyDescent="0.3">
      <c r="D420" s="12"/>
      <c r="E420" s="8"/>
      <c r="F420" s="8"/>
      <c r="G420" s="8"/>
      <c r="H420" s="8"/>
      <c r="I420" s="8"/>
      <c r="J420" s="8"/>
    </row>
    <row r="421" spans="4:10" x14ac:dyDescent="0.3">
      <c r="D421" s="12"/>
      <c r="E421" s="8"/>
      <c r="F421" s="8"/>
      <c r="G421" s="8"/>
      <c r="H421" s="8"/>
      <c r="I421" s="8"/>
      <c r="J421" s="8"/>
    </row>
    <row r="422" spans="4:10" x14ac:dyDescent="0.3">
      <c r="D422" s="12"/>
      <c r="E422" s="8"/>
      <c r="F422" s="8"/>
      <c r="G422" s="8"/>
      <c r="H422" s="8"/>
      <c r="I422" s="8"/>
      <c r="J422" s="8"/>
    </row>
    <row r="423" spans="4:10" x14ac:dyDescent="0.3">
      <c r="D423" s="12"/>
      <c r="E423" s="8"/>
      <c r="F423" s="8"/>
      <c r="G423" s="8"/>
      <c r="H423" s="8"/>
      <c r="I423" s="8"/>
      <c r="J423" s="8"/>
    </row>
    <row r="424" spans="4:10" x14ac:dyDescent="0.3">
      <c r="D424" s="12"/>
      <c r="E424" s="8"/>
      <c r="F424" s="8"/>
      <c r="G424" s="8"/>
      <c r="H424" s="8"/>
      <c r="I424" s="8"/>
      <c r="J424" s="8"/>
    </row>
    <row r="425" spans="4:10" x14ac:dyDescent="0.3">
      <c r="D425" s="12"/>
      <c r="E425" s="8"/>
      <c r="F425" s="8"/>
      <c r="G425" s="8"/>
      <c r="H425" s="8"/>
      <c r="I425" s="8"/>
      <c r="J425" s="8"/>
    </row>
    <row r="426" spans="4:10" x14ac:dyDescent="0.3">
      <c r="D426" s="12"/>
      <c r="E426" s="8"/>
      <c r="F426" s="8"/>
      <c r="G426" s="8"/>
      <c r="H426" s="8"/>
      <c r="I426" s="8"/>
      <c r="J426" s="8"/>
    </row>
    <row r="427" spans="4:10" x14ac:dyDescent="0.3">
      <c r="D427" s="12"/>
      <c r="E427" s="8"/>
      <c r="F427" s="8"/>
      <c r="G427" s="8"/>
      <c r="H427" s="8"/>
      <c r="I427" s="8"/>
      <c r="J427" s="8"/>
    </row>
    <row r="428" spans="4:10" x14ac:dyDescent="0.3">
      <c r="D428" s="12"/>
      <c r="E428" s="8"/>
      <c r="F428" s="8"/>
      <c r="G428" s="8"/>
      <c r="H428" s="8"/>
      <c r="I428" s="8"/>
      <c r="J428" s="8"/>
    </row>
    <row r="429" spans="4:10" x14ac:dyDescent="0.3">
      <c r="D429" s="12"/>
      <c r="E429" s="8"/>
      <c r="F429" s="8"/>
      <c r="G429" s="8"/>
      <c r="H429" s="8"/>
      <c r="I429" s="8"/>
      <c r="J429" s="8"/>
    </row>
    <row r="430" spans="4:10" x14ac:dyDescent="0.3">
      <c r="D430" s="12"/>
      <c r="E430" s="8"/>
      <c r="F430" s="8"/>
      <c r="G430" s="8"/>
      <c r="H430" s="8"/>
      <c r="I430" s="8"/>
      <c r="J430" s="8"/>
    </row>
    <row r="431" spans="4:10" x14ac:dyDescent="0.3">
      <c r="D431" s="12"/>
      <c r="E431" s="8"/>
      <c r="F431" s="8"/>
      <c r="G431" s="8"/>
      <c r="H431" s="8"/>
      <c r="I431" s="8"/>
      <c r="J431" s="8"/>
    </row>
    <row r="432" spans="4:10" x14ac:dyDescent="0.3">
      <c r="D432" s="12"/>
      <c r="E432" s="8"/>
      <c r="F432" s="8"/>
      <c r="G432" s="8"/>
      <c r="H432" s="8"/>
      <c r="I432" s="8"/>
      <c r="J432" s="8"/>
    </row>
    <row r="433" spans="4:10" x14ac:dyDescent="0.3">
      <c r="D433" s="12"/>
      <c r="E433" s="8"/>
      <c r="F433" s="8"/>
      <c r="G433" s="8"/>
      <c r="H433" s="8"/>
      <c r="I433" s="8"/>
      <c r="J433" s="8"/>
    </row>
    <row r="434" spans="4:10" x14ac:dyDescent="0.3">
      <c r="D434" s="12"/>
      <c r="E434" s="8"/>
      <c r="F434" s="8"/>
      <c r="G434" s="8"/>
      <c r="H434" s="8"/>
      <c r="I434" s="8"/>
      <c r="J434" s="8"/>
    </row>
    <row r="435" spans="4:10" x14ac:dyDescent="0.3">
      <c r="D435" s="12"/>
      <c r="E435" s="8"/>
      <c r="F435" s="8"/>
      <c r="G435" s="8"/>
      <c r="H435" s="8"/>
      <c r="I435" s="8"/>
      <c r="J435" s="8"/>
    </row>
    <row r="436" spans="4:10" x14ac:dyDescent="0.3">
      <c r="D436" s="12"/>
      <c r="E436" s="8"/>
      <c r="F436" s="8"/>
      <c r="G436" s="8"/>
      <c r="H436" s="8"/>
      <c r="I436" s="8"/>
      <c r="J436" s="8"/>
    </row>
    <row r="437" spans="4:10" x14ac:dyDescent="0.3">
      <c r="D437" s="12"/>
      <c r="E437" s="8"/>
      <c r="F437" s="8"/>
      <c r="G437" s="8"/>
      <c r="H437" s="8"/>
      <c r="I437" s="8"/>
      <c r="J437" s="8"/>
    </row>
    <row r="438" spans="4:10" x14ac:dyDescent="0.3">
      <c r="D438" s="12"/>
      <c r="E438" s="8"/>
      <c r="F438" s="8"/>
      <c r="G438" s="8"/>
      <c r="H438" s="8"/>
      <c r="I438" s="8"/>
      <c r="J438" s="8"/>
    </row>
    <row r="439" spans="4:10" x14ac:dyDescent="0.3">
      <c r="D439" s="12"/>
      <c r="E439" s="8"/>
      <c r="F439" s="8"/>
      <c r="G439" s="8"/>
      <c r="H439" s="8"/>
      <c r="I439" s="8"/>
      <c r="J439" s="8"/>
    </row>
    <row r="440" spans="4:10" x14ac:dyDescent="0.3">
      <c r="D440" s="12"/>
      <c r="E440" s="8"/>
      <c r="F440" s="8"/>
      <c r="G440" s="8"/>
      <c r="H440" s="8"/>
      <c r="I440" s="8"/>
      <c r="J440" s="8"/>
    </row>
    <row r="441" spans="4:10" x14ac:dyDescent="0.3">
      <c r="D441" s="12"/>
      <c r="E441" s="8"/>
      <c r="F441" s="8"/>
      <c r="G441" s="8"/>
      <c r="H441" s="8"/>
      <c r="I441" s="8"/>
      <c r="J441" s="8"/>
    </row>
    <row r="442" spans="4:10" x14ac:dyDescent="0.3">
      <c r="D442" s="12"/>
      <c r="E442" s="8"/>
      <c r="F442" s="8"/>
      <c r="G442" s="8"/>
      <c r="H442" s="8"/>
      <c r="I442" s="8"/>
      <c r="J442" s="8"/>
    </row>
    <row r="443" spans="4:10" x14ac:dyDescent="0.3">
      <c r="D443" s="12"/>
      <c r="E443" s="8"/>
      <c r="F443" s="8"/>
      <c r="G443" s="8"/>
      <c r="H443" s="8"/>
      <c r="I443" s="8"/>
      <c r="J443" s="8"/>
    </row>
    <row r="444" spans="4:10" x14ac:dyDescent="0.3">
      <c r="D444" s="12"/>
      <c r="E444" s="8"/>
      <c r="F444" s="8"/>
      <c r="G444" s="8"/>
      <c r="H444" s="8"/>
      <c r="I444" s="8"/>
      <c r="J444" s="8"/>
    </row>
    <row r="445" spans="4:10" x14ac:dyDescent="0.3">
      <c r="D445" s="12"/>
      <c r="E445" s="8"/>
      <c r="F445" s="8"/>
      <c r="G445" s="8"/>
      <c r="H445" s="8"/>
      <c r="I445" s="8"/>
      <c r="J445" s="8"/>
    </row>
    <row r="446" spans="4:10" x14ac:dyDescent="0.3">
      <c r="D446" s="12"/>
      <c r="E446" s="8"/>
      <c r="F446" s="8"/>
      <c r="G446" s="8"/>
      <c r="H446" s="8"/>
      <c r="I446" s="8"/>
      <c r="J446" s="8"/>
    </row>
    <row r="447" spans="4:10" x14ac:dyDescent="0.3">
      <c r="D447" s="12"/>
      <c r="E447" s="8"/>
      <c r="F447" s="8"/>
      <c r="G447" s="8"/>
      <c r="H447" s="8"/>
      <c r="I447" s="8"/>
      <c r="J447" s="8"/>
    </row>
    <row r="448" spans="4:10" x14ac:dyDescent="0.3">
      <c r="D448" s="12"/>
      <c r="E448" s="8"/>
      <c r="F448" s="8"/>
      <c r="G448" s="8"/>
      <c r="H448" s="8"/>
      <c r="I448" s="8"/>
      <c r="J448" s="8"/>
    </row>
    <row r="449" spans="4:10" x14ac:dyDescent="0.3">
      <c r="D449" s="12"/>
      <c r="E449" s="8"/>
      <c r="F449" s="8"/>
      <c r="G449" s="8"/>
      <c r="H449" s="8"/>
      <c r="I449" s="8"/>
      <c r="J449" s="8"/>
    </row>
    <row r="450" spans="4:10" x14ac:dyDescent="0.3">
      <c r="D450" s="12"/>
      <c r="E450" s="8"/>
      <c r="F450" s="8"/>
      <c r="G450" s="8"/>
      <c r="H450" s="8"/>
      <c r="I450" s="8"/>
      <c r="J450" s="8"/>
    </row>
    <row r="451" spans="4:10" x14ac:dyDescent="0.3">
      <c r="D451" s="12"/>
      <c r="E451" s="8"/>
      <c r="F451" s="8"/>
      <c r="G451" s="8"/>
      <c r="H451" s="8"/>
      <c r="I451" s="8"/>
      <c r="J451" s="8"/>
    </row>
    <row r="452" spans="4:10" x14ac:dyDescent="0.3">
      <c r="D452" s="12"/>
      <c r="E452" s="8"/>
      <c r="F452" s="8"/>
      <c r="G452" s="8"/>
      <c r="H452" s="8"/>
      <c r="I452" s="8"/>
      <c r="J452" s="8"/>
    </row>
    <row r="453" spans="4:10" x14ac:dyDescent="0.3">
      <c r="D453" s="12"/>
      <c r="E453" s="8"/>
      <c r="F453" s="8"/>
      <c r="G453" s="8"/>
      <c r="H453" s="8"/>
      <c r="I453" s="8"/>
      <c r="J453" s="8"/>
    </row>
    <row r="454" spans="4:10" x14ac:dyDescent="0.3">
      <c r="D454" s="12"/>
      <c r="E454" s="8"/>
      <c r="F454" s="8"/>
      <c r="G454" s="8"/>
      <c r="H454" s="8"/>
      <c r="I454" s="8"/>
      <c r="J454" s="8"/>
    </row>
    <row r="455" spans="4:10" x14ac:dyDescent="0.3">
      <c r="D455" s="12"/>
      <c r="E455" s="8"/>
      <c r="F455" s="8"/>
      <c r="G455" s="8"/>
      <c r="H455" s="8"/>
      <c r="I455" s="8"/>
      <c r="J455" s="8"/>
    </row>
    <row r="456" spans="4:10" x14ac:dyDescent="0.3">
      <c r="D456" s="12"/>
      <c r="E456" s="8"/>
      <c r="F456" s="8"/>
      <c r="G456" s="8"/>
      <c r="H456" s="8"/>
      <c r="I456" s="8"/>
      <c r="J456" s="8"/>
    </row>
    <row r="457" spans="4:10" x14ac:dyDescent="0.3">
      <c r="D457" s="12"/>
      <c r="E457" s="8"/>
      <c r="F457" s="8"/>
      <c r="G457" s="8"/>
      <c r="H457" s="8"/>
      <c r="I457" s="8"/>
      <c r="J457" s="8"/>
    </row>
    <row r="458" spans="4:10" x14ac:dyDescent="0.3">
      <c r="D458" s="12"/>
      <c r="E458" s="8"/>
      <c r="F458" s="8"/>
      <c r="G458" s="8"/>
      <c r="H458" s="8"/>
      <c r="I458" s="8"/>
      <c r="J458" s="8"/>
    </row>
    <row r="459" spans="4:10" x14ac:dyDescent="0.3">
      <c r="D459" s="12"/>
      <c r="E459" s="8"/>
      <c r="F459" s="8"/>
      <c r="G459" s="8"/>
      <c r="H459" s="8"/>
      <c r="I459" s="8"/>
      <c r="J459" s="8"/>
    </row>
    <row r="460" spans="4:10" x14ac:dyDescent="0.3">
      <c r="D460" s="12"/>
      <c r="E460" s="8"/>
      <c r="F460" s="8"/>
      <c r="G460" s="8"/>
      <c r="H460" s="8"/>
      <c r="I460" s="8"/>
      <c r="J460" s="8"/>
    </row>
    <row r="461" spans="4:10" x14ac:dyDescent="0.3">
      <c r="D461" s="12"/>
      <c r="E461" s="8"/>
      <c r="F461" s="8"/>
      <c r="G461" s="8"/>
      <c r="H461" s="8"/>
      <c r="I461" s="8"/>
      <c r="J461" s="8"/>
    </row>
    <row r="462" spans="4:10" x14ac:dyDescent="0.3">
      <c r="D462" s="12"/>
      <c r="E462" s="8"/>
      <c r="F462" s="8"/>
      <c r="G462" s="8"/>
      <c r="H462" s="8"/>
      <c r="I462" s="8"/>
      <c r="J462" s="8"/>
    </row>
    <row r="463" spans="4:10" x14ac:dyDescent="0.3">
      <c r="D463" s="12"/>
      <c r="E463" s="8"/>
      <c r="F463" s="8"/>
      <c r="G463" s="8"/>
      <c r="H463" s="8"/>
      <c r="I463" s="8"/>
      <c r="J463" s="8"/>
    </row>
    <row r="464" spans="4:10" x14ac:dyDescent="0.3">
      <c r="D464" s="12"/>
      <c r="E464" s="8"/>
      <c r="F464" s="8"/>
      <c r="G464" s="8"/>
      <c r="H464" s="8"/>
      <c r="I464" s="8"/>
      <c r="J464" s="8"/>
    </row>
    <row r="465" spans="4:10" x14ac:dyDescent="0.3">
      <c r="D465" s="12"/>
      <c r="E465" s="8"/>
      <c r="F465" s="8"/>
      <c r="G465" s="8"/>
      <c r="H465" s="8"/>
      <c r="I465" s="8"/>
      <c r="J465" s="8"/>
    </row>
    <row r="466" spans="4:10" x14ac:dyDescent="0.3">
      <c r="D466" s="12"/>
      <c r="E466" s="8"/>
      <c r="F466" s="8"/>
      <c r="G466" s="8"/>
      <c r="H466" s="8"/>
      <c r="I466" s="8"/>
      <c r="J466" s="8"/>
    </row>
    <row r="467" spans="4:10" x14ac:dyDescent="0.3">
      <c r="D467" s="12"/>
      <c r="E467" s="8"/>
      <c r="F467" s="8"/>
      <c r="G467" s="8"/>
      <c r="H467" s="8"/>
      <c r="I467" s="8"/>
      <c r="J467" s="8"/>
    </row>
    <row r="468" spans="4:10" x14ac:dyDescent="0.3">
      <c r="D468" s="12"/>
      <c r="E468" s="8"/>
      <c r="F468" s="8"/>
      <c r="G468" s="8"/>
      <c r="H468" s="8"/>
      <c r="I468" s="8"/>
      <c r="J468" s="8"/>
    </row>
    <row r="469" spans="4:10" x14ac:dyDescent="0.3">
      <c r="D469" s="12"/>
      <c r="E469" s="8"/>
      <c r="F469" s="8"/>
      <c r="G469" s="8"/>
      <c r="H469" s="8"/>
      <c r="I469" s="8"/>
      <c r="J469" s="8"/>
    </row>
    <row r="470" spans="4:10" x14ac:dyDescent="0.3">
      <c r="D470" s="12"/>
      <c r="E470" s="8"/>
      <c r="F470" s="8"/>
      <c r="G470" s="8"/>
      <c r="H470" s="8"/>
      <c r="I470" s="8"/>
      <c r="J470" s="8"/>
    </row>
    <row r="471" spans="4:10" x14ac:dyDescent="0.3">
      <c r="D471" s="12"/>
      <c r="E471" s="8"/>
      <c r="F471" s="8"/>
      <c r="G471" s="8"/>
      <c r="H471" s="8"/>
      <c r="I471" s="8"/>
      <c r="J471" s="8"/>
    </row>
    <row r="472" spans="4:10" x14ac:dyDescent="0.3">
      <c r="D472" s="12"/>
      <c r="E472" s="8"/>
      <c r="F472" s="8"/>
      <c r="G472" s="8"/>
      <c r="H472" s="8"/>
      <c r="I472" s="8"/>
      <c r="J472" s="8"/>
    </row>
    <row r="473" spans="4:10" x14ac:dyDescent="0.3">
      <c r="D473" s="12"/>
      <c r="E473" s="8"/>
      <c r="F473" s="8"/>
      <c r="G473" s="8"/>
      <c r="H473" s="8"/>
      <c r="I473" s="8"/>
      <c r="J473" s="8"/>
    </row>
    <row r="474" spans="4:10" x14ac:dyDescent="0.3">
      <c r="D474" s="12"/>
      <c r="E474" s="8"/>
      <c r="F474" s="8"/>
      <c r="G474" s="8"/>
      <c r="H474" s="8"/>
      <c r="I474" s="8"/>
      <c r="J474" s="8"/>
    </row>
    <row r="475" spans="4:10" x14ac:dyDescent="0.3">
      <c r="D475" s="12"/>
      <c r="E475" s="8"/>
      <c r="F475" s="8"/>
      <c r="G475" s="8"/>
      <c r="H475" s="8"/>
      <c r="I475" s="8"/>
      <c r="J475" s="8"/>
    </row>
    <row r="476" spans="4:10" x14ac:dyDescent="0.3">
      <c r="D476" s="12"/>
      <c r="E476" s="8"/>
      <c r="F476" s="8"/>
      <c r="G476" s="8"/>
      <c r="H476" s="8"/>
      <c r="I476" s="8"/>
      <c r="J476" s="8"/>
    </row>
    <row r="477" spans="4:10" x14ac:dyDescent="0.3">
      <c r="D477" s="12"/>
      <c r="E477" s="8"/>
      <c r="F477" s="8"/>
      <c r="G477" s="8"/>
      <c r="H477" s="8"/>
      <c r="I477" s="8"/>
      <c r="J477" s="8"/>
    </row>
    <row r="478" spans="4:10" x14ac:dyDescent="0.3">
      <c r="D478" s="12"/>
      <c r="E478" s="8"/>
      <c r="F478" s="8"/>
      <c r="G478" s="8"/>
      <c r="H478" s="8"/>
      <c r="I478" s="8"/>
      <c r="J478" s="8"/>
    </row>
    <row r="479" spans="4:10" x14ac:dyDescent="0.3">
      <c r="D479" s="12"/>
      <c r="E479" s="8"/>
      <c r="F479" s="8"/>
      <c r="G479" s="8"/>
      <c r="H479" s="8"/>
      <c r="I479" s="8"/>
      <c r="J479" s="8"/>
    </row>
    <row r="480" spans="4:10" x14ac:dyDescent="0.3">
      <c r="D480" s="12"/>
      <c r="E480" s="8"/>
      <c r="F480" s="8"/>
      <c r="G480" s="8"/>
      <c r="H480" s="8"/>
      <c r="I480" s="8"/>
      <c r="J480" s="8"/>
    </row>
    <row r="481" spans="4:10" x14ac:dyDescent="0.3">
      <c r="D481" s="12"/>
      <c r="E481" s="8"/>
      <c r="F481" s="8"/>
      <c r="G481" s="8"/>
      <c r="H481" s="8"/>
      <c r="I481" s="8"/>
      <c r="J481" s="8"/>
    </row>
    <row r="482" spans="4:10" x14ac:dyDescent="0.3">
      <c r="D482" s="12"/>
      <c r="E482" s="8"/>
      <c r="F482" s="8"/>
      <c r="G482" s="8"/>
      <c r="H482" s="8"/>
      <c r="I482" s="8"/>
      <c r="J482" s="8"/>
    </row>
    <row r="483" spans="4:10" x14ac:dyDescent="0.3">
      <c r="D483" s="12"/>
      <c r="E483" s="8"/>
      <c r="F483" s="8"/>
      <c r="G483" s="8"/>
      <c r="H483" s="8"/>
      <c r="I483" s="8"/>
      <c r="J483" s="8"/>
    </row>
    <row r="484" spans="4:10" x14ac:dyDescent="0.3">
      <c r="D484" s="12"/>
      <c r="E484" s="8"/>
      <c r="F484" s="8"/>
      <c r="G484" s="8"/>
      <c r="H484" s="8"/>
      <c r="I484" s="8"/>
      <c r="J484" s="8"/>
    </row>
    <row r="485" spans="4:10" x14ac:dyDescent="0.3">
      <c r="D485" s="12"/>
    </row>
    <row r="486" spans="4:10" x14ac:dyDescent="0.3">
      <c r="D486" s="12"/>
    </row>
    <row r="487" spans="4:10" x14ac:dyDescent="0.3">
      <c r="D487" s="12"/>
    </row>
    <row r="488" spans="4:10" x14ac:dyDescent="0.3">
      <c r="D488" s="12"/>
    </row>
    <row r="489" spans="4:10" x14ac:dyDescent="0.3">
      <c r="D489" s="12"/>
    </row>
    <row r="490" spans="4:10" x14ac:dyDescent="0.3">
      <c r="D490" s="12"/>
    </row>
    <row r="491" spans="4:10" x14ac:dyDescent="0.3">
      <c r="D491" s="12"/>
    </row>
    <row r="492" spans="4:10" x14ac:dyDescent="0.3">
      <c r="D492" s="12"/>
    </row>
    <row r="493" spans="4:10" x14ac:dyDescent="0.3">
      <c r="D493" s="12"/>
    </row>
    <row r="494" spans="4:10" x14ac:dyDescent="0.3">
      <c r="D494" s="12"/>
    </row>
    <row r="495" spans="4:10" x14ac:dyDescent="0.3">
      <c r="D495" s="12"/>
    </row>
    <row r="496" spans="4:10" x14ac:dyDescent="0.3">
      <c r="D496" s="12"/>
    </row>
    <row r="497" spans="4:4" x14ac:dyDescent="0.3">
      <c r="D497" s="12"/>
    </row>
    <row r="498" spans="4:4" x14ac:dyDescent="0.3">
      <c r="D498" s="12"/>
    </row>
    <row r="499" spans="4:4" x14ac:dyDescent="0.3">
      <c r="D499" s="12"/>
    </row>
    <row r="500" spans="4:4" x14ac:dyDescent="0.3">
      <c r="D500" s="12"/>
    </row>
    <row r="501" spans="4:4" x14ac:dyDescent="0.3">
      <c r="D501" s="12"/>
    </row>
    <row r="502" spans="4:4" x14ac:dyDescent="0.3">
      <c r="D502" s="12"/>
    </row>
    <row r="503" spans="4:4" x14ac:dyDescent="0.3">
      <c r="D503" s="12"/>
    </row>
    <row r="504" spans="4:4" x14ac:dyDescent="0.3">
      <c r="D504" s="12"/>
    </row>
    <row r="505" spans="4:4" x14ac:dyDescent="0.3">
      <c r="D505" s="12"/>
    </row>
    <row r="506" spans="4:4" x14ac:dyDescent="0.3">
      <c r="D506" s="12"/>
    </row>
    <row r="507" spans="4:4" x14ac:dyDescent="0.3">
      <c r="D507" s="12"/>
    </row>
    <row r="508" spans="4:4" x14ac:dyDescent="0.3">
      <c r="D508" s="12"/>
    </row>
    <row r="509" spans="4:4" x14ac:dyDescent="0.3">
      <c r="D509" s="12"/>
    </row>
    <row r="510" spans="4:4" x14ac:dyDescent="0.3">
      <c r="D510" s="12"/>
    </row>
    <row r="511" spans="4:4" x14ac:dyDescent="0.3">
      <c r="D511" s="12"/>
    </row>
    <row r="512" spans="4:4" x14ac:dyDescent="0.3">
      <c r="D512" s="12"/>
    </row>
    <row r="513" spans="4:4" x14ac:dyDescent="0.3">
      <c r="D513" s="12"/>
    </row>
    <row r="514" spans="4:4" x14ac:dyDescent="0.3">
      <c r="D514" s="12"/>
    </row>
    <row r="515" spans="4:4" x14ac:dyDescent="0.3">
      <c r="D515" s="12"/>
    </row>
    <row r="516" spans="4:4" x14ac:dyDescent="0.3">
      <c r="D516" s="12"/>
    </row>
    <row r="517" spans="4:4" x14ac:dyDescent="0.3">
      <c r="D517" s="12"/>
    </row>
    <row r="518" spans="4:4" x14ac:dyDescent="0.3">
      <c r="D518" s="12"/>
    </row>
    <row r="519" spans="4:4" x14ac:dyDescent="0.3">
      <c r="D519" s="12"/>
    </row>
    <row r="520" spans="4:4" x14ac:dyDescent="0.3">
      <c r="D520" s="12"/>
    </row>
    <row r="521" spans="4:4" x14ac:dyDescent="0.3">
      <c r="D521" s="12"/>
    </row>
    <row r="522" spans="4:4" x14ac:dyDescent="0.3">
      <c r="D522" s="12"/>
    </row>
    <row r="523" spans="4:4" x14ac:dyDescent="0.3">
      <c r="D523" s="12"/>
    </row>
    <row r="524" spans="4:4" x14ac:dyDescent="0.3">
      <c r="D524" s="12"/>
    </row>
    <row r="525" spans="4:4" x14ac:dyDescent="0.3">
      <c r="D525" s="12"/>
    </row>
    <row r="526" spans="4:4" x14ac:dyDescent="0.3">
      <c r="D526" s="12"/>
    </row>
    <row r="527" spans="4:4" x14ac:dyDescent="0.3">
      <c r="D527" s="12"/>
    </row>
    <row r="528" spans="4:4" x14ac:dyDescent="0.3">
      <c r="D528" s="12"/>
    </row>
    <row r="529" spans="4:4" x14ac:dyDescent="0.3">
      <c r="D529" s="12"/>
    </row>
    <row r="530" spans="4:4" x14ac:dyDescent="0.3">
      <c r="D530" s="12"/>
    </row>
    <row r="531" spans="4:4" x14ac:dyDescent="0.3">
      <c r="D531" s="12"/>
    </row>
    <row r="532" spans="4:4" x14ac:dyDescent="0.3">
      <c r="D532" s="12"/>
    </row>
    <row r="533" spans="4:4" x14ac:dyDescent="0.3">
      <c r="D533" s="12"/>
    </row>
    <row r="534" spans="4:4" x14ac:dyDescent="0.3">
      <c r="D534" s="12"/>
    </row>
    <row r="535" spans="4:4" x14ac:dyDescent="0.3">
      <c r="D535" s="12"/>
    </row>
    <row r="536" spans="4:4" x14ac:dyDescent="0.3">
      <c r="D536" s="12"/>
    </row>
    <row r="537" spans="4:4" x14ac:dyDescent="0.3">
      <c r="D537" s="12"/>
    </row>
    <row r="538" spans="4:4" x14ac:dyDescent="0.3">
      <c r="D538" s="12"/>
    </row>
    <row r="539" spans="4:4" x14ac:dyDescent="0.3">
      <c r="D539" s="12"/>
    </row>
    <row r="540" spans="4:4" x14ac:dyDescent="0.3">
      <c r="D540" s="12"/>
    </row>
    <row r="541" spans="4:4" x14ac:dyDescent="0.3">
      <c r="D541" s="12"/>
    </row>
    <row r="542" spans="4:4" x14ac:dyDescent="0.3">
      <c r="D542" s="12"/>
    </row>
    <row r="543" spans="4:4" x14ac:dyDescent="0.3">
      <c r="D543" s="12"/>
    </row>
    <row r="544" spans="4:4" x14ac:dyDescent="0.3">
      <c r="D544" s="12"/>
    </row>
    <row r="545" spans="4:4" x14ac:dyDescent="0.3">
      <c r="D545" s="12"/>
    </row>
    <row r="546" spans="4:4" x14ac:dyDescent="0.3">
      <c r="D546" s="12"/>
    </row>
    <row r="547" spans="4:4" x14ac:dyDescent="0.3">
      <c r="D547" s="12"/>
    </row>
    <row r="548" spans="4:4" x14ac:dyDescent="0.3">
      <c r="D548" s="12"/>
    </row>
    <row r="549" spans="4:4" x14ac:dyDescent="0.3">
      <c r="D549" s="12"/>
    </row>
    <row r="550" spans="4:4" x14ac:dyDescent="0.3">
      <c r="D550" s="12"/>
    </row>
    <row r="551" spans="4:4" x14ac:dyDescent="0.3">
      <c r="D551" s="12"/>
    </row>
    <row r="552" spans="4:4" x14ac:dyDescent="0.3">
      <c r="D552" s="12"/>
    </row>
    <row r="553" spans="4:4" x14ac:dyDescent="0.3">
      <c r="D553" s="12"/>
    </row>
    <row r="554" spans="4:4" x14ac:dyDescent="0.3">
      <c r="D554" s="12"/>
    </row>
    <row r="555" spans="4:4" x14ac:dyDescent="0.3">
      <c r="D555" s="12"/>
    </row>
    <row r="556" spans="4:4" x14ac:dyDescent="0.3">
      <c r="D556" s="12"/>
    </row>
    <row r="557" spans="4:4" x14ac:dyDescent="0.3">
      <c r="D557" s="12"/>
    </row>
    <row r="558" spans="4:4" x14ac:dyDescent="0.3">
      <c r="D558" s="12"/>
    </row>
    <row r="559" spans="4:4" x14ac:dyDescent="0.3">
      <c r="D559" s="12"/>
    </row>
    <row r="560" spans="4:4" x14ac:dyDescent="0.3">
      <c r="D560" s="12"/>
    </row>
    <row r="561" spans="4:4" x14ac:dyDescent="0.3">
      <c r="D561" s="12"/>
    </row>
    <row r="562" spans="4:4" x14ac:dyDescent="0.3">
      <c r="D562" s="12"/>
    </row>
    <row r="563" spans="4:4" x14ac:dyDescent="0.3">
      <c r="D563" s="12"/>
    </row>
    <row r="564" spans="4:4" x14ac:dyDescent="0.3">
      <c r="D564" s="12"/>
    </row>
    <row r="565" spans="4:4" x14ac:dyDescent="0.3">
      <c r="D565" s="12"/>
    </row>
    <row r="566" spans="4:4" x14ac:dyDescent="0.3">
      <c r="D566" s="12"/>
    </row>
    <row r="567" spans="4:4" x14ac:dyDescent="0.3">
      <c r="D567" s="12"/>
    </row>
    <row r="568" spans="4:4" x14ac:dyDescent="0.3">
      <c r="D568" s="12"/>
    </row>
    <row r="569" spans="4:4" x14ac:dyDescent="0.3">
      <c r="D569" s="12"/>
    </row>
    <row r="570" spans="4:4" x14ac:dyDescent="0.3">
      <c r="D570" s="12"/>
    </row>
    <row r="571" spans="4:4" x14ac:dyDescent="0.3">
      <c r="D571" s="12"/>
    </row>
    <row r="572" spans="4:4" x14ac:dyDescent="0.3">
      <c r="D572" s="12"/>
    </row>
    <row r="573" spans="4:4" x14ac:dyDescent="0.3">
      <c r="D573" s="12"/>
    </row>
    <row r="574" spans="4:4" x14ac:dyDescent="0.3">
      <c r="D574" s="12"/>
    </row>
    <row r="575" spans="4:4" x14ac:dyDescent="0.3">
      <c r="D575" s="12"/>
    </row>
    <row r="576" spans="4:4" x14ac:dyDescent="0.3">
      <c r="D576" s="12"/>
    </row>
    <row r="577" spans="4:4" x14ac:dyDescent="0.3">
      <c r="D577" s="12"/>
    </row>
    <row r="578" spans="4:4" x14ac:dyDescent="0.3">
      <c r="D578" s="12"/>
    </row>
    <row r="579" spans="4:4" x14ac:dyDescent="0.3">
      <c r="D579" s="12"/>
    </row>
    <row r="580" spans="4:4" x14ac:dyDescent="0.3">
      <c r="D580" s="12"/>
    </row>
    <row r="581" spans="4:4" x14ac:dyDescent="0.3">
      <c r="D581" s="12"/>
    </row>
    <row r="582" spans="4:4" x14ac:dyDescent="0.3">
      <c r="D582" s="12"/>
    </row>
    <row r="583" spans="4:4" x14ac:dyDescent="0.3">
      <c r="D583" s="12"/>
    </row>
    <row r="584" spans="4:4" x14ac:dyDescent="0.3">
      <c r="D584" s="12"/>
    </row>
    <row r="585" spans="4:4" x14ac:dyDescent="0.3">
      <c r="D585" s="12"/>
    </row>
    <row r="586" spans="4:4" x14ac:dyDescent="0.3">
      <c r="D586" s="12"/>
    </row>
    <row r="587" spans="4:4" x14ac:dyDescent="0.3">
      <c r="D587" s="12"/>
    </row>
    <row r="588" spans="4:4" x14ac:dyDescent="0.3">
      <c r="D588" s="12"/>
    </row>
    <row r="589" spans="4:4" x14ac:dyDescent="0.3">
      <c r="D589" s="12"/>
    </row>
    <row r="590" spans="4:4" x14ac:dyDescent="0.3">
      <c r="D590" s="12"/>
    </row>
    <row r="591" spans="4:4" x14ac:dyDescent="0.3">
      <c r="D591" s="12"/>
    </row>
    <row r="592" spans="4:4" x14ac:dyDescent="0.3">
      <c r="D592" s="12"/>
    </row>
    <row r="593" spans="4:4" x14ac:dyDescent="0.3">
      <c r="D593" s="12"/>
    </row>
    <row r="594" spans="4:4" x14ac:dyDescent="0.3">
      <c r="D594" s="12"/>
    </row>
    <row r="595" spans="4:4" x14ac:dyDescent="0.3">
      <c r="D595" s="12"/>
    </row>
    <row r="596" spans="4:4" x14ac:dyDescent="0.3">
      <c r="D596" s="12"/>
    </row>
    <row r="597" spans="4:4" x14ac:dyDescent="0.3">
      <c r="D597" s="12"/>
    </row>
    <row r="598" spans="4:4" x14ac:dyDescent="0.3">
      <c r="D598" s="12"/>
    </row>
    <row r="599" spans="4:4" x14ac:dyDescent="0.3">
      <c r="D599" s="12"/>
    </row>
    <row r="600" spans="4:4" x14ac:dyDescent="0.3">
      <c r="D600" s="12"/>
    </row>
    <row r="601" spans="4:4" x14ac:dyDescent="0.3">
      <c r="D601" s="12"/>
    </row>
    <row r="602" spans="4:4" x14ac:dyDescent="0.3">
      <c r="D602" s="12"/>
    </row>
    <row r="603" spans="4:4" x14ac:dyDescent="0.3">
      <c r="D603" s="12"/>
    </row>
    <row r="604" spans="4:4" x14ac:dyDescent="0.3">
      <c r="D604" s="12"/>
    </row>
    <row r="605" spans="4:4" x14ac:dyDescent="0.3">
      <c r="D605" s="12"/>
    </row>
    <row r="606" spans="4:4" x14ac:dyDescent="0.3">
      <c r="D606" s="12"/>
    </row>
    <row r="607" spans="4:4" x14ac:dyDescent="0.3">
      <c r="D607" s="12"/>
    </row>
    <row r="608" spans="4:4" x14ac:dyDescent="0.3">
      <c r="D608" s="12"/>
    </row>
    <row r="609" spans="4:4" x14ac:dyDescent="0.3">
      <c r="D609" s="12"/>
    </row>
    <row r="610" spans="4:4" x14ac:dyDescent="0.3">
      <c r="D610" s="12"/>
    </row>
    <row r="611" spans="4:4" x14ac:dyDescent="0.3">
      <c r="D611" s="12"/>
    </row>
    <row r="612" spans="4:4" x14ac:dyDescent="0.3">
      <c r="D612" s="12"/>
    </row>
    <row r="613" spans="4:4" x14ac:dyDescent="0.3">
      <c r="D613" s="12"/>
    </row>
    <row r="614" spans="4:4" x14ac:dyDescent="0.3">
      <c r="D614" s="12"/>
    </row>
    <row r="615" spans="4:4" x14ac:dyDescent="0.3">
      <c r="D615" s="12"/>
    </row>
    <row r="616" spans="4:4" x14ac:dyDescent="0.3">
      <c r="D616" s="12"/>
    </row>
    <row r="617" spans="4:4" x14ac:dyDescent="0.3">
      <c r="D617" s="12"/>
    </row>
    <row r="618" spans="4:4" x14ac:dyDescent="0.3">
      <c r="D618" s="12"/>
    </row>
    <row r="619" spans="4:4" x14ac:dyDescent="0.3">
      <c r="D619" s="12"/>
    </row>
    <row r="620" spans="4:4" x14ac:dyDescent="0.3">
      <c r="D620" s="12"/>
    </row>
    <row r="621" spans="4:4" x14ac:dyDescent="0.3">
      <c r="D621" s="12"/>
    </row>
    <row r="622" spans="4:4" x14ac:dyDescent="0.3">
      <c r="D622" s="12"/>
    </row>
    <row r="623" spans="4:4" x14ac:dyDescent="0.3">
      <c r="D623" s="12"/>
    </row>
    <row r="624" spans="4:4" x14ac:dyDescent="0.3">
      <c r="D624" s="12"/>
    </row>
    <row r="625" spans="4:4" x14ac:dyDescent="0.3">
      <c r="D625" s="12"/>
    </row>
    <row r="626" spans="4:4" x14ac:dyDescent="0.3">
      <c r="D626" s="12"/>
    </row>
    <row r="627" spans="4:4" x14ac:dyDescent="0.3">
      <c r="D627" s="12"/>
    </row>
    <row r="628" spans="4:4" x14ac:dyDescent="0.3">
      <c r="D628" s="12"/>
    </row>
    <row r="629" spans="4:4" x14ac:dyDescent="0.3">
      <c r="D629" s="12"/>
    </row>
    <row r="630" spans="4:4" x14ac:dyDescent="0.3">
      <c r="D630" s="12"/>
    </row>
    <row r="631" spans="4:4" x14ac:dyDescent="0.3">
      <c r="D631" s="12"/>
    </row>
    <row r="632" spans="4:4" x14ac:dyDescent="0.3">
      <c r="D632" s="12"/>
    </row>
    <row r="633" spans="4:4" x14ac:dyDescent="0.3">
      <c r="D633" s="12"/>
    </row>
    <row r="634" spans="4:4" x14ac:dyDescent="0.3">
      <c r="D634" s="12"/>
    </row>
    <row r="635" spans="4:4" x14ac:dyDescent="0.3">
      <c r="D635" s="12"/>
    </row>
    <row r="636" spans="4:4" x14ac:dyDescent="0.3">
      <c r="D636" s="12"/>
    </row>
    <row r="637" spans="4:4" x14ac:dyDescent="0.3">
      <c r="D637" s="12"/>
    </row>
    <row r="638" spans="4:4" x14ac:dyDescent="0.3">
      <c r="D638" s="12"/>
    </row>
    <row r="639" spans="4:4" x14ac:dyDescent="0.3">
      <c r="D639" s="12"/>
    </row>
    <row r="640" spans="4:4" x14ac:dyDescent="0.3">
      <c r="D640" s="12"/>
    </row>
    <row r="641" spans="4:4" x14ac:dyDescent="0.3">
      <c r="D641" s="12"/>
    </row>
    <row r="642" spans="4:4" x14ac:dyDescent="0.3">
      <c r="D642" s="12"/>
    </row>
    <row r="643" spans="4:4" x14ac:dyDescent="0.3">
      <c r="D643" s="12"/>
    </row>
    <row r="644" spans="4:4" x14ac:dyDescent="0.3">
      <c r="D644" s="12"/>
    </row>
    <row r="645" spans="4:4" x14ac:dyDescent="0.3">
      <c r="D645" s="12"/>
    </row>
    <row r="646" spans="4:4" x14ac:dyDescent="0.3">
      <c r="D646" s="12"/>
    </row>
    <row r="647" spans="4:4" x14ac:dyDescent="0.3">
      <c r="D647" s="12"/>
    </row>
    <row r="648" spans="4:4" x14ac:dyDescent="0.3">
      <c r="D648" s="12"/>
    </row>
    <row r="649" spans="4:4" x14ac:dyDescent="0.3">
      <c r="D649" s="12"/>
    </row>
    <row r="650" spans="4:4" x14ac:dyDescent="0.3">
      <c r="D650" s="12"/>
    </row>
    <row r="651" spans="4:4" x14ac:dyDescent="0.3">
      <c r="D651" s="12"/>
    </row>
    <row r="652" spans="4:4" x14ac:dyDescent="0.3">
      <c r="D652" s="12"/>
    </row>
    <row r="653" spans="4:4" x14ac:dyDescent="0.3">
      <c r="D653" s="12"/>
    </row>
    <row r="654" spans="4:4" x14ac:dyDescent="0.3">
      <c r="D654" s="12"/>
    </row>
    <row r="655" spans="4:4" x14ac:dyDescent="0.3">
      <c r="D655" s="12"/>
    </row>
    <row r="656" spans="4:4" x14ac:dyDescent="0.3">
      <c r="D656" s="12"/>
    </row>
    <row r="657" spans="4:4" x14ac:dyDescent="0.3">
      <c r="D657" s="12"/>
    </row>
    <row r="658" spans="4:4" x14ac:dyDescent="0.3">
      <c r="D658" s="12"/>
    </row>
    <row r="659" spans="4:4" x14ac:dyDescent="0.3">
      <c r="D659" s="12"/>
    </row>
    <row r="660" spans="4:4" x14ac:dyDescent="0.3">
      <c r="D660" s="12"/>
    </row>
    <row r="661" spans="4:4" x14ac:dyDescent="0.3">
      <c r="D661" s="12"/>
    </row>
    <row r="662" spans="4:4" x14ac:dyDescent="0.3">
      <c r="D662" s="12"/>
    </row>
    <row r="663" spans="4:4" x14ac:dyDescent="0.3">
      <c r="D663" s="12"/>
    </row>
    <row r="664" spans="4:4" x14ac:dyDescent="0.3">
      <c r="D664" s="12"/>
    </row>
    <row r="665" spans="4:4" x14ac:dyDescent="0.3">
      <c r="D665" s="12"/>
    </row>
    <row r="666" spans="4:4" x14ac:dyDescent="0.3">
      <c r="D666" s="12"/>
    </row>
    <row r="667" spans="4:4" x14ac:dyDescent="0.3">
      <c r="D667" s="12"/>
    </row>
    <row r="668" spans="4:4" x14ac:dyDescent="0.3">
      <c r="D668" s="12"/>
    </row>
    <row r="669" spans="4:4" x14ac:dyDescent="0.3">
      <c r="D669" s="12"/>
    </row>
    <row r="670" spans="4:4" x14ac:dyDescent="0.3">
      <c r="D670" s="12"/>
    </row>
    <row r="671" spans="4:4" x14ac:dyDescent="0.3">
      <c r="D671" s="12"/>
    </row>
    <row r="672" spans="4:4" x14ac:dyDescent="0.3">
      <c r="D672" s="12"/>
    </row>
    <row r="673" spans="4:4" x14ac:dyDescent="0.3">
      <c r="D673" s="12"/>
    </row>
    <row r="674" spans="4:4" x14ac:dyDescent="0.3">
      <c r="D674" s="12"/>
    </row>
    <row r="675" spans="4:4" x14ac:dyDescent="0.3">
      <c r="D675" s="12"/>
    </row>
    <row r="676" spans="4:4" x14ac:dyDescent="0.3">
      <c r="D676" s="12"/>
    </row>
    <row r="677" spans="4:4" x14ac:dyDescent="0.3">
      <c r="D677" s="12"/>
    </row>
    <row r="678" spans="4:4" x14ac:dyDescent="0.3">
      <c r="D678" s="12"/>
    </row>
    <row r="679" spans="4:4" x14ac:dyDescent="0.3">
      <c r="D679" s="12"/>
    </row>
    <row r="680" spans="4:4" x14ac:dyDescent="0.3">
      <c r="D680" s="12"/>
    </row>
    <row r="681" spans="4:4" x14ac:dyDescent="0.3">
      <c r="D681" s="12"/>
    </row>
    <row r="682" spans="4:4" x14ac:dyDescent="0.3">
      <c r="D682" s="12"/>
    </row>
    <row r="683" spans="4:4" x14ac:dyDescent="0.3">
      <c r="D683" s="12"/>
    </row>
    <row r="684" spans="4:4" x14ac:dyDescent="0.3">
      <c r="D684" s="12"/>
    </row>
    <row r="685" spans="4:4" x14ac:dyDescent="0.3">
      <c r="D685" s="12"/>
    </row>
    <row r="686" spans="4:4" x14ac:dyDescent="0.3">
      <c r="D686" s="12"/>
    </row>
    <row r="687" spans="4:4" x14ac:dyDescent="0.3">
      <c r="D687" s="12"/>
    </row>
    <row r="688" spans="4:4" x14ac:dyDescent="0.3">
      <c r="D688" s="12"/>
    </row>
    <row r="689" spans="4:4" x14ac:dyDescent="0.3">
      <c r="D689" s="12"/>
    </row>
    <row r="690" spans="4:4" x14ac:dyDescent="0.3">
      <c r="D690" s="12"/>
    </row>
    <row r="691" spans="4:4" x14ac:dyDescent="0.3">
      <c r="D691" s="12"/>
    </row>
    <row r="692" spans="4:4" x14ac:dyDescent="0.3">
      <c r="D692" s="12"/>
    </row>
    <row r="693" spans="4:4" x14ac:dyDescent="0.3">
      <c r="D693" s="12"/>
    </row>
    <row r="694" spans="4:4" x14ac:dyDescent="0.3">
      <c r="D694" s="12"/>
    </row>
    <row r="695" spans="4:4" x14ac:dyDescent="0.3">
      <c r="D695" s="12"/>
    </row>
    <row r="696" spans="4:4" x14ac:dyDescent="0.3">
      <c r="D696" s="12"/>
    </row>
    <row r="697" spans="4:4" x14ac:dyDescent="0.3">
      <c r="D697" s="12"/>
    </row>
    <row r="698" spans="4:4" x14ac:dyDescent="0.3">
      <c r="D698" s="12"/>
    </row>
    <row r="699" spans="4:4" x14ac:dyDescent="0.3">
      <c r="D699" s="12"/>
    </row>
    <row r="700" spans="4:4" x14ac:dyDescent="0.3">
      <c r="D700" s="12"/>
    </row>
    <row r="701" spans="4:4" x14ac:dyDescent="0.3">
      <c r="D701" s="12"/>
    </row>
    <row r="702" spans="4:4" x14ac:dyDescent="0.3">
      <c r="D702" s="12"/>
    </row>
    <row r="703" spans="4:4" x14ac:dyDescent="0.3">
      <c r="D703" s="12"/>
    </row>
    <row r="704" spans="4:4" x14ac:dyDescent="0.3">
      <c r="D704" s="12"/>
    </row>
    <row r="705" spans="4:4" x14ac:dyDescent="0.3">
      <c r="D705" s="12"/>
    </row>
    <row r="706" spans="4:4" x14ac:dyDescent="0.3">
      <c r="D706" s="12"/>
    </row>
    <row r="707" spans="4:4" x14ac:dyDescent="0.3">
      <c r="D707" s="12"/>
    </row>
    <row r="708" spans="4:4" x14ac:dyDescent="0.3">
      <c r="D708" s="12"/>
    </row>
    <row r="709" spans="4:4" x14ac:dyDescent="0.3">
      <c r="D709" s="12"/>
    </row>
    <row r="710" spans="4:4" x14ac:dyDescent="0.3">
      <c r="D710" s="12"/>
    </row>
    <row r="711" spans="4:4" x14ac:dyDescent="0.3">
      <c r="D711" s="12"/>
    </row>
    <row r="712" spans="4:4" x14ac:dyDescent="0.3">
      <c r="D712" s="12"/>
    </row>
    <row r="713" spans="4:4" x14ac:dyDescent="0.3">
      <c r="D713" s="12"/>
    </row>
    <row r="714" spans="4:4" x14ac:dyDescent="0.3">
      <c r="D714" s="12"/>
    </row>
    <row r="715" spans="4:4" x14ac:dyDescent="0.3">
      <c r="D715" s="12"/>
    </row>
    <row r="716" spans="4:4" x14ac:dyDescent="0.3">
      <c r="D716" s="12"/>
    </row>
    <row r="717" spans="4:4" x14ac:dyDescent="0.3">
      <c r="D717" s="12"/>
    </row>
    <row r="718" spans="4:4" x14ac:dyDescent="0.3">
      <c r="D718" s="12"/>
    </row>
    <row r="719" spans="4:4" x14ac:dyDescent="0.3">
      <c r="D719" s="12"/>
    </row>
    <row r="720" spans="4:4" x14ac:dyDescent="0.3">
      <c r="D720" s="12"/>
    </row>
    <row r="721" spans="4:4" x14ac:dyDescent="0.3">
      <c r="D721" s="12"/>
    </row>
    <row r="722" spans="4:4" x14ac:dyDescent="0.3">
      <c r="D722" s="12"/>
    </row>
    <row r="723" spans="4:4" x14ac:dyDescent="0.3">
      <c r="D723" s="12"/>
    </row>
    <row r="724" spans="4:4" x14ac:dyDescent="0.3">
      <c r="D724" s="12"/>
    </row>
    <row r="725" spans="4:4" x14ac:dyDescent="0.3">
      <c r="D725" s="12"/>
    </row>
    <row r="726" spans="4:4" x14ac:dyDescent="0.3">
      <c r="D726" s="12"/>
    </row>
    <row r="727" spans="4:4" x14ac:dyDescent="0.3">
      <c r="D727" s="12"/>
    </row>
    <row r="728" spans="4:4" x14ac:dyDescent="0.3">
      <c r="D728" s="12"/>
    </row>
    <row r="729" spans="4:4" x14ac:dyDescent="0.3">
      <c r="D729" s="12"/>
    </row>
    <row r="730" spans="4:4" x14ac:dyDescent="0.3">
      <c r="D730" s="12"/>
    </row>
    <row r="731" spans="4:4" x14ac:dyDescent="0.3">
      <c r="D731" s="12"/>
    </row>
    <row r="732" spans="4:4" x14ac:dyDescent="0.3">
      <c r="D732" s="12"/>
    </row>
    <row r="733" spans="4:4" x14ac:dyDescent="0.3">
      <c r="D733" s="12"/>
    </row>
    <row r="734" spans="4:4" x14ac:dyDescent="0.3">
      <c r="D734" s="12"/>
    </row>
    <row r="735" spans="4:4" x14ac:dyDescent="0.3">
      <c r="D735" s="12"/>
    </row>
    <row r="736" spans="4:4" x14ac:dyDescent="0.3">
      <c r="D736" s="12"/>
    </row>
    <row r="737" spans="4:4" x14ac:dyDescent="0.3">
      <c r="D737" s="12"/>
    </row>
    <row r="738" spans="4:4" x14ac:dyDescent="0.3">
      <c r="D738" s="12"/>
    </row>
    <row r="739" spans="4:4" x14ac:dyDescent="0.3">
      <c r="D739" s="12"/>
    </row>
    <row r="740" spans="4:4" x14ac:dyDescent="0.3">
      <c r="D740" s="12"/>
    </row>
    <row r="741" spans="4:4" x14ac:dyDescent="0.3">
      <c r="D741" s="12"/>
    </row>
    <row r="742" spans="4:4" x14ac:dyDescent="0.3">
      <c r="D742" s="12"/>
    </row>
    <row r="743" spans="4:4" x14ac:dyDescent="0.3">
      <c r="D743" s="12"/>
    </row>
    <row r="744" spans="4:4" x14ac:dyDescent="0.3">
      <c r="D744" s="12"/>
    </row>
    <row r="745" spans="4:4" x14ac:dyDescent="0.3">
      <c r="D745" s="12"/>
    </row>
    <row r="746" spans="4:4" x14ac:dyDescent="0.3">
      <c r="D746" s="12"/>
    </row>
    <row r="747" spans="4:4" x14ac:dyDescent="0.3">
      <c r="D747" s="12"/>
    </row>
    <row r="748" spans="4:4" x14ac:dyDescent="0.3">
      <c r="D748" s="12"/>
    </row>
    <row r="749" spans="4:4" x14ac:dyDescent="0.3">
      <c r="D749" s="12"/>
    </row>
    <row r="750" spans="4:4" x14ac:dyDescent="0.3">
      <c r="D750" s="12"/>
    </row>
    <row r="751" spans="4:4" x14ac:dyDescent="0.3">
      <c r="D751" s="12"/>
    </row>
    <row r="752" spans="4:4" x14ac:dyDescent="0.3">
      <c r="D752" s="12"/>
    </row>
    <row r="753" spans="4:4" x14ac:dyDescent="0.3">
      <c r="D753" s="12"/>
    </row>
    <row r="754" spans="4:4" x14ac:dyDescent="0.3">
      <c r="D754" s="12"/>
    </row>
    <row r="755" spans="4:4" x14ac:dyDescent="0.3">
      <c r="D755" s="12"/>
    </row>
    <row r="756" spans="4:4" x14ac:dyDescent="0.3">
      <c r="D756" s="12"/>
    </row>
    <row r="757" spans="4:4" x14ac:dyDescent="0.3">
      <c r="D757" s="12"/>
    </row>
    <row r="758" spans="4:4" x14ac:dyDescent="0.3">
      <c r="D758" s="12"/>
    </row>
    <row r="759" spans="4:4" x14ac:dyDescent="0.3">
      <c r="D759" s="12"/>
    </row>
    <row r="760" spans="4:4" x14ac:dyDescent="0.3">
      <c r="D760" s="12"/>
    </row>
    <row r="761" spans="4:4" x14ac:dyDescent="0.3">
      <c r="D761" s="12"/>
    </row>
    <row r="762" spans="4:4" x14ac:dyDescent="0.3">
      <c r="D762" s="12"/>
    </row>
    <row r="763" spans="4:4" x14ac:dyDescent="0.3">
      <c r="D763" s="12"/>
    </row>
    <row r="764" spans="4:4" x14ac:dyDescent="0.3">
      <c r="D764" s="12"/>
    </row>
    <row r="765" spans="4:4" x14ac:dyDescent="0.3">
      <c r="D765" s="12"/>
    </row>
    <row r="766" spans="4:4" x14ac:dyDescent="0.3">
      <c r="D766" s="12"/>
    </row>
    <row r="767" spans="4:4" x14ac:dyDescent="0.3">
      <c r="D767" s="12"/>
    </row>
    <row r="768" spans="4:4" x14ac:dyDescent="0.3">
      <c r="D768" s="12"/>
    </row>
    <row r="769" spans="4:4" x14ac:dyDescent="0.3">
      <c r="D769" s="12"/>
    </row>
    <row r="770" spans="4:4" x14ac:dyDescent="0.3">
      <c r="D770" s="12"/>
    </row>
    <row r="771" spans="4:4" x14ac:dyDescent="0.3">
      <c r="D771" s="12"/>
    </row>
    <row r="772" spans="4:4" x14ac:dyDescent="0.3">
      <c r="D772" s="12"/>
    </row>
    <row r="773" spans="4:4" x14ac:dyDescent="0.3">
      <c r="D773" s="12"/>
    </row>
    <row r="774" spans="4:4" x14ac:dyDescent="0.3">
      <c r="D774" s="12"/>
    </row>
    <row r="775" spans="4:4" x14ac:dyDescent="0.3">
      <c r="D775" s="12"/>
    </row>
    <row r="776" spans="4:4" x14ac:dyDescent="0.3">
      <c r="D776" s="12"/>
    </row>
    <row r="777" spans="4:4" x14ac:dyDescent="0.3">
      <c r="D777" s="12"/>
    </row>
    <row r="778" spans="4:4" x14ac:dyDescent="0.3">
      <c r="D778" s="12"/>
    </row>
    <row r="779" spans="4:4" x14ac:dyDescent="0.3">
      <c r="D779" s="12"/>
    </row>
    <row r="780" spans="4:4" x14ac:dyDescent="0.3">
      <c r="D780" s="12"/>
    </row>
    <row r="781" spans="4:4" x14ac:dyDescent="0.3">
      <c r="D781" s="12"/>
    </row>
    <row r="782" spans="4:4" x14ac:dyDescent="0.3">
      <c r="D782" s="12"/>
    </row>
    <row r="783" spans="4:4" x14ac:dyDescent="0.3">
      <c r="D783" s="12"/>
    </row>
    <row r="784" spans="4:4" x14ac:dyDescent="0.3">
      <c r="D784" s="12"/>
    </row>
    <row r="785" spans="4:4" x14ac:dyDescent="0.3">
      <c r="D785" s="12"/>
    </row>
    <row r="786" spans="4:4" x14ac:dyDescent="0.3">
      <c r="D786" s="12"/>
    </row>
    <row r="787" spans="4:4" x14ac:dyDescent="0.3">
      <c r="D787" s="12"/>
    </row>
    <row r="788" spans="4:4" x14ac:dyDescent="0.3">
      <c r="D788" s="12"/>
    </row>
    <row r="789" spans="4:4" x14ac:dyDescent="0.3">
      <c r="D789" s="12"/>
    </row>
    <row r="790" spans="4:4" x14ac:dyDescent="0.3">
      <c r="D790" s="12"/>
    </row>
    <row r="791" spans="4:4" x14ac:dyDescent="0.3">
      <c r="D791" s="12"/>
    </row>
    <row r="792" spans="4:4" x14ac:dyDescent="0.3">
      <c r="D792" s="12"/>
    </row>
    <row r="793" spans="4:4" x14ac:dyDescent="0.3">
      <c r="D793" s="12"/>
    </row>
    <row r="794" spans="4:4" x14ac:dyDescent="0.3">
      <c r="D794" s="12"/>
    </row>
    <row r="795" spans="4:4" x14ac:dyDescent="0.3">
      <c r="D795" s="12"/>
    </row>
    <row r="796" spans="4:4" x14ac:dyDescent="0.3">
      <c r="D796" s="12"/>
    </row>
    <row r="797" spans="4:4" x14ac:dyDescent="0.3">
      <c r="D797" s="12"/>
    </row>
    <row r="798" spans="4:4" x14ac:dyDescent="0.3">
      <c r="D798" s="12"/>
    </row>
    <row r="799" spans="4:4" x14ac:dyDescent="0.3">
      <c r="D799" s="12"/>
    </row>
    <row r="800" spans="4:4" x14ac:dyDescent="0.3">
      <c r="D800" s="12"/>
    </row>
    <row r="801" spans="4:4" x14ac:dyDescent="0.3">
      <c r="D801" s="12"/>
    </row>
    <row r="802" spans="4:4" x14ac:dyDescent="0.3">
      <c r="D802" s="12"/>
    </row>
    <row r="803" spans="4:4" x14ac:dyDescent="0.3">
      <c r="D803" s="12"/>
    </row>
    <row r="804" spans="4:4" x14ac:dyDescent="0.3">
      <c r="D804" s="12"/>
    </row>
    <row r="805" spans="4:4" x14ac:dyDescent="0.3">
      <c r="D805" s="12"/>
    </row>
    <row r="806" spans="4:4" x14ac:dyDescent="0.3">
      <c r="D806" s="12"/>
    </row>
    <row r="807" spans="4:4" x14ac:dyDescent="0.3">
      <c r="D807" s="12"/>
    </row>
    <row r="808" spans="4:4" x14ac:dyDescent="0.3">
      <c r="D808" s="12"/>
    </row>
    <row r="809" spans="4:4" x14ac:dyDescent="0.3">
      <c r="D809" s="12"/>
    </row>
    <row r="810" spans="4:4" x14ac:dyDescent="0.3">
      <c r="D810" s="12"/>
    </row>
    <row r="811" spans="4:4" x14ac:dyDescent="0.3">
      <c r="D811" s="12"/>
    </row>
    <row r="812" spans="4:4" x14ac:dyDescent="0.3">
      <c r="D812" s="12"/>
    </row>
    <row r="813" spans="4:4" x14ac:dyDescent="0.3">
      <c r="D813" s="12"/>
    </row>
    <row r="814" spans="4:4" x14ac:dyDescent="0.3">
      <c r="D814" s="12"/>
    </row>
    <row r="815" spans="4:4" x14ac:dyDescent="0.3">
      <c r="D815" s="12"/>
    </row>
    <row r="816" spans="4:4" x14ac:dyDescent="0.3">
      <c r="D816" s="12"/>
    </row>
    <row r="817" spans="4:4" x14ac:dyDescent="0.3">
      <c r="D817" s="12"/>
    </row>
    <row r="818" spans="4:4" x14ac:dyDescent="0.3">
      <c r="D818" s="12"/>
    </row>
    <row r="819" spans="4:4" x14ac:dyDescent="0.3">
      <c r="D819" s="12"/>
    </row>
    <row r="820" spans="4:4" x14ac:dyDescent="0.3">
      <c r="D820" s="12"/>
    </row>
    <row r="821" spans="4:4" x14ac:dyDescent="0.3">
      <c r="D821" s="12"/>
    </row>
    <row r="822" spans="4:4" x14ac:dyDescent="0.3">
      <c r="D822" s="12"/>
    </row>
    <row r="823" spans="4:4" x14ac:dyDescent="0.3">
      <c r="D823" s="12"/>
    </row>
    <row r="824" spans="4:4" x14ac:dyDescent="0.3">
      <c r="D824" s="12"/>
    </row>
    <row r="825" spans="4:4" x14ac:dyDescent="0.3">
      <c r="D825" s="12"/>
    </row>
    <row r="826" spans="4:4" x14ac:dyDescent="0.3">
      <c r="D826" s="12"/>
    </row>
    <row r="827" spans="4:4" x14ac:dyDescent="0.3">
      <c r="D827" s="12"/>
    </row>
    <row r="828" spans="4:4" x14ac:dyDescent="0.3">
      <c r="D828" s="12"/>
    </row>
    <row r="829" spans="4:4" x14ac:dyDescent="0.3">
      <c r="D829" s="12"/>
    </row>
    <row r="830" spans="4:4" x14ac:dyDescent="0.3">
      <c r="D830" s="12"/>
    </row>
    <row r="831" spans="4:4" x14ac:dyDescent="0.3">
      <c r="D831" s="12"/>
    </row>
    <row r="832" spans="4:4" x14ac:dyDescent="0.3">
      <c r="D832" s="12"/>
    </row>
    <row r="833" spans="4:4" x14ac:dyDescent="0.3">
      <c r="D833" s="12"/>
    </row>
    <row r="834" spans="4:4" x14ac:dyDescent="0.3">
      <c r="D834" s="12"/>
    </row>
    <row r="835" spans="4:4" x14ac:dyDescent="0.3">
      <c r="D835" s="12"/>
    </row>
    <row r="836" spans="4:4" x14ac:dyDescent="0.3">
      <c r="D836" s="12"/>
    </row>
    <row r="837" spans="4:4" x14ac:dyDescent="0.3">
      <c r="D837" s="12"/>
    </row>
    <row r="838" spans="4:4" x14ac:dyDescent="0.3">
      <c r="D838" s="12"/>
    </row>
    <row r="839" spans="4:4" x14ac:dyDescent="0.3">
      <c r="D839" s="12"/>
    </row>
    <row r="840" spans="4:4" x14ac:dyDescent="0.3">
      <c r="D840" s="12"/>
    </row>
    <row r="841" spans="4:4" x14ac:dyDescent="0.3">
      <c r="D841" s="12"/>
    </row>
    <row r="842" spans="4:4" x14ac:dyDescent="0.3">
      <c r="D842" s="12"/>
    </row>
    <row r="843" spans="4:4" x14ac:dyDescent="0.3">
      <c r="D843" s="12"/>
    </row>
    <row r="844" spans="4:4" x14ac:dyDescent="0.3">
      <c r="D844" s="12"/>
    </row>
    <row r="845" spans="4:4" x14ac:dyDescent="0.3">
      <c r="D845" s="12"/>
    </row>
    <row r="846" spans="4:4" x14ac:dyDescent="0.3">
      <c r="D846" s="12"/>
    </row>
    <row r="847" spans="4:4" x14ac:dyDescent="0.3">
      <c r="D847" s="12"/>
    </row>
    <row r="848" spans="4:4" x14ac:dyDescent="0.3">
      <c r="D848" s="12"/>
    </row>
    <row r="849" spans="4:4" x14ac:dyDescent="0.3">
      <c r="D849" s="12"/>
    </row>
    <row r="850" spans="4:4" x14ac:dyDescent="0.3">
      <c r="D850" s="12"/>
    </row>
    <row r="851" spans="4:4" x14ac:dyDescent="0.3">
      <c r="D851" s="12"/>
    </row>
    <row r="852" spans="4:4" x14ac:dyDescent="0.3">
      <c r="D852" s="12"/>
    </row>
    <row r="853" spans="4:4" x14ac:dyDescent="0.3">
      <c r="D853" s="12"/>
    </row>
    <row r="854" spans="4:4" x14ac:dyDescent="0.3">
      <c r="D854" s="12"/>
    </row>
    <row r="855" spans="4:4" x14ac:dyDescent="0.3">
      <c r="D855" s="12"/>
    </row>
    <row r="856" spans="4:4" x14ac:dyDescent="0.3">
      <c r="D856" s="12"/>
    </row>
    <row r="857" spans="4:4" x14ac:dyDescent="0.3">
      <c r="D857" s="12"/>
    </row>
    <row r="858" spans="4:4" x14ac:dyDescent="0.3">
      <c r="D858" s="12"/>
    </row>
    <row r="859" spans="4:4" x14ac:dyDescent="0.3">
      <c r="D859" s="12"/>
    </row>
    <row r="860" spans="4:4" x14ac:dyDescent="0.3">
      <c r="D860" s="12"/>
    </row>
    <row r="861" spans="4:4" x14ac:dyDescent="0.3">
      <c r="D861" s="12"/>
    </row>
    <row r="862" spans="4:4" x14ac:dyDescent="0.3">
      <c r="D862" s="12"/>
    </row>
    <row r="863" spans="4:4" x14ac:dyDescent="0.3">
      <c r="D863" s="12"/>
    </row>
    <row r="864" spans="4:4" x14ac:dyDescent="0.3">
      <c r="D864" s="12"/>
    </row>
    <row r="865" spans="4:4" x14ac:dyDescent="0.3">
      <c r="D865" s="12"/>
    </row>
    <row r="866" spans="4:4" x14ac:dyDescent="0.3">
      <c r="D866" s="12"/>
    </row>
    <row r="867" spans="4:4" x14ac:dyDescent="0.3">
      <c r="D867" s="12"/>
    </row>
    <row r="868" spans="4:4" x14ac:dyDescent="0.3">
      <c r="D868" s="12"/>
    </row>
    <row r="869" spans="4:4" x14ac:dyDescent="0.3">
      <c r="D869" s="12"/>
    </row>
    <row r="870" spans="4:4" x14ac:dyDescent="0.3">
      <c r="D870" s="12"/>
    </row>
    <row r="871" spans="4:4" x14ac:dyDescent="0.3">
      <c r="D871" s="12"/>
    </row>
    <row r="872" spans="4:4" x14ac:dyDescent="0.3">
      <c r="D872" s="12"/>
    </row>
    <row r="873" spans="4:4" x14ac:dyDescent="0.3">
      <c r="D873" s="12"/>
    </row>
    <row r="874" spans="4:4" x14ac:dyDescent="0.3">
      <c r="D874" s="12"/>
    </row>
    <row r="875" spans="4:4" x14ac:dyDescent="0.3">
      <c r="D875" s="12"/>
    </row>
    <row r="876" spans="4:4" x14ac:dyDescent="0.3">
      <c r="D876" s="12"/>
    </row>
    <row r="877" spans="4:4" x14ac:dyDescent="0.3">
      <c r="D877" s="12"/>
    </row>
    <row r="878" spans="4:4" x14ac:dyDescent="0.3">
      <c r="D878" s="12"/>
    </row>
    <row r="879" spans="4:4" x14ac:dyDescent="0.3">
      <c r="D879" s="12"/>
    </row>
    <row r="880" spans="4:4" x14ac:dyDescent="0.3">
      <c r="D880" s="12"/>
    </row>
    <row r="881" spans="4:4" x14ac:dyDescent="0.3">
      <c r="D881" s="12"/>
    </row>
    <row r="882" spans="4:4" x14ac:dyDescent="0.3">
      <c r="D882" s="12"/>
    </row>
    <row r="883" spans="4:4" x14ac:dyDescent="0.3">
      <c r="D883" s="12"/>
    </row>
    <row r="884" spans="4:4" x14ac:dyDescent="0.3">
      <c r="D884" s="12"/>
    </row>
    <row r="885" spans="4:4" x14ac:dyDescent="0.3">
      <c r="D885" s="12"/>
    </row>
    <row r="886" spans="4:4" x14ac:dyDescent="0.3">
      <c r="D886" s="12"/>
    </row>
    <row r="887" spans="4:4" x14ac:dyDescent="0.3">
      <c r="D887" s="12"/>
    </row>
    <row r="888" spans="4:4" x14ac:dyDescent="0.3">
      <c r="D888" s="12"/>
    </row>
    <row r="889" spans="4:4" x14ac:dyDescent="0.3">
      <c r="D889" s="12"/>
    </row>
    <row r="890" spans="4:4" x14ac:dyDescent="0.3">
      <c r="D890" s="12"/>
    </row>
    <row r="891" spans="4:4" x14ac:dyDescent="0.3">
      <c r="D891" s="12"/>
    </row>
    <row r="892" spans="4:4" x14ac:dyDescent="0.3">
      <c r="D892" s="12"/>
    </row>
    <row r="893" spans="4:4" x14ac:dyDescent="0.3">
      <c r="D893" s="12"/>
    </row>
    <row r="894" spans="4:4" x14ac:dyDescent="0.3">
      <c r="D894" s="12"/>
    </row>
    <row r="895" spans="4:4" x14ac:dyDescent="0.3">
      <c r="D895" s="12"/>
    </row>
    <row r="896" spans="4:4" x14ac:dyDescent="0.3">
      <c r="D896" s="12"/>
    </row>
    <row r="897" spans="4:4" x14ac:dyDescent="0.3">
      <c r="D897" s="12"/>
    </row>
    <row r="898" spans="4:4" x14ac:dyDescent="0.3">
      <c r="D898" s="12"/>
    </row>
    <row r="899" spans="4:4" x14ac:dyDescent="0.3">
      <c r="D899" s="12"/>
    </row>
    <row r="900" spans="4:4" x14ac:dyDescent="0.3">
      <c r="D900" s="12"/>
    </row>
    <row r="901" spans="4:4" x14ac:dyDescent="0.3">
      <c r="D901" s="12"/>
    </row>
    <row r="902" spans="4:4" x14ac:dyDescent="0.3">
      <c r="D902" s="12"/>
    </row>
    <row r="903" spans="4:4" x14ac:dyDescent="0.3">
      <c r="D903" s="12"/>
    </row>
    <row r="904" spans="4:4" x14ac:dyDescent="0.3">
      <c r="D904" s="12"/>
    </row>
    <row r="905" spans="4:4" x14ac:dyDescent="0.3">
      <c r="D905" s="12"/>
    </row>
    <row r="906" spans="4:4" x14ac:dyDescent="0.3">
      <c r="D906" s="12"/>
    </row>
    <row r="907" spans="4:4" x14ac:dyDescent="0.3">
      <c r="D907" s="12"/>
    </row>
    <row r="908" spans="4:4" x14ac:dyDescent="0.3">
      <c r="D908" s="12"/>
    </row>
    <row r="909" spans="4:4" x14ac:dyDescent="0.3">
      <c r="D909" s="12"/>
    </row>
    <row r="910" spans="4:4" x14ac:dyDescent="0.3">
      <c r="D910" s="12"/>
    </row>
    <row r="911" spans="4:4" x14ac:dyDescent="0.3">
      <c r="D911" s="12"/>
    </row>
    <row r="912" spans="4:4" x14ac:dyDescent="0.3">
      <c r="D912" s="12"/>
    </row>
    <row r="913" spans="4:4" x14ac:dyDescent="0.3">
      <c r="D913" s="12"/>
    </row>
    <row r="914" spans="4:4" x14ac:dyDescent="0.3">
      <c r="D914" s="12"/>
    </row>
    <row r="915" spans="4:4" x14ac:dyDescent="0.3">
      <c r="D915" s="12"/>
    </row>
    <row r="916" spans="4:4" x14ac:dyDescent="0.3">
      <c r="D916" s="12"/>
    </row>
    <row r="917" spans="4:4" x14ac:dyDescent="0.3">
      <c r="D917" s="12"/>
    </row>
    <row r="918" spans="4:4" x14ac:dyDescent="0.3">
      <c r="D918" s="12"/>
    </row>
    <row r="919" spans="4:4" x14ac:dyDescent="0.3">
      <c r="D919" s="12"/>
    </row>
    <row r="920" spans="4:4" x14ac:dyDescent="0.3">
      <c r="D920" s="12"/>
    </row>
    <row r="921" spans="4:4" x14ac:dyDescent="0.3">
      <c r="D921" s="12"/>
    </row>
    <row r="922" spans="4:4" x14ac:dyDescent="0.3">
      <c r="D922" s="12"/>
    </row>
    <row r="923" spans="4:4" x14ac:dyDescent="0.3">
      <c r="D923" s="12"/>
    </row>
    <row r="924" spans="4:4" x14ac:dyDescent="0.3">
      <c r="D924" s="12"/>
    </row>
    <row r="925" spans="4:4" x14ac:dyDescent="0.3">
      <c r="D925" s="12"/>
    </row>
    <row r="926" spans="4:4" x14ac:dyDescent="0.3">
      <c r="D926" s="12"/>
    </row>
    <row r="927" spans="4:4" x14ac:dyDescent="0.3">
      <c r="D927" s="12"/>
    </row>
    <row r="928" spans="4:4" x14ac:dyDescent="0.3">
      <c r="D928" s="12"/>
    </row>
    <row r="929" spans="4:4" x14ac:dyDescent="0.3">
      <c r="D929" s="12"/>
    </row>
    <row r="930" spans="4:4" x14ac:dyDescent="0.3">
      <c r="D930" s="12"/>
    </row>
    <row r="931" spans="4:4" x14ac:dyDescent="0.3">
      <c r="D931" s="12"/>
    </row>
    <row r="932" spans="4:4" x14ac:dyDescent="0.3">
      <c r="D932" s="12"/>
    </row>
    <row r="933" spans="4:4" x14ac:dyDescent="0.3">
      <c r="D933" s="12"/>
    </row>
    <row r="934" spans="4:4" x14ac:dyDescent="0.3">
      <c r="D934" s="12"/>
    </row>
    <row r="935" spans="4:4" x14ac:dyDescent="0.3">
      <c r="D935" s="12"/>
    </row>
    <row r="936" spans="4:4" x14ac:dyDescent="0.3">
      <c r="D936" s="12"/>
    </row>
    <row r="937" spans="4:4" x14ac:dyDescent="0.3">
      <c r="D937" s="12"/>
    </row>
    <row r="938" spans="4:4" x14ac:dyDescent="0.3">
      <c r="D938" s="12"/>
    </row>
    <row r="939" spans="4:4" x14ac:dyDescent="0.3">
      <c r="D939" s="12"/>
    </row>
    <row r="940" spans="4:4" x14ac:dyDescent="0.3">
      <c r="D940" s="12"/>
    </row>
    <row r="941" spans="4:4" x14ac:dyDescent="0.3">
      <c r="D941" s="12"/>
    </row>
    <row r="942" spans="4:4" x14ac:dyDescent="0.3">
      <c r="D942" s="12"/>
    </row>
    <row r="943" spans="4:4" x14ac:dyDescent="0.3">
      <c r="D943" s="12"/>
    </row>
    <row r="944" spans="4:4" x14ac:dyDescent="0.3">
      <c r="D944" s="12"/>
    </row>
    <row r="945" spans="4:4" x14ac:dyDescent="0.3">
      <c r="D945" s="12"/>
    </row>
    <row r="946" spans="4:4" x14ac:dyDescent="0.3">
      <c r="D946" s="12"/>
    </row>
    <row r="947" spans="4:4" x14ac:dyDescent="0.3">
      <c r="D947" s="12"/>
    </row>
    <row r="948" spans="4:4" x14ac:dyDescent="0.3">
      <c r="D948" s="12"/>
    </row>
    <row r="949" spans="4:4" x14ac:dyDescent="0.3">
      <c r="D949" s="12"/>
    </row>
    <row r="950" spans="4:4" x14ac:dyDescent="0.3">
      <c r="D950" s="12"/>
    </row>
    <row r="951" spans="4:4" x14ac:dyDescent="0.3">
      <c r="D951" s="12"/>
    </row>
    <row r="952" spans="4:4" x14ac:dyDescent="0.3">
      <c r="D952" s="12"/>
    </row>
    <row r="953" spans="4:4" x14ac:dyDescent="0.3">
      <c r="D953" s="12"/>
    </row>
    <row r="954" spans="4:4" x14ac:dyDescent="0.3">
      <c r="D954" s="12"/>
    </row>
    <row r="955" spans="4:4" x14ac:dyDescent="0.3">
      <c r="D955" s="12"/>
    </row>
    <row r="956" spans="4:4" x14ac:dyDescent="0.3">
      <c r="D956" s="12"/>
    </row>
    <row r="957" spans="4:4" x14ac:dyDescent="0.3">
      <c r="D957" s="12"/>
    </row>
    <row r="958" spans="4:4" x14ac:dyDescent="0.3">
      <c r="D958" s="12"/>
    </row>
    <row r="959" spans="4:4" x14ac:dyDescent="0.3">
      <c r="D959" s="12"/>
    </row>
    <row r="960" spans="4:4" x14ac:dyDescent="0.3">
      <c r="D960" s="12"/>
    </row>
    <row r="961" spans="4:4" x14ac:dyDescent="0.3">
      <c r="D961" s="12"/>
    </row>
    <row r="962" spans="4:4" x14ac:dyDescent="0.3">
      <c r="D962" s="12"/>
    </row>
    <row r="963" spans="4:4" x14ac:dyDescent="0.3">
      <c r="D963" s="12"/>
    </row>
    <row r="964" spans="4:4" x14ac:dyDescent="0.3">
      <c r="D964" s="12"/>
    </row>
    <row r="965" spans="4:4" x14ac:dyDescent="0.3">
      <c r="D965" s="12"/>
    </row>
    <row r="966" spans="4:4" x14ac:dyDescent="0.3">
      <c r="D966" s="12"/>
    </row>
    <row r="967" spans="4:4" x14ac:dyDescent="0.3">
      <c r="D967" s="12"/>
    </row>
    <row r="968" spans="4:4" x14ac:dyDescent="0.3">
      <c r="D968" s="12"/>
    </row>
    <row r="969" spans="4:4" x14ac:dyDescent="0.3">
      <c r="D969" s="12"/>
    </row>
    <row r="970" spans="4:4" x14ac:dyDescent="0.3">
      <c r="D970" s="12"/>
    </row>
    <row r="971" spans="4:4" x14ac:dyDescent="0.3">
      <c r="D971" s="12"/>
    </row>
    <row r="972" spans="4:4" x14ac:dyDescent="0.3">
      <c r="D972" s="12"/>
    </row>
    <row r="973" spans="4:4" x14ac:dyDescent="0.3">
      <c r="D973" s="12"/>
    </row>
    <row r="974" spans="4:4" x14ac:dyDescent="0.3">
      <c r="D974" s="12"/>
    </row>
    <row r="975" spans="4:4" x14ac:dyDescent="0.3">
      <c r="D975" s="12"/>
    </row>
    <row r="976" spans="4:4" x14ac:dyDescent="0.3">
      <c r="D976" s="12"/>
    </row>
    <row r="977" spans="4:4" x14ac:dyDescent="0.3">
      <c r="D977" s="12"/>
    </row>
    <row r="978" spans="4:4" x14ac:dyDescent="0.3">
      <c r="D978" s="12"/>
    </row>
    <row r="979" spans="4:4" x14ac:dyDescent="0.3">
      <c r="D979" s="12"/>
    </row>
    <row r="980" spans="4:4" x14ac:dyDescent="0.3">
      <c r="D980" s="12"/>
    </row>
    <row r="981" spans="4:4" x14ac:dyDescent="0.3">
      <c r="D981" s="12"/>
    </row>
    <row r="982" spans="4:4" x14ac:dyDescent="0.3">
      <c r="D982" s="12"/>
    </row>
    <row r="983" spans="4:4" x14ac:dyDescent="0.3">
      <c r="D983" s="12"/>
    </row>
    <row r="984" spans="4:4" x14ac:dyDescent="0.3">
      <c r="D984" s="12"/>
    </row>
    <row r="985" spans="4:4" x14ac:dyDescent="0.3">
      <c r="D985" s="12"/>
    </row>
    <row r="986" spans="4:4" x14ac:dyDescent="0.3">
      <c r="D986" s="12"/>
    </row>
    <row r="987" spans="4:4" x14ac:dyDescent="0.3">
      <c r="D987" s="12"/>
    </row>
    <row r="988" spans="4:4" x14ac:dyDescent="0.3">
      <c r="D988" s="12"/>
    </row>
    <row r="989" spans="4:4" x14ac:dyDescent="0.3">
      <c r="D989" s="12"/>
    </row>
    <row r="990" spans="4:4" x14ac:dyDescent="0.3">
      <c r="D990" s="12"/>
    </row>
    <row r="991" spans="4:4" x14ac:dyDescent="0.3">
      <c r="D991" s="12"/>
    </row>
    <row r="992" spans="4:4" x14ac:dyDescent="0.3">
      <c r="D992" s="12"/>
    </row>
    <row r="993" spans="4:4" x14ac:dyDescent="0.3">
      <c r="D993" s="12"/>
    </row>
    <row r="994" spans="4:4" x14ac:dyDescent="0.3">
      <c r="D994" s="12"/>
    </row>
    <row r="995" spans="4:4" x14ac:dyDescent="0.3">
      <c r="D995" s="12"/>
    </row>
    <row r="996" spans="4:4" x14ac:dyDescent="0.3">
      <c r="D996" s="12"/>
    </row>
    <row r="997" spans="4:4" x14ac:dyDescent="0.3">
      <c r="D997" s="12"/>
    </row>
    <row r="998" spans="4:4" x14ac:dyDescent="0.3">
      <c r="D998" s="12"/>
    </row>
    <row r="999" spans="4:4" x14ac:dyDescent="0.3">
      <c r="D999" s="12"/>
    </row>
    <row r="1000" spans="4:4" x14ac:dyDescent="0.3">
      <c r="D1000" s="12"/>
    </row>
    <row r="1001" spans="4:4" x14ac:dyDescent="0.3">
      <c r="D1001" s="12"/>
    </row>
    <row r="1002" spans="4:4" x14ac:dyDescent="0.3">
      <c r="D1002" s="12"/>
    </row>
    <row r="1003" spans="4:4" x14ac:dyDescent="0.3">
      <c r="D1003" s="12"/>
    </row>
    <row r="1004" spans="4:4" x14ac:dyDescent="0.3">
      <c r="D1004" s="12"/>
    </row>
    <row r="1005" spans="4:4" x14ac:dyDescent="0.3">
      <c r="D1005" s="12"/>
    </row>
    <row r="1006" spans="4:4" x14ac:dyDescent="0.3">
      <c r="D1006" s="12"/>
    </row>
    <row r="1007" spans="4:4" x14ac:dyDescent="0.3">
      <c r="D1007" s="12"/>
    </row>
    <row r="1008" spans="4:4" x14ac:dyDescent="0.3">
      <c r="D1008" s="12"/>
    </row>
    <row r="1009" spans="4:4" x14ac:dyDescent="0.3">
      <c r="D1009" s="12"/>
    </row>
    <row r="1010" spans="4:4" x14ac:dyDescent="0.3">
      <c r="D1010" s="12"/>
    </row>
    <row r="1011" spans="4:4" x14ac:dyDescent="0.3">
      <c r="D1011" s="12"/>
    </row>
    <row r="1012" spans="4:4" x14ac:dyDescent="0.3">
      <c r="D1012" s="12"/>
    </row>
    <row r="1013" spans="4:4" x14ac:dyDescent="0.3">
      <c r="D1013" s="12"/>
    </row>
    <row r="1014" spans="4:4" x14ac:dyDescent="0.3">
      <c r="D1014" s="12"/>
    </row>
    <row r="1015" spans="4:4" x14ac:dyDescent="0.3">
      <c r="D1015" s="12"/>
    </row>
    <row r="1016" spans="4:4" x14ac:dyDescent="0.3">
      <c r="D1016" s="12"/>
    </row>
    <row r="1017" spans="4:4" x14ac:dyDescent="0.3">
      <c r="D1017" s="12"/>
    </row>
    <row r="1018" spans="4:4" x14ac:dyDescent="0.3">
      <c r="D1018" s="12"/>
    </row>
    <row r="1019" spans="4:4" x14ac:dyDescent="0.3">
      <c r="D1019" s="12"/>
    </row>
    <row r="1020" spans="4:4" x14ac:dyDescent="0.3">
      <c r="D1020" s="12"/>
    </row>
    <row r="1021" spans="4:4" x14ac:dyDescent="0.3">
      <c r="D1021" s="12"/>
    </row>
    <row r="1022" spans="4:4" x14ac:dyDescent="0.3">
      <c r="D1022" s="12"/>
    </row>
    <row r="1023" spans="4:4" x14ac:dyDescent="0.3">
      <c r="D1023" s="12"/>
    </row>
    <row r="1024" spans="4:4" x14ac:dyDescent="0.3">
      <c r="D1024" s="12"/>
    </row>
    <row r="1025" spans="4:4" x14ac:dyDescent="0.3">
      <c r="D1025" s="12"/>
    </row>
    <row r="1026" spans="4:4" x14ac:dyDescent="0.3">
      <c r="D1026" s="12"/>
    </row>
    <row r="1027" spans="4:4" x14ac:dyDescent="0.3">
      <c r="D1027" s="12"/>
    </row>
    <row r="1028" spans="4:4" x14ac:dyDescent="0.3">
      <c r="D1028" s="12"/>
    </row>
    <row r="1029" spans="4:4" x14ac:dyDescent="0.3">
      <c r="D1029" s="12"/>
    </row>
    <row r="1030" spans="4:4" x14ac:dyDescent="0.3">
      <c r="D1030" s="12"/>
    </row>
    <row r="1031" spans="4:4" x14ac:dyDescent="0.3">
      <c r="D1031" s="12"/>
    </row>
    <row r="1032" spans="4:4" x14ac:dyDescent="0.3">
      <c r="D1032" s="12"/>
    </row>
    <row r="1033" spans="4:4" x14ac:dyDescent="0.3">
      <c r="D1033" s="12"/>
    </row>
    <row r="1034" spans="4:4" x14ac:dyDescent="0.3">
      <c r="D1034" s="12"/>
    </row>
    <row r="1035" spans="4:4" x14ac:dyDescent="0.3">
      <c r="D1035" s="12"/>
    </row>
    <row r="1036" spans="4:4" x14ac:dyDescent="0.3">
      <c r="D1036" s="12"/>
    </row>
    <row r="1037" spans="4:4" x14ac:dyDescent="0.3">
      <c r="D1037" s="12"/>
    </row>
    <row r="1038" spans="4:4" x14ac:dyDescent="0.3">
      <c r="D1038" s="12"/>
    </row>
    <row r="1039" spans="4:4" x14ac:dyDescent="0.3">
      <c r="D1039" s="12"/>
    </row>
    <row r="1040" spans="4:4" x14ac:dyDescent="0.3">
      <c r="D1040" s="12"/>
    </row>
    <row r="1041" spans="4:4" x14ac:dyDescent="0.3">
      <c r="D1041" s="12"/>
    </row>
    <row r="1042" spans="4:4" x14ac:dyDescent="0.3">
      <c r="D1042" s="12"/>
    </row>
    <row r="1043" spans="4:4" x14ac:dyDescent="0.3">
      <c r="D1043" s="12"/>
    </row>
    <row r="1044" spans="4:4" x14ac:dyDescent="0.3">
      <c r="D1044" s="12"/>
    </row>
    <row r="1045" spans="4:4" x14ac:dyDescent="0.3">
      <c r="D1045" s="12"/>
    </row>
    <row r="1046" spans="4:4" x14ac:dyDescent="0.3">
      <c r="D1046" s="12"/>
    </row>
    <row r="1047" spans="4:4" x14ac:dyDescent="0.3">
      <c r="D1047" s="12"/>
    </row>
    <row r="1048" spans="4:4" x14ac:dyDescent="0.3">
      <c r="D1048" s="12"/>
    </row>
    <row r="1049" spans="4:4" x14ac:dyDescent="0.3">
      <c r="D1049" s="12"/>
    </row>
    <row r="1050" spans="4:4" x14ac:dyDescent="0.3">
      <c r="D1050" s="12"/>
    </row>
    <row r="1051" spans="4:4" x14ac:dyDescent="0.3">
      <c r="D1051" s="12"/>
    </row>
    <row r="1052" spans="4:4" x14ac:dyDescent="0.3">
      <c r="D1052" s="12"/>
    </row>
    <row r="1053" spans="4:4" x14ac:dyDescent="0.3">
      <c r="D1053" s="12"/>
    </row>
    <row r="1054" spans="4:4" x14ac:dyDescent="0.3">
      <c r="D1054" s="12"/>
    </row>
    <row r="1055" spans="4:4" x14ac:dyDescent="0.3">
      <c r="D1055" s="12"/>
    </row>
    <row r="1056" spans="4:4" x14ac:dyDescent="0.3">
      <c r="D1056" s="12"/>
    </row>
    <row r="1057" spans="4:4" x14ac:dyDescent="0.3">
      <c r="D1057" s="12"/>
    </row>
    <row r="1058" spans="4:4" x14ac:dyDescent="0.3">
      <c r="D1058" s="12"/>
    </row>
    <row r="1059" spans="4:4" x14ac:dyDescent="0.3">
      <c r="D1059" s="12"/>
    </row>
    <row r="1060" spans="4:4" x14ac:dyDescent="0.3">
      <c r="D1060" s="12"/>
    </row>
    <row r="1061" spans="4:4" x14ac:dyDescent="0.3">
      <c r="D1061" s="12"/>
    </row>
    <row r="1062" spans="4:4" x14ac:dyDescent="0.3">
      <c r="D1062" s="12"/>
    </row>
    <row r="1063" spans="4:4" x14ac:dyDescent="0.3">
      <c r="D1063" s="12"/>
    </row>
    <row r="1064" spans="4:4" x14ac:dyDescent="0.3">
      <c r="D1064" s="12"/>
    </row>
    <row r="1065" spans="4:4" x14ac:dyDescent="0.3">
      <c r="D1065" s="12"/>
    </row>
    <row r="1066" spans="4:4" x14ac:dyDescent="0.3">
      <c r="D1066" s="12"/>
    </row>
    <row r="1067" spans="4:4" x14ac:dyDescent="0.3">
      <c r="D1067" s="12"/>
    </row>
    <row r="1068" spans="4:4" x14ac:dyDescent="0.3">
      <c r="D1068" s="12"/>
    </row>
    <row r="1069" spans="4:4" x14ac:dyDescent="0.3">
      <c r="D1069" s="12"/>
    </row>
    <row r="1070" spans="4:4" x14ac:dyDescent="0.3">
      <c r="D1070" s="12"/>
    </row>
    <row r="1071" spans="4:4" x14ac:dyDescent="0.3">
      <c r="D1071" s="12"/>
    </row>
    <row r="1072" spans="4:4" x14ac:dyDescent="0.3">
      <c r="D1072" s="12"/>
    </row>
    <row r="1073" spans="4:4" x14ac:dyDescent="0.3">
      <c r="D1073" s="12"/>
    </row>
    <row r="1074" spans="4:4" x14ac:dyDescent="0.3">
      <c r="D1074" s="12"/>
    </row>
    <row r="1075" spans="4:4" x14ac:dyDescent="0.3">
      <c r="D1075" s="12"/>
    </row>
    <row r="1076" spans="4:4" x14ac:dyDescent="0.3">
      <c r="D1076" s="12"/>
    </row>
    <row r="1077" spans="4:4" x14ac:dyDescent="0.3">
      <c r="D1077" s="12"/>
    </row>
    <row r="1078" spans="4:4" x14ac:dyDescent="0.3">
      <c r="D1078" s="12"/>
    </row>
    <row r="1079" spans="4:4" x14ac:dyDescent="0.3">
      <c r="D1079" s="12"/>
    </row>
    <row r="1080" spans="4:4" x14ac:dyDescent="0.3">
      <c r="D1080" s="12"/>
    </row>
    <row r="1081" spans="4:4" x14ac:dyDescent="0.3">
      <c r="D1081" s="12"/>
    </row>
    <row r="1082" spans="4:4" x14ac:dyDescent="0.3">
      <c r="D1082" s="12"/>
    </row>
    <row r="1083" spans="4:4" x14ac:dyDescent="0.3">
      <c r="D1083" s="12"/>
    </row>
    <row r="1084" spans="4:4" x14ac:dyDescent="0.3">
      <c r="D1084" s="12"/>
    </row>
    <row r="1085" spans="4:4" x14ac:dyDescent="0.3">
      <c r="D1085" s="12"/>
    </row>
    <row r="1086" spans="4:4" x14ac:dyDescent="0.3">
      <c r="D1086" s="12"/>
    </row>
    <row r="1087" spans="4:4" x14ac:dyDescent="0.3">
      <c r="D1087" s="12"/>
    </row>
    <row r="1088" spans="4:4" x14ac:dyDescent="0.3">
      <c r="D1088" s="12"/>
    </row>
    <row r="1089" spans="4:4" x14ac:dyDescent="0.3">
      <c r="D1089" s="12"/>
    </row>
    <row r="1090" spans="4:4" x14ac:dyDescent="0.3">
      <c r="D1090" s="12"/>
    </row>
    <row r="1091" spans="4:4" x14ac:dyDescent="0.3">
      <c r="D1091" s="12"/>
    </row>
    <row r="1092" spans="4:4" x14ac:dyDescent="0.3">
      <c r="D1092" s="12"/>
    </row>
    <row r="1093" spans="4:4" x14ac:dyDescent="0.3">
      <c r="D1093" s="12"/>
    </row>
    <row r="1094" spans="4:4" x14ac:dyDescent="0.3">
      <c r="D1094" s="12"/>
    </row>
    <row r="1095" spans="4:4" x14ac:dyDescent="0.3">
      <c r="D1095" s="12"/>
    </row>
    <row r="1096" spans="4:4" x14ac:dyDescent="0.3">
      <c r="D1096" s="12"/>
    </row>
    <row r="1097" spans="4:4" x14ac:dyDescent="0.3">
      <c r="D1097" s="12"/>
    </row>
    <row r="1098" spans="4:4" x14ac:dyDescent="0.3">
      <c r="D1098" s="12"/>
    </row>
    <row r="1099" spans="4:4" x14ac:dyDescent="0.3">
      <c r="D1099" s="12"/>
    </row>
    <row r="1100" spans="4:4" x14ac:dyDescent="0.3">
      <c r="D1100" s="12"/>
    </row>
    <row r="1101" spans="4:4" x14ac:dyDescent="0.3">
      <c r="D1101" s="12"/>
    </row>
    <row r="1102" spans="4:4" x14ac:dyDescent="0.3">
      <c r="D1102" s="12"/>
    </row>
    <row r="1103" spans="4:4" x14ac:dyDescent="0.3">
      <c r="D1103" s="12"/>
    </row>
    <row r="1104" spans="4:4" x14ac:dyDescent="0.3">
      <c r="D1104" s="12"/>
    </row>
    <row r="1105" spans="4:4" x14ac:dyDescent="0.3">
      <c r="D1105" s="12"/>
    </row>
    <row r="1106" spans="4:4" x14ac:dyDescent="0.3">
      <c r="D1106" s="12"/>
    </row>
    <row r="1107" spans="4:4" x14ac:dyDescent="0.3">
      <c r="D1107" s="12"/>
    </row>
    <row r="1108" spans="4:4" x14ac:dyDescent="0.3">
      <c r="D1108" s="12"/>
    </row>
    <row r="1109" spans="4:4" x14ac:dyDescent="0.3">
      <c r="D1109" s="12"/>
    </row>
    <row r="1110" spans="4:4" x14ac:dyDescent="0.3">
      <c r="D1110" s="12"/>
    </row>
    <row r="1111" spans="4:4" x14ac:dyDescent="0.3">
      <c r="D1111" s="12"/>
    </row>
    <row r="1112" spans="4:4" x14ac:dyDescent="0.3">
      <c r="D1112" s="12"/>
    </row>
    <row r="1113" spans="4:4" x14ac:dyDescent="0.3">
      <c r="D1113" s="12"/>
    </row>
    <row r="1114" spans="4:4" x14ac:dyDescent="0.3">
      <c r="D1114" s="12"/>
    </row>
    <row r="1115" spans="4:4" x14ac:dyDescent="0.3">
      <c r="D1115" s="12"/>
    </row>
    <row r="1116" spans="4:4" x14ac:dyDescent="0.3">
      <c r="D1116" s="12"/>
    </row>
    <row r="1117" spans="4:4" x14ac:dyDescent="0.3">
      <c r="D1117" s="12"/>
    </row>
    <row r="1118" spans="4:4" x14ac:dyDescent="0.3">
      <c r="D1118" s="12"/>
    </row>
    <row r="1119" spans="4:4" x14ac:dyDescent="0.3">
      <c r="D1119" s="12"/>
    </row>
    <row r="1120" spans="4:4" x14ac:dyDescent="0.3">
      <c r="D1120" s="12"/>
    </row>
    <row r="1121" spans="4:4" x14ac:dyDescent="0.3">
      <c r="D1121" s="12"/>
    </row>
    <row r="1122" spans="4:4" x14ac:dyDescent="0.3">
      <c r="D1122" s="12"/>
    </row>
    <row r="1123" spans="4:4" x14ac:dyDescent="0.3">
      <c r="D1123" s="12"/>
    </row>
    <row r="1124" spans="4:4" x14ac:dyDescent="0.3">
      <c r="D1124" s="12"/>
    </row>
    <row r="1125" spans="4:4" x14ac:dyDescent="0.3">
      <c r="D1125" s="12"/>
    </row>
    <row r="1126" spans="4:4" x14ac:dyDescent="0.3">
      <c r="D1126" s="12"/>
    </row>
    <row r="1127" spans="4:4" x14ac:dyDescent="0.3">
      <c r="D1127" s="12"/>
    </row>
    <row r="1128" spans="4:4" x14ac:dyDescent="0.3">
      <c r="D1128" s="12"/>
    </row>
    <row r="1129" spans="4:4" x14ac:dyDescent="0.3">
      <c r="D1129" s="12"/>
    </row>
    <row r="1130" spans="4:4" x14ac:dyDescent="0.3">
      <c r="D1130" s="12"/>
    </row>
    <row r="1131" spans="4:4" x14ac:dyDescent="0.3">
      <c r="D1131" s="12"/>
    </row>
    <row r="1132" spans="4:4" x14ac:dyDescent="0.3">
      <c r="D1132" s="12"/>
    </row>
    <row r="1133" spans="4:4" x14ac:dyDescent="0.3">
      <c r="D1133" s="12"/>
    </row>
    <row r="1134" spans="4:4" x14ac:dyDescent="0.3">
      <c r="D1134" s="12"/>
    </row>
    <row r="1135" spans="4:4" x14ac:dyDescent="0.3">
      <c r="D1135" s="12"/>
    </row>
    <row r="1136" spans="4:4" x14ac:dyDescent="0.3">
      <c r="D1136" s="12"/>
    </row>
    <row r="1137" spans="4:4" x14ac:dyDescent="0.3">
      <c r="D1137" s="12"/>
    </row>
    <row r="1138" spans="4:4" x14ac:dyDescent="0.3">
      <c r="D1138" s="12"/>
    </row>
    <row r="1139" spans="4:4" x14ac:dyDescent="0.3">
      <c r="D1139" s="12"/>
    </row>
    <row r="1140" spans="4:4" x14ac:dyDescent="0.3">
      <c r="D1140" s="12"/>
    </row>
    <row r="1141" spans="4:4" x14ac:dyDescent="0.3">
      <c r="D1141" s="12"/>
    </row>
    <row r="1142" spans="4:4" x14ac:dyDescent="0.3">
      <c r="D1142" s="12"/>
    </row>
    <row r="1143" spans="4:4" x14ac:dyDescent="0.3">
      <c r="D1143" s="12"/>
    </row>
    <row r="1144" spans="4:4" x14ac:dyDescent="0.3">
      <c r="D1144" s="12"/>
    </row>
    <row r="1145" spans="4:4" x14ac:dyDescent="0.3">
      <c r="D1145" s="12"/>
    </row>
    <row r="1146" spans="4:4" x14ac:dyDescent="0.3">
      <c r="D1146" s="12"/>
    </row>
    <row r="1147" spans="4:4" x14ac:dyDescent="0.3">
      <c r="D1147" s="12"/>
    </row>
    <row r="1148" spans="4:4" x14ac:dyDescent="0.3">
      <c r="D1148" s="12"/>
    </row>
    <row r="1149" spans="4:4" x14ac:dyDescent="0.3">
      <c r="D1149" s="12"/>
    </row>
    <row r="1150" spans="4:4" x14ac:dyDescent="0.3">
      <c r="D1150" s="12"/>
    </row>
    <row r="1151" spans="4:4" x14ac:dyDescent="0.3">
      <c r="D1151" s="12"/>
    </row>
    <row r="1152" spans="4:4" x14ac:dyDescent="0.3">
      <c r="D1152" s="12"/>
    </row>
    <row r="1153" spans="4:4" x14ac:dyDescent="0.3">
      <c r="D1153" s="12"/>
    </row>
    <row r="1154" spans="4:4" x14ac:dyDescent="0.3">
      <c r="D1154" s="12"/>
    </row>
    <row r="1155" spans="4:4" x14ac:dyDescent="0.3">
      <c r="D1155" s="12"/>
    </row>
    <row r="1156" spans="4:4" x14ac:dyDescent="0.3">
      <c r="D1156" s="12"/>
    </row>
    <row r="1157" spans="4:4" x14ac:dyDescent="0.3">
      <c r="D1157" s="12"/>
    </row>
    <row r="1158" spans="4:4" x14ac:dyDescent="0.3">
      <c r="D1158" s="12"/>
    </row>
    <row r="1159" spans="4:4" x14ac:dyDescent="0.3">
      <c r="D1159" s="12"/>
    </row>
    <row r="1160" spans="4:4" x14ac:dyDescent="0.3">
      <c r="D1160" s="12"/>
    </row>
    <row r="1161" spans="4:4" x14ac:dyDescent="0.3">
      <c r="D1161" s="12"/>
    </row>
    <row r="1162" spans="4:4" x14ac:dyDescent="0.3">
      <c r="D1162" s="12"/>
    </row>
    <row r="1163" spans="4:4" x14ac:dyDescent="0.3">
      <c r="D1163" s="12"/>
    </row>
    <row r="1164" spans="4:4" x14ac:dyDescent="0.3">
      <c r="D1164" s="12"/>
    </row>
    <row r="1165" spans="4:4" x14ac:dyDescent="0.3">
      <c r="D1165" s="12"/>
    </row>
    <row r="1166" spans="4:4" x14ac:dyDescent="0.3">
      <c r="D1166" s="12"/>
    </row>
    <row r="1167" spans="4:4" x14ac:dyDescent="0.3">
      <c r="D1167" s="12"/>
    </row>
    <row r="1168" spans="4:4" x14ac:dyDescent="0.3">
      <c r="D1168" s="12"/>
    </row>
    <row r="1169" spans="4:4" x14ac:dyDescent="0.3">
      <c r="D1169" s="12"/>
    </row>
    <row r="1170" spans="4:4" x14ac:dyDescent="0.3">
      <c r="D1170" s="12"/>
    </row>
    <row r="1171" spans="4:4" x14ac:dyDescent="0.3">
      <c r="D1171" s="12"/>
    </row>
    <row r="1172" spans="4:4" x14ac:dyDescent="0.3">
      <c r="D1172" s="12"/>
    </row>
    <row r="1173" spans="4:4" x14ac:dyDescent="0.3">
      <c r="D1173" s="12"/>
    </row>
    <row r="1174" spans="4:4" x14ac:dyDescent="0.3">
      <c r="D1174" s="12"/>
    </row>
    <row r="1175" spans="4:4" x14ac:dyDescent="0.3">
      <c r="D1175" s="12"/>
    </row>
    <row r="1176" spans="4:4" x14ac:dyDescent="0.3">
      <c r="D1176" s="12"/>
    </row>
    <row r="1177" spans="4:4" x14ac:dyDescent="0.3">
      <c r="D1177" s="12"/>
    </row>
    <row r="1178" spans="4:4" x14ac:dyDescent="0.3">
      <c r="D1178" s="12"/>
    </row>
    <row r="1179" spans="4:4" x14ac:dyDescent="0.3">
      <c r="D1179" s="12"/>
    </row>
    <row r="1180" spans="4:4" x14ac:dyDescent="0.3">
      <c r="D1180" s="12"/>
    </row>
    <row r="1181" spans="4:4" x14ac:dyDescent="0.3">
      <c r="D1181" s="12"/>
    </row>
    <row r="1182" spans="4:4" x14ac:dyDescent="0.3">
      <c r="D1182" s="12"/>
    </row>
    <row r="1183" spans="4:4" x14ac:dyDescent="0.3">
      <c r="D1183" s="12"/>
    </row>
    <row r="1184" spans="4:4" x14ac:dyDescent="0.3">
      <c r="D1184" s="12"/>
    </row>
    <row r="1185" spans="4:4" x14ac:dyDescent="0.3">
      <c r="D1185" s="12"/>
    </row>
    <row r="1186" spans="4:4" x14ac:dyDescent="0.3">
      <c r="D1186" s="12"/>
    </row>
    <row r="1187" spans="4:4" x14ac:dyDescent="0.3">
      <c r="D1187" s="12"/>
    </row>
    <row r="1188" spans="4:4" x14ac:dyDescent="0.3">
      <c r="D1188" s="12"/>
    </row>
    <row r="1189" spans="4:4" x14ac:dyDescent="0.3">
      <c r="D1189" s="12"/>
    </row>
    <row r="1190" spans="4:4" x14ac:dyDescent="0.3">
      <c r="D1190" s="12"/>
    </row>
    <row r="1191" spans="4:4" x14ac:dyDescent="0.3">
      <c r="D1191" s="12"/>
    </row>
    <row r="1192" spans="4:4" x14ac:dyDescent="0.3">
      <c r="D1192" s="12"/>
    </row>
    <row r="1193" spans="4:4" x14ac:dyDescent="0.3">
      <c r="D1193" s="12"/>
    </row>
    <row r="1194" spans="4:4" x14ac:dyDescent="0.3">
      <c r="D1194" s="12"/>
    </row>
    <row r="1195" spans="4:4" x14ac:dyDescent="0.3">
      <c r="D1195" s="12"/>
    </row>
    <row r="1196" spans="4:4" x14ac:dyDescent="0.3">
      <c r="D1196" s="12"/>
    </row>
    <row r="1197" spans="4:4" x14ac:dyDescent="0.3">
      <c r="D1197" s="12"/>
    </row>
    <row r="1198" spans="4:4" x14ac:dyDescent="0.3">
      <c r="D1198" s="12"/>
    </row>
    <row r="1199" spans="4:4" x14ac:dyDescent="0.3">
      <c r="D1199" s="12"/>
    </row>
    <row r="1200" spans="4:4" x14ac:dyDescent="0.3">
      <c r="D1200" s="12"/>
    </row>
    <row r="1201" spans="4:4" x14ac:dyDescent="0.3">
      <c r="D1201" s="12"/>
    </row>
    <row r="1202" spans="4:4" x14ac:dyDescent="0.3">
      <c r="D1202" s="12"/>
    </row>
    <row r="1203" spans="4:4" x14ac:dyDescent="0.3">
      <c r="D1203" s="12"/>
    </row>
    <row r="1204" spans="4:4" x14ac:dyDescent="0.3">
      <c r="D1204" s="12"/>
    </row>
    <row r="1205" spans="4:4" x14ac:dyDescent="0.3">
      <c r="D1205" s="12"/>
    </row>
    <row r="1206" spans="4:4" x14ac:dyDescent="0.3">
      <c r="D1206" s="12"/>
    </row>
    <row r="1207" spans="4:4" x14ac:dyDescent="0.3">
      <c r="D1207" s="12"/>
    </row>
    <row r="1208" spans="4:4" x14ac:dyDescent="0.3">
      <c r="D1208" s="12"/>
    </row>
    <row r="1209" spans="4:4" x14ac:dyDescent="0.3">
      <c r="D1209" s="12"/>
    </row>
    <row r="1210" spans="4:4" x14ac:dyDescent="0.3">
      <c r="D1210" s="12"/>
    </row>
    <row r="1211" spans="4:4" x14ac:dyDescent="0.3">
      <c r="D1211" s="12"/>
    </row>
    <row r="1212" spans="4:4" x14ac:dyDescent="0.3">
      <c r="D1212" s="12"/>
    </row>
    <row r="1213" spans="4:4" x14ac:dyDescent="0.3">
      <c r="D1213" s="12"/>
    </row>
    <row r="1214" spans="4:4" x14ac:dyDescent="0.3">
      <c r="D1214" s="12"/>
    </row>
    <row r="1215" spans="4:4" x14ac:dyDescent="0.3">
      <c r="D1215" s="12"/>
    </row>
    <row r="1216" spans="4:4" x14ac:dyDescent="0.3">
      <c r="D1216" s="12"/>
    </row>
    <row r="1217" spans="4:4" x14ac:dyDescent="0.3">
      <c r="D1217" s="12"/>
    </row>
    <row r="1218" spans="4:4" x14ac:dyDescent="0.3">
      <c r="D1218" s="12"/>
    </row>
    <row r="1219" spans="4:4" x14ac:dyDescent="0.3">
      <c r="D1219" s="12"/>
    </row>
    <row r="1220" spans="4:4" x14ac:dyDescent="0.3">
      <c r="D1220" s="12"/>
    </row>
    <row r="1221" spans="4:4" x14ac:dyDescent="0.3">
      <c r="D1221" s="12"/>
    </row>
    <row r="1222" spans="4:4" x14ac:dyDescent="0.3">
      <c r="D1222" s="12"/>
    </row>
    <row r="1223" spans="4:4" x14ac:dyDescent="0.3">
      <c r="D1223" s="12"/>
    </row>
    <row r="1224" spans="4:4" x14ac:dyDescent="0.3">
      <c r="D1224" s="12"/>
    </row>
    <row r="1225" spans="4:4" x14ac:dyDescent="0.3">
      <c r="D1225" s="12"/>
    </row>
    <row r="1226" spans="4:4" x14ac:dyDescent="0.3">
      <c r="D1226" s="12"/>
    </row>
    <row r="1227" spans="4:4" x14ac:dyDescent="0.3">
      <c r="D1227" s="12"/>
    </row>
    <row r="1228" spans="4:4" x14ac:dyDescent="0.3">
      <c r="D1228" s="12"/>
    </row>
    <row r="1229" spans="4:4" x14ac:dyDescent="0.3">
      <c r="D1229" s="12"/>
    </row>
    <row r="1230" spans="4:4" x14ac:dyDescent="0.3">
      <c r="D1230" s="12"/>
    </row>
    <row r="1231" spans="4:4" x14ac:dyDescent="0.3">
      <c r="D1231" s="12"/>
    </row>
    <row r="1232" spans="4:4" x14ac:dyDescent="0.3">
      <c r="D1232" s="12"/>
    </row>
    <row r="1233" spans="4:4" x14ac:dyDescent="0.3">
      <c r="D1233" s="12"/>
    </row>
    <row r="1234" spans="4:4" x14ac:dyDescent="0.3">
      <c r="D1234" s="12"/>
    </row>
    <row r="1235" spans="4:4" x14ac:dyDescent="0.3">
      <c r="D1235" s="12"/>
    </row>
    <row r="1236" spans="4:4" x14ac:dyDescent="0.3">
      <c r="D1236" s="12"/>
    </row>
    <row r="1237" spans="4:4" x14ac:dyDescent="0.3">
      <c r="D1237" s="12"/>
    </row>
    <row r="1238" spans="4:4" x14ac:dyDescent="0.3">
      <c r="D1238" s="12"/>
    </row>
    <row r="1239" spans="4:4" x14ac:dyDescent="0.3">
      <c r="D1239" s="12"/>
    </row>
    <row r="1240" spans="4:4" x14ac:dyDescent="0.3">
      <c r="D1240" s="12"/>
    </row>
    <row r="1241" spans="4:4" x14ac:dyDescent="0.3">
      <c r="D1241" s="12"/>
    </row>
    <row r="1242" spans="4:4" x14ac:dyDescent="0.3">
      <c r="D1242" s="12"/>
    </row>
    <row r="1243" spans="4:4" x14ac:dyDescent="0.3">
      <c r="D1243" s="12"/>
    </row>
    <row r="1244" spans="4:4" x14ac:dyDescent="0.3">
      <c r="D1244" s="12"/>
    </row>
    <row r="1245" spans="4:4" x14ac:dyDescent="0.3">
      <c r="D1245" s="12"/>
    </row>
    <row r="1246" spans="4:4" x14ac:dyDescent="0.3">
      <c r="D1246" s="12"/>
    </row>
    <row r="1247" spans="4:4" x14ac:dyDescent="0.3">
      <c r="D1247" s="12"/>
    </row>
    <row r="1248" spans="4:4" x14ac:dyDescent="0.3">
      <c r="D1248" s="12"/>
    </row>
    <row r="1249" spans="4:4" x14ac:dyDescent="0.3">
      <c r="D1249" s="12"/>
    </row>
    <row r="1250" spans="4:4" x14ac:dyDescent="0.3">
      <c r="D1250" s="12"/>
    </row>
    <row r="1251" spans="4:4" x14ac:dyDescent="0.3">
      <c r="D1251" s="12"/>
    </row>
    <row r="1252" spans="4:4" x14ac:dyDescent="0.3">
      <c r="D1252" s="12"/>
    </row>
    <row r="1253" spans="4:4" x14ac:dyDescent="0.3">
      <c r="D1253" s="12"/>
    </row>
    <row r="1254" spans="4:4" x14ac:dyDescent="0.3">
      <c r="D1254" s="12"/>
    </row>
    <row r="1255" spans="4:4" x14ac:dyDescent="0.3">
      <c r="D1255" s="12"/>
    </row>
    <row r="1256" spans="4:4" x14ac:dyDescent="0.3">
      <c r="D1256" s="12"/>
    </row>
    <row r="1257" spans="4:4" x14ac:dyDescent="0.3">
      <c r="D1257" s="12"/>
    </row>
    <row r="1258" spans="4:4" x14ac:dyDescent="0.3">
      <c r="D1258" s="12"/>
    </row>
    <row r="1259" spans="4:4" x14ac:dyDescent="0.3">
      <c r="D1259" s="12"/>
    </row>
    <row r="1260" spans="4:4" x14ac:dyDescent="0.3">
      <c r="D1260" s="12"/>
    </row>
    <row r="1261" spans="4:4" x14ac:dyDescent="0.3">
      <c r="D1261" s="12"/>
    </row>
    <row r="1262" spans="4:4" x14ac:dyDescent="0.3">
      <c r="D1262" s="12"/>
    </row>
    <row r="1263" spans="4:4" x14ac:dyDescent="0.3">
      <c r="D1263" s="12"/>
    </row>
    <row r="1264" spans="4:4" x14ac:dyDescent="0.3">
      <c r="D1264" s="12"/>
    </row>
    <row r="1265" spans="4:4" x14ac:dyDescent="0.3">
      <c r="D1265" s="12"/>
    </row>
    <row r="1266" spans="4:4" x14ac:dyDescent="0.3">
      <c r="D1266" s="12"/>
    </row>
    <row r="1267" spans="4:4" x14ac:dyDescent="0.3">
      <c r="D1267" s="12"/>
    </row>
    <row r="1268" spans="4:4" x14ac:dyDescent="0.3">
      <c r="D1268" s="12"/>
    </row>
    <row r="1269" spans="4:4" x14ac:dyDescent="0.3">
      <c r="D1269" s="12"/>
    </row>
    <row r="1270" spans="4:4" x14ac:dyDescent="0.3">
      <c r="D1270" s="12"/>
    </row>
    <row r="1271" spans="4:4" x14ac:dyDescent="0.3">
      <c r="D1271" s="12"/>
    </row>
    <row r="1272" spans="4:4" x14ac:dyDescent="0.3">
      <c r="D1272" s="12"/>
    </row>
    <row r="1273" spans="4:4" x14ac:dyDescent="0.3">
      <c r="D1273" s="12"/>
    </row>
    <row r="1274" spans="4:4" x14ac:dyDescent="0.3">
      <c r="D1274" s="12"/>
    </row>
    <row r="1275" spans="4:4" x14ac:dyDescent="0.3">
      <c r="D1275" s="12"/>
    </row>
    <row r="1276" spans="4:4" x14ac:dyDescent="0.3">
      <c r="D1276" s="12"/>
    </row>
    <row r="1277" spans="4:4" x14ac:dyDescent="0.3">
      <c r="D1277" s="12"/>
    </row>
    <row r="1278" spans="4:4" x14ac:dyDescent="0.3">
      <c r="D1278" s="12"/>
    </row>
    <row r="1279" spans="4:4" x14ac:dyDescent="0.3">
      <c r="D1279" s="12"/>
    </row>
    <row r="1280" spans="4:4" x14ac:dyDescent="0.3">
      <c r="D1280" s="12"/>
    </row>
    <row r="1281" spans="4:4" x14ac:dyDescent="0.3">
      <c r="D1281" s="12"/>
    </row>
    <row r="1282" spans="4:4" x14ac:dyDescent="0.3">
      <c r="D1282" s="12"/>
    </row>
    <row r="1283" spans="4:4" x14ac:dyDescent="0.3">
      <c r="D1283" s="12"/>
    </row>
    <row r="1284" spans="4:4" x14ac:dyDescent="0.3">
      <c r="D1284" s="12"/>
    </row>
    <row r="1285" spans="4:4" x14ac:dyDescent="0.3">
      <c r="D1285" s="12"/>
    </row>
    <row r="1286" spans="4:4" x14ac:dyDescent="0.3">
      <c r="D1286" s="12"/>
    </row>
    <row r="1287" spans="4:4" x14ac:dyDescent="0.3">
      <c r="D1287" s="12"/>
    </row>
    <row r="1288" spans="4:4" x14ac:dyDescent="0.3">
      <c r="D1288" s="12"/>
    </row>
    <row r="1289" spans="4:4" x14ac:dyDescent="0.3">
      <c r="D1289" s="12"/>
    </row>
    <row r="1290" spans="4:4" x14ac:dyDescent="0.3">
      <c r="D1290" s="12"/>
    </row>
    <row r="1291" spans="4:4" x14ac:dyDescent="0.3">
      <c r="D1291" s="12"/>
    </row>
    <row r="1292" spans="4:4" x14ac:dyDescent="0.3">
      <c r="D1292" s="12"/>
    </row>
    <row r="1293" spans="4:4" x14ac:dyDescent="0.3">
      <c r="D1293" s="12"/>
    </row>
    <row r="1294" spans="4:4" x14ac:dyDescent="0.3">
      <c r="D1294" s="12"/>
    </row>
    <row r="1295" spans="4:4" x14ac:dyDescent="0.3">
      <c r="D1295" s="12"/>
    </row>
    <row r="1296" spans="4:4" x14ac:dyDescent="0.3">
      <c r="D1296" s="12"/>
    </row>
    <row r="1297" spans="4:4" x14ac:dyDescent="0.3">
      <c r="D1297" s="12"/>
    </row>
    <row r="1298" spans="4:4" x14ac:dyDescent="0.3">
      <c r="D1298" s="12"/>
    </row>
    <row r="1299" spans="4:4" x14ac:dyDescent="0.3">
      <c r="D1299" s="12"/>
    </row>
    <row r="1300" spans="4:4" x14ac:dyDescent="0.3">
      <c r="D1300" s="12"/>
    </row>
    <row r="1301" spans="4:4" x14ac:dyDescent="0.3">
      <c r="D1301" s="12"/>
    </row>
    <row r="1302" spans="4:4" x14ac:dyDescent="0.3">
      <c r="D1302" s="12"/>
    </row>
    <row r="1303" spans="4:4" x14ac:dyDescent="0.3">
      <c r="D1303" s="12"/>
    </row>
    <row r="1304" spans="4:4" x14ac:dyDescent="0.3">
      <c r="D1304" s="12"/>
    </row>
    <row r="1305" spans="4:4" x14ac:dyDescent="0.3">
      <c r="D1305" s="12"/>
    </row>
    <row r="1306" spans="4:4" x14ac:dyDescent="0.3">
      <c r="D1306" s="12"/>
    </row>
    <row r="1307" spans="4:4" x14ac:dyDescent="0.3">
      <c r="D1307" s="12"/>
    </row>
    <row r="1308" spans="4:4" x14ac:dyDescent="0.3">
      <c r="D1308" s="12"/>
    </row>
    <row r="1309" spans="4:4" x14ac:dyDescent="0.3">
      <c r="D1309" s="12"/>
    </row>
    <row r="1310" spans="4:4" x14ac:dyDescent="0.3">
      <c r="D1310" s="12"/>
    </row>
    <row r="1311" spans="4:4" x14ac:dyDescent="0.3">
      <c r="D1311" s="12"/>
    </row>
    <row r="1312" spans="4:4" x14ac:dyDescent="0.3">
      <c r="D1312" s="12"/>
    </row>
    <row r="1313" spans="4:4" x14ac:dyDescent="0.3">
      <c r="D1313" s="12"/>
    </row>
    <row r="1314" spans="4:4" x14ac:dyDescent="0.3">
      <c r="D1314" s="12"/>
    </row>
    <row r="1315" spans="4:4" x14ac:dyDescent="0.3">
      <c r="D1315" s="12"/>
    </row>
    <row r="1316" spans="4:4" x14ac:dyDescent="0.3">
      <c r="D1316" s="12"/>
    </row>
    <row r="1317" spans="4:4" x14ac:dyDescent="0.3">
      <c r="D1317" s="12"/>
    </row>
    <row r="1318" spans="4:4" x14ac:dyDescent="0.3">
      <c r="D1318" s="12"/>
    </row>
    <row r="1319" spans="4:4" x14ac:dyDescent="0.3">
      <c r="D1319" s="12"/>
    </row>
    <row r="1320" spans="4:4" x14ac:dyDescent="0.3">
      <c r="D1320" s="12"/>
    </row>
    <row r="1321" spans="4:4" x14ac:dyDescent="0.3">
      <c r="D1321" s="12"/>
    </row>
    <row r="1322" spans="4:4" x14ac:dyDescent="0.3">
      <c r="D1322" s="12"/>
    </row>
    <row r="1323" spans="4:4" x14ac:dyDescent="0.3">
      <c r="D1323" s="12"/>
    </row>
    <row r="1324" spans="4:4" x14ac:dyDescent="0.3">
      <c r="D1324" s="12"/>
    </row>
    <row r="1325" spans="4:4" x14ac:dyDescent="0.3">
      <c r="D1325" s="12"/>
    </row>
    <row r="1326" spans="4:4" x14ac:dyDescent="0.3">
      <c r="D1326" s="12"/>
    </row>
    <row r="1327" spans="4:4" x14ac:dyDescent="0.3">
      <c r="D1327" s="12"/>
    </row>
    <row r="1328" spans="4:4" x14ac:dyDescent="0.3">
      <c r="D1328" s="12"/>
    </row>
    <row r="1329" spans="4:4" x14ac:dyDescent="0.3">
      <c r="D1329" s="12"/>
    </row>
    <row r="1330" spans="4:4" x14ac:dyDescent="0.3">
      <c r="D1330" s="12"/>
    </row>
    <row r="1331" spans="4:4" x14ac:dyDescent="0.3">
      <c r="D1331" s="12"/>
    </row>
    <row r="1332" spans="4:4" x14ac:dyDescent="0.3">
      <c r="D1332" s="12"/>
    </row>
    <row r="1333" spans="4:4" x14ac:dyDescent="0.3">
      <c r="D1333" s="12"/>
    </row>
    <row r="1334" spans="4:4" x14ac:dyDescent="0.3">
      <c r="D1334" s="12"/>
    </row>
    <row r="1335" spans="4:4" x14ac:dyDescent="0.3">
      <c r="D1335" s="12"/>
    </row>
    <row r="1336" spans="4:4" x14ac:dyDescent="0.3">
      <c r="D1336" s="12"/>
    </row>
    <row r="1337" spans="4:4" x14ac:dyDescent="0.3">
      <c r="D1337" s="12"/>
    </row>
    <row r="1338" spans="4:4" x14ac:dyDescent="0.3">
      <c r="D1338" s="12"/>
    </row>
    <row r="1339" spans="4:4" x14ac:dyDescent="0.3">
      <c r="D1339" s="12"/>
    </row>
    <row r="1340" spans="4:4" x14ac:dyDescent="0.3">
      <c r="D1340" s="12"/>
    </row>
    <row r="1341" spans="4:4" x14ac:dyDescent="0.3">
      <c r="D1341" s="12"/>
    </row>
    <row r="1342" spans="4:4" x14ac:dyDescent="0.3">
      <c r="D1342" s="12"/>
    </row>
    <row r="1343" spans="4:4" x14ac:dyDescent="0.3">
      <c r="D1343" s="12"/>
    </row>
    <row r="1344" spans="4:4" x14ac:dyDescent="0.3">
      <c r="D1344" s="12"/>
    </row>
    <row r="1345" spans="4:4" x14ac:dyDescent="0.3">
      <c r="D1345" s="12"/>
    </row>
    <row r="1346" spans="4:4" x14ac:dyDescent="0.3">
      <c r="D1346" s="12"/>
    </row>
    <row r="1347" spans="4:4" x14ac:dyDescent="0.3">
      <c r="D1347" s="12"/>
    </row>
    <row r="1348" spans="4:4" x14ac:dyDescent="0.3">
      <c r="D1348" s="12"/>
    </row>
    <row r="1349" spans="4:4" x14ac:dyDescent="0.3">
      <c r="D1349" s="12"/>
    </row>
    <row r="1350" spans="4:4" x14ac:dyDescent="0.3">
      <c r="D1350" s="12"/>
    </row>
    <row r="1351" spans="4:4" x14ac:dyDescent="0.3">
      <c r="D1351" s="12"/>
    </row>
    <row r="1352" spans="4:4" x14ac:dyDescent="0.3">
      <c r="D1352" s="12"/>
    </row>
    <row r="1353" spans="4:4" x14ac:dyDescent="0.3">
      <c r="D1353" s="12"/>
    </row>
  </sheetData>
  <mergeCells count="21">
    <mergeCell ref="H8:I8"/>
    <mergeCell ref="C2:J2"/>
    <mergeCell ref="H9:I9"/>
    <mergeCell ref="H10:I10"/>
    <mergeCell ref="C10:D10"/>
    <mergeCell ref="C15:J15"/>
    <mergeCell ref="A4:A5"/>
    <mergeCell ref="C4:D4"/>
    <mergeCell ref="C5:D5"/>
    <mergeCell ref="C6:D6"/>
    <mergeCell ref="C7:D7"/>
    <mergeCell ref="C9:D9"/>
    <mergeCell ref="C12:D12"/>
    <mergeCell ref="A6:A7"/>
    <mergeCell ref="C11:D11"/>
    <mergeCell ref="C13:D13"/>
    <mergeCell ref="C8:D8"/>
    <mergeCell ref="H4:I4"/>
    <mergeCell ref="H5:I5"/>
    <mergeCell ref="H6:I6"/>
    <mergeCell ref="H7:I7"/>
  </mergeCells>
  <conditionalFormatting sqref="C17:J256">
    <cfRule type="expression" dxfId="0" priority="1">
      <formula>MOD(ROW(),2)=0</formula>
    </cfRule>
  </conditionalFormatting>
  <pageMargins left="0.7" right="0.7" top="0.75" bottom="0.75" header="0.3" footer="0.3"/>
  <drawing r:id="rId1"/>
  <extLst>
    <ext xmlns:x14="http://schemas.microsoft.com/office/spreadsheetml/2009/9/main" uri="{CCE6A557-97BC-4b89-ADB6-D9C93CAAB3DF}">
      <x14:dataValidations xmlns:xm="http://schemas.microsoft.com/office/excel/2006/main" count="1">
        <x14:dataValidation type="list" allowBlank="1" showInputMessage="1" showErrorMessage="1" xr:uid="{F78DD5E4-534B-4F42-A41B-34D399B701E1}">
          <x14:formula1>
            <xm:f>'Clean Data'!$A:$A</xm:f>
          </x14:formula1>
          <xm:sqref>A8 A6</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69CC4C-7F92-49EF-A756-4F712E9EDD74}">
  <dimension ref="A1:E31"/>
  <sheetViews>
    <sheetView zoomScale="51" workbookViewId="0">
      <selection activeCell="X13" sqref="X13"/>
    </sheetView>
  </sheetViews>
  <sheetFormatPr defaultRowHeight="14" x14ac:dyDescent="0.3"/>
  <cols>
    <col min="1" max="1" width="16.9140625" bestFit="1" customWidth="1"/>
    <col min="2" max="2" width="18.58203125" bestFit="1" customWidth="1"/>
    <col min="3" max="3" width="12.83203125" bestFit="1" customWidth="1"/>
    <col min="4" max="6" width="14.1640625" bestFit="1" customWidth="1"/>
  </cols>
  <sheetData>
    <row r="1" spans="1:5" x14ac:dyDescent="0.3">
      <c r="A1" s="37" t="s">
        <v>3</v>
      </c>
      <c r="B1" t="s">
        <v>187</v>
      </c>
    </row>
    <row r="3" spans="1:5" x14ac:dyDescent="0.3">
      <c r="A3" s="37" t="s">
        <v>2687</v>
      </c>
      <c r="B3" s="37" t="s">
        <v>2686</v>
      </c>
    </row>
    <row r="4" spans="1:5" x14ac:dyDescent="0.3">
      <c r="A4" s="37" t="s">
        <v>2684</v>
      </c>
      <c r="B4" t="s">
        <v>16</v>
      </c>
      <c r="C4" t="s">
        <v>20</v>
      </c>
      <c r="D4" t="s">
        <v>60</v>
      </c>
      <c r="E4" t="s">
        <v>2685</v>
      </c>
    </row>
    <row r="5" spans="1:5" x14ac:dyDescent="0.3">
      <c r="A5" s="38" t="s">
        <v>37</v>
      </c>
      <c r="B5" s="47"/>
      <c r="C5" s="47">
        <v>62113.724464265986</v>
      </c>
      <c r="D5" s="47">
        <v>74789.597383664324</v>
      </c>
      <c r="E5" s="47">
        <v>136903.32184793032</v>
      </c>
    </row>
    <row r="6" spans="1:5" x14ac:dyDescent="0.3">
      <c r="A6" s="38" t="s">
        <v>42</v>
      </c>
      <c r="B6" s="47">
        <v>17758.217916258742</v>
      </c>
      <c r="C6" s="47">
        <v>48636.095900858425</v>
      </c>
      <c r="D6" s="47">
        <v>12614.607513160639</v>
      </c>
      <c r="E6" s="47">
        <v>79008.921330277793</v>
      </c>
    </row>
    <row r="7" spans="1:5" x14ac:dyDescent="0.3">
      <c r="A7" s="38" t="s">
        <v>18</v>
      </c>
      <c r="B7" s="47">
        <v>20651.351885270593</v>
      </c>
      <c r="C7" s="47">
        <v>16839.046440527647</v>
      </c>
      <c r="D7" s="47"/>
      <c r="E7" s="47">
        <v>37490.39832579824</v>
      </c>
    </row>
    <row r="8" spans="1:5" x14ac:dyDescent="0.3">
      <c r="A8" s="38" t="s">
        <v>32</v>
      </c>
      <c r="B8" s="47">
        <v>12102.689086911691</v>
      </c>
      <c r="C8" s="47">
        <v>6001.9291510050989</v>
      </c>
      <c r="D8" s="47"/>
      <c r="E8" s="47">
        <v>18104.618237916788</v>
      </c>
    </row>
    <row r="9" spans="1:5" x14ac:dyDescent="0.3">
      <c r="A9" s="38" t="s">
        <v>23</v>
      </c>
      <c r="B9" s="47"/>
      <c r="C9" s="47">
        <v>153560.08696069676</v>
      </c>
      <c r="D9" s="47">
        <v>89868.717482406617</v>
      </c>
      <c r="E9" s="47">
        <v>243428.80444310338</v>
      </c>
    </row>
    <row r="10" spans="1:5" x14ac:dyDescent="0.3">
      <c r="A10" s="38" t="s">
        <v>27</v>
      </c>
      <c r="B10" s="47"/>
      <c r="C10" s="47">
        <v>7046.9512548455041</v>
      </c>
      <c r="D10" s="47">
        <v>4773.3959674777834</v>
      </c>
      <c r="E10" s="47">
        <v>11820.347222323287</v>
      </c>
    </row>
    <row r="11" spans="1:5" x14ac:dyDescent="0.3">
      <c r="A11" s="38" t="s">
        <v>15</v>
      </c>
      <c r="B11" s="47">
        <v>29204.751403117862</v>
      </c>
      <c r="C11" s="47">
        <v>6991.6508612717125</v>
      </c>
      <c r="D11" s="47"/>
      <c r="E11" s="47">
        <v>36196.402264389573</v>
      </c>
    </row>
    <row r="12" spans="1:5" x14ac:dyDescent="0.3">
      <c r="A12" s="38" t="s">
        <v>2685</v>
      </c>
      <c r="B12" s="47">
        <v>79717.01029155888</v>
      </c>
      <c r="C12" s="47">
        <v>301189.48503347108</v>
      </c>
      <c r="D12" s="47">
        <v>182046.31834670936</v>
      </c>
      <c r="E12" s="47">
        <v>562952.81367173942</v>
      </c>
    </row>
    <row r="23" spans="1:2" x14ac:dyDescent="0.3">
      <c r="A23" s="37" t="s">
        <v>2684</v>
      </c>
      <c r="B23" t="s">
        <v>2693</v>
      </c>
    </row>
    <row r="24" spans="1:2" x14ac:dyDescent="0.3">
      <c r="A24" s="38" t="s">
        <v>37</v>
      </c>
      <c r="B24" s="47">
        <v>6</v>
      </c>
    </row>
    <row r="25" spans="1:2" x14ac:dyDescent="0.3">
      <c r="A25" s="38" t="s">
        <v>42</v>
      </c>
      <c r="B25" s="47">
        <v>1</v>
      </c>
    </row>
    <row r="26" spans="1:2" x14ac:dyDescent="0.3">
      <c r="A26" s="38" t="s">
        <v>18</v>
      </c>
      <c r="B26" s="47">
        <v>4</v>
      </c>
    </row>
    <row r="27" spans="1:2" x14ac:dyDescent="0.3">
      <c r="A27" s="38" t="s">
        <v>32</v>
      </c>
      <c r="B27" s="47">
        <v>5</v>
      </c>
    </row>
    <row r="28" spans="1:2" x14ac:dyDescent="0.3">
      <c r="A28" s="38" t="s">
        <v>23</v>
      </c>
      <c r="B28" s="47">
        <v>7</v>
      </c>
    </row>
    <row r="29" spans="1:2" x14ac:dyDescent="0.3">
      <c r="A29" s="38" t="s">
        <v>27</v>
      </c>
      <c r="B29" s="47">
        <v>4</v>
      </c>
    </row>
    <row r="30" spans="1:2" x14ac:dyDescent="0.3">
      <c r="A30" s="38" t="s">
        <v>15</v>
      </c>
      <c r="B30" s="47">
        <v>1</v>
      </c>
    </row>
    <row r="31" spans="1:2" x14ac:dyDescent="0.3">
      <c r="A31" s="38" t="s">
        <v>2685</v>
      </c>
      <c r="B31" s="47">
        <v>28</v>
      </c>
    </row>
  </sheetData>
  <pageMargins left="0.7" right="0.7" top="0.75" bottom="0.75" header="0.3" footer="0.3"/>
  <drawing r:id="rId3"/>
  <extLst>
    <ext xmlns:x14="http://schemas.microsoft.com/office/spreadsheetml/2009/9/main" uri="{A8765BA9-456A-4dab-B4F3-ACF838C121DE}">
      <x14:slicerList>
        <x14:slicer r:id="rId4"/>
      </x14:slicerList>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DEF76C5-52F7-4FAD-A71D-C016F6D4CC87}">
  <dimension ref="A1:T74"/>
  <sheetViews>
    <sheetView zoomScale="38" workbookViewId="0">
      <selection activeCell="Q10" sqref="Q10"/>
    </sheetView>
  </sheetViews>
  <sheetFormatPr defaultRowHeight="14" x14ac:dyDescent="0.3"/>
  <cols>
    <col min="1" max="1" width="15.5" bestFit="1" customWidth="1"/>
    <col min="2" max="2" width="16.75" bestFit="1" customWidth="1"/>
    <col min="19" max="19" width="18.75" bestFit="1" customWidth="1"/>
    <col min="20" max="20" width="26.1640625" bestFit="1" customWidth="1"/>
  </cols>
  <sheetData>
    <row r="1" spans="1:20" x14ac:dyDescent="0.3">
      <c r="A1" s="37" t="s">
        <v>2</v>
      </c>
      <c r="B1" t="s">
        <v>2688</v>
      </c>
      <c r="S1" s="37" t="s">
        <v>2</v>
      </c>
      <c r="T1" t="s">
        <v>2688</v>
      </c>
    </row>
    <row r="2" spans="1:20" x14ac:dyDescent="0.3">
      <c r="A2" s="37" t="s">
        <v>3</v>
      </c>
      <c r="B2" t="s">
        <v>2688</v>
      </c>
    </row>
    <row r="3" spans="1:20" x14ac:dyDescent="0.3">
      <c r="S3" s="37" t="s">
        <v>2684</v>
      </c>
      <c r="T3" t="s">
        <v>2694</v>
      </c>
    </row>
    <row r="4" spans="1:20" x14ac:dyDescent="0.3">
      <c r="A4" s="37" t="s">
        <v>2684</v>
      </c>
      <c r="B4" t="s">
        <v>2692</v>
      </c>
      <c r="S4" s="38" t="s">
        <v>37</v>
      </c>
      <c r="T4">
        <v>112706</v>
      </c>
    </row>
    <row r="5" spans="1:20" x14ac:dyDescent="0.3">
      <c r="A5" s="38" t="s">
        <v>37</v>
      </c>
      <c r="B5">
        <v>423820000</v>
      </c>
      <c r="S5" s="38" t="s">
        <v>42</v>
      </c>
      <c r="T5">
        <v>101843</v>
      </c>
    </row>
    <row r="6" spans="1:20" x14ac:dyDescent="0.3">
      <c r="A6" s="38" t="s">
        <v>42</v>
      </c>
      <c r="B6">
        <v>135950000</v>
      </c>
      <c r="S6" s="38" t="s">
        <v>18</v>
      </c>
      <c r="T6">
        <v>96734</v>
      </c>
    </row>
    <row r="7" spans="1:20" x14ac:dyDescent="0.3">
      <c r="A7" s="38" t="s">
        <v>18</v>
      </c>
      <c r="B7">
        <v>147150000</v>
      </c>
      <c r="S7" s="38" t="s">
        <v>32</v>
      </c>
      <c r="T7">
        <v>104552</v>
      </c>
    </row>
    <row r="8" spans="1:20" x14ac:dyDescent="0.3">
      <c r="A8" s="38" t="s">
        <v>32</v>
      </c>
      <c r="B8">
        <v>40350000</v>
      </c>
      <c r="S8" s="38" t="s">
        <v>23</v>
      </c>
      <c r="T8">
        <v>101360</v>
      </c>
    </row>
    <row r="9" spans="1:20" x14ac:dyDescent="0.3">
      <c r="A9" s="38" t="s">
        <v>23</v>
      </c>
      <c r="B9">
        <v>780240000</v>
      </c>
      <c r="S9" s="38" t="s">
        <v>27</v>
      </c>
      <c r="T9">
        <v>115358</v>
      </c>
    </row>
    <row r="10" spans="1:20" x14ac:dyDescent="0.3">
      <c r="A10" s="38" t="s">
        <v>27</v>
      </c>
      <c r="B10">
        <v>84650000</v>
      </c>
      <c r="S10" s="38" t="s">
        <v>15</v>
      </c>
      <c r="T10">
        <v>92586</v>
      </c>
    </row>
    <row r="11" spans="1:20" x14ac:dyDescent="0.3">
      <c r="A11" s="38" t="s">
        <v>15</v>
      </c>
      <c r="B11">
        <v>136060000</v>
      </c>
      <c r="S11" s="38" t="s">
        <v>2685</v>
      </c>
      <c r="T11">
        <v>725139</v>
      </c>
    </row>
    <row r="12" spans="1:20" x14ac:dyDescent="0.3">
      <c r="A12" s="38" t="s">
        <v>2685</v>
      </c>
      <c r="B12">
        <v>1748220000</v>
      </c>
    </row>
    <row r="17" spans="1:20" x14ac:dyDescent="0.3">
      <c r="A17" s="37" t="s">
        <v>5</v>
      </c>
      <c r="B17" t="s">
        <v>2688</v>
      </c>
    </row>
    <row r="19" spans="1:20" x14ac:dyDescent="0.3">
      <c r="A19" s="37" t="s">
        <v>2684</v>
      </c>
      <c r="B19" t="s">
        <v>2693</v>
      </c>
      <c r="S19" s="37" t="s">
        <v>5</v>
      </c>
      <c r="T19" t="s">
        <v>23</v>
      </c>
    </row>
    <row r="20" spans="1:20" x14ac:dyDescent="0.3">
      <c r="A20" s="38" t="s">
        <v>16</v>
      </c>
      <c r="B20" s="47">
        <v>10</v>
      </c>
    </row>
    <row r="21" spans="1:20" x14ac:dyDescent="0.3">
      <c r="A21" s="38" t="s">
        <v>20</v>
      </c>
      <c r="B21" s="47">
        <v>8</v>
      </c>
      <c r="S21" s="37" t="s">
        <v>2684</v>
      </c>
      <c r="T21" t="s">
        <v>2692</v>
      </c>
    </row>
    <row r="22" spans="1:20" x14ac:dyDescent="0.3">
      <c r="A22" s="38" t="s">
        <v>60</v>
      </c>
      <c r="B22" s="47">
        <v>2</v>
      </c>
      <c r="S22" s="38">
        <v>7.4999999999999997E-2</v>
      </c>
      <c r="T22" s="47">
        <v>42170000</v>
      </c>
    </row>
    <row r="23" spans="1:20" x14ac:dyDescent="0.3">
      <c r="A23" s="38" t="s">
        <v>312</v>
      </c>
      <c r="B23" s="47">
        <v>3</v>
      </c>
      <c r="S23" s="38">
        <v>0.08</v>
      </c>
      <c r="T23" s="47">
        <v>66640000</v>
      </c>
    </row>
    <row r="24" spans="1:20" x14ac:dyDescent="0.3">
      <c r="A24" s="38" t="s">
        <v>2685</v>
      </c>
      <c r="B24" s="47">
        <v>23</v>
      </c>
      <c r="S24" s="38">
        <v>8.5000000000000006E-2</v>
      </c>
      <c r="T24" s="47">
        <v>45220000</v>
      </c>
    </row>
    <row r="25" spans="1:20" x14ac:dyDescent="0.3">
      <c r="S25" s="38">
        <v>0.09</v>
      </c>
      <c r="T25" s="47">
        <v>49750000</v>
      </c>
    </row>
    <row r="26" spans="1:20" x14ac:dyDescent="0.3">
      <c r="S26" s="38">
        <v>9.5000000000000001E-2</v>
      </c>
      <c r="T26" s="47">
        <v>60090000</v>
      </c>
    </row>
    <row r="27" spans="1:20" x14ac:dyDescent="0.3">
      <c r="S27" s="38">
        <v>0.1</v>
      </c>
      <c r="T27" s="47">
        <v>72320000</v>
      </c>
    </row>
    <row r="28" spans="1:20" x14ac:dyDescent="0.3">
      <c r="S28" s="38">
        <v>0.105</v>
      </c>
      <c r="T28" s="47">
        <v>65220000</v>
      </c>
    </row>
    <row r="29" spans="1:20" x14ac:dyDescent="0.3">
      <c r="S29" s="38">
        <v>0.11</v>
      </c>
      <c r="T29" s="47">
        <v>62590000</v>
      </c>
    </row>
    <row r="30" spans="1:20" x14ac:dyDescent="0.3">
      <c r="S30" s="38">
        <v>0.115</v>
      </c>
      <c r="T30" s="47">
        <v>71900000</v>
      </c>
    </row>
    <row r="31" spans="1:20" x14ac:dyDescent="0.3">
      <c r="S31" s="38">
        <v>0.12</v>
      </c>
      <c r="T31" s="47">
        <v>71880000</v>
      </c>
    </row>
    <row r="32" spans="1:20" x14ac:dyDescent="0.3">
      <c r="S32" s="38">
        <v>0.125</v>
      </c>
      <c r="T32" s="47">
        <v>68310000</v>
      </c>
    </row>
    <row r="33" spans="1:20" x14ac:dyDescent="0.3">
      <c r="A33" s="37" t="s">
        <v>2</v>
      </c>
      <c r="B33" t="s">
        <v>2688</v>
      </c>
      <c r="S33" s="38">
        <v>0.13</v>
      </c>
      <c r="T33" s="47">
        <v>104150000</v>
      </c>
    </row>
    <row r="34" spans="1:20" x14ac:dyDescent="0.3">
      <c r="S34" s="38" t="s">
        <v>2685</v>
      </c>
      <c r="T34" s="47">
        <v>780240000</v>
      </c>
    </row>
    <row r="35" spans="1:20" x14ac:dyDescent="0.3">
      <c r="A35" s="37" t="s">
        <v>2684</v>
      </c>
      <c r="B35" t="s">
        <v>2692</v>
      </c>
    </row>
    <row r="36" spans="1:20" x14ac:dyDescent="0.3">
      <c r="A36" s="38" t="s">
        <v>25</v>
      </c>
      <c r="B36">
        <v>73200000</v>
      </c>
    </row>
    <row r="37" spans="1:20" x14ac:dyDescent="0.3">
      <c r="A37" s="38" t="s">
        <v>187</v>
      </c>
      <c r="B37">
        <v>28020000</v>
      </c>
    </row>
    <row r="38" spans="1:20" x14ac:dyDescent="0.3">
      <c r="A38" s="38" t="s">
        <v>222</v>
      </c>
      <c r="B38">
        <v>45370000</v>
      </c>
    </row>
    <row r="39" spans="1:20" x14ac:dyDescent="0.3">
      <c r="A39" s="38" t="s">
        <v>56</v>
      </c>
      <c r="B39">
        <v>51710000</v>
      </c>
    </row>
    <row r="40" spans="1:20" x14ac:dyDescent="0.3">
      <c r="A40" s="38" t="s">
        <v>115</v>
      </c>
      <c r="B40">
        <v>29260000</v>
      </c>
    </row>
    <row r="41" spans="1:20" x14ac:dyDescent="0.3">
      <c r="A41" s="38" t="s">
        <v>29</v>
      </c>
      <c r="B41">
        <v>52730000</v>
      </c>
    </row>
    <row r="42" spans="1:20" x14ac:dyDescent="0.3">
      <c r="A42" s="38" t="s">
        <v>159</v>
      </c>
      <c r="B42">
        <v>60100000</v>
      </c>
    </row>
    <row r="43" spans="1:20" x14ac:dyDescent="0.3">
      <c r="A43" s="38" t="s">
        <v>52</v>
      </c>
      <c r="B43">
        <v>67900000</v>
      </c>
    </row>
    <row r="44" spans="1:20" x14ac:dyDescent="0.3">
      <c r="A44" s="38" t="s">
        <v>119</v>
      </c>
      <c r="B44">
        <v>54560000</v>
      </c>
    </row>
    <row r="45" spans="1:20" x14ac:dyDescent="0.3">
      <c r="A45" s="38" t="s">
        <v>132</v>
      </c>
      <c r="B45">
        <v>31640000</v>
      </c>
    </row>
    <row r="46" spans="1:20" x14ac:dyDescent="0.3">
      <c r="A46" s="38" t="s">
        <v>75</v>
      </c>
      <c r="B46">
        <v>31660000</v>
      </c>
    </row>
    <row r="47" spans="1:20" x14ac:dyDescent="0.3">
      <c r="A47" s="38" t="s">
        <v>136</v>
      </c>
      <c r="B47">
        <v>43020000</v>
      </c>
    </row>
    <row r="48" spans="1:20" x14ac:dyDescent="0.3">
      <c r="A48" s="38" t="s">
        <v>21</v>
      </c>
      <c r="B48">
        <v>52720000</v>
      </c>
    </row>
    <row r="49" spans="1:2" x14ac:dyDescent="0.3">
      <c r="A49" s="38" t="s">
        <v>39</v>
      </c>
      <c r="B49">
        <v>51470000</v>
      </c>
    </row>
    <row r="50" spans="1:2" x14ac:dyDescent="0.3">
      <c r="A50" s="38" t="s">
        <v>326</v>
      </c>
      <c r="B50">
        <v>52800000</v>
      </c>
    </row>
    <row r="51" spans="1:2" x14ac:dyDescent="0.3">
      <c r="A51" s="38" t="s">
        <v>191</v>
      </c>
      <c r="B51">
        <v>45640000</v>
      </c>
    </row>
    <row r="52" spans="1:2" x14ac:dyDescent="0.3">
      <c r="A52" s="38" t="s">
        <v>143</v>
      </c>
      <c r="B52">
        <v>54730000</v>
      </c>
    </row>
    <row r="53" spans="1:2" x14ac:dyDescent="0.3">
      <c r="A53" s="38" t="s">
        <v>151</v>
      </c>
      <c r="B53">
        <v>32060000</v>
      </c>
    </row>
    <row r="54" spans="1:2" x14ac:dyDescent="0.3">
      <c r="A54" s="38" t="s">
        <v>104</v>
      </c>
      <c r="B54">
        <v>34350000</v>
      </c>
    </row>
    <row r="55" spans="1:2" x14ac:dyDescent="0.3">
      <c r="A55" s="38" t="s">
        <v>226</v>
      </c>
      <c r="B55">
        <v>61090000</v>
      </c>
    </row>
    <row r="56" spans="1:2" x14ac:dyDescent="0.3">
      <c r="A56" s="38" t="s">
        <v>44</v>
      </c>
      <c r="B56">
        <v>35200000</v>
      </c>
    </row>
    <row r="57" spans="1:2" x14ac:dyDescent="0.3">
      <c r="A57" s="38" t="s">
        <v>249</v>
      </c>
      <c r="B57">
        <v>47550000</v>
      </c>
    </row>
    <row r="58" spans="1:2" x14ac:dyDescent="0.3">
      <c r="A58" s="38" t="s">
        <v>68</v>
      </c>
      <c r="B58">
        <v>33750000</v>
      </c>
    </row>
    <row r="59" spans="1:2" x14ac:dyDescent="0.3">
      <c r="A59" s="38" t="s">
        <v>64</v>
      </c>
      <c r="B59">
        <v>47650000</v>
      </c>
    </row>
    <row r="60" spans="1:2" x14ac:dyDescent="0.3">
      <c r="A60" s="38" t="s">
        <v>201</v>
      </c>
      <c r="B60">
        <v>37470000</v>
      </c>
    </row>
    <row r="61" spans="1:2" x14ac:dyDescent="0.3">
      <c r="A61" s="38" t="s">
        <v>155</v>
      </c>
      <c r="B61">
        <v>45580000</v>
      </c>
    </row>
    <row r="62" spans="1:2" x14ac:dyDescent="0.3">
      <c r="A62" s="38" t="s">
        <v>48</v>
      </c>
      <c r="B62">
        <v>45160000</v>
      </c>
    </row>
    <row r="63" spans="1:2" x14ac:dyDescent="0.3">
      <c r="A63" s="38" t="s">
        <v>316</v>
      </c>
      <c r="B63">
        <v>22050000</v>
      </c>
    </row>
    <row r="64" spans="1:2" x14ac:dyDescent="0.3">
      <c r="A64" s="38" t="s">
        <v>34</v>
      </c>
      <c r="B64">
        <v>87530000</v>
      </c>
    </row>
    <row r="65" spans="1:2" x14ac:dyDescent="0.3">
      <c r="A65" s="38" t="s">
        <v>205</v>
      </c>
      <c r="B65">
        <v>36120000</v>
      </c>
    </row>
    <row r="66" spans="1:2" x14ac:dyDescent="0.3">
      <c r="A66" s="38" t="s">
        <v>90</v>
      </c>
      <c r="B66">
        <v>52120000</v>
      </c>
    </row>
    <row r="67" spans="1:2" x14ac:dyDescent="0.3">
      <c r="A67" s="38" t="s">
        <v>147</v>
      </c>
      <c r="B67">
        <v>37380000</v>
      </c>
    </row>
    <row r="68" spans="1:2" x14ac:dyDescent="0.3">
      <c r="A68" s="38" t="s">
        <v>108</v>
      </c>
      <c r="B68">
        <v>39870000</v>
      </c>
    </row>
    <row r="69" spans="1:2" x14ac:dyDescent="0.3">
      <c r="A69" s="38" t="s">
        <v>82</v>
      </c>
      <c r="B69">
        <v>51020000</v>
      </c>
    </row>
    <row r="70" spans="1:2" x14ac:dyDescent="0.3">
      <c r="A70" s="38" t="s">
        <v>366</v>
      </c>
      <c r="B70">
        <v>44460000</v>
      </c>
    </row>
    <row r="71" spans="1:2" x14ac:dyDescent="0.3">
      <c r="A71" s="38" t="s">
        <v>212</v>
      </c>
      <c r="B71">
        <v>43190000</v>
      </c>
    </row>
    <row r="72" spans="1:2" x14ac:dyDescent="0.3">
      <c r="A72" s="38" t="s">
        <v>94</v>
      </c>
      <c r="B72">
        <v>39010000</v>
      </c>
    </row>
    <row r="73" spans="1:2" x14ac:dyDescent="0.3">
      <c r="A73" s="38" t="s">
        <v>86</v>
      </c>
      <c r="B73">
        <v>49080000</v>
      </c>
    </row>
    <row r="74" spans="1:2" x14ac:dyDescent="0.3">
      <c r="A74" s="38" t="s">
        <v>2685</v>
      </c>
      <c r="B74">
        <v>1748220000</v>
      </c>
    </row>
  </sheetData>
  <pageMargins left="0.7" right="0.7" top="0.75" bottom="0.75" header="0.3" footer="0.3"/>
  <drawing r:id="rId6"/>
  <extLst>
    <ext xmlns:x14="http://schemas.microsoft.com/office/spreadsheetml/2009/9/main" uri="{A8765BA9-456A-4dab-B4F3-ACF838C121DE}">
      <x14:slicerList>
        <x14:slicer r:id="rId7"/>
      </x14:slicerList>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CA21CE0-DD13-40BA-A640-E7E2CF2D2152}">
  <dimension ref="A2:P34"/>
  <sheetViews>
    <sheetView zoomScale="46" workbookViewId="0">
      <selection activeCell="V40" sqref="V40"/>
    </sheetView>
  </sheetViews>
  <sheetFormatPr defaultRowHeight="14" x14ac:dyDescent="0.3"/>
  <cols>
    <col min="1" max="1" width="14.25" bestFit="1" customWidth="1"/>
    <col min="2" max="2" width="24.6640625" bestFit="1" customWidth="1"/>
    <col min="3" max="3" width="23.6640625" bestFit="1" customWidth="1"/>
    <col min="13" max="13" width="16.9140625" bestFit="1" customWidth="1"/>
    <col min="14" max="14" width="29.5" bestFit="1" customWidth="1"/>
    <col min="15" max="15" width="27.6640625" bestFit="1" customWidth="1"/>
    <col min="16" max="16" width="26.75" bestFit="1" customWidth="1"/>
  </cols>
  <sheetData>
    <row r="2" spans="1:14" x14ac:dyDescent="0.3">
      <c r="M2" s="37" t="s">
        <v>2684</v>
      </c>
      <c r="N2" t="s">
        <v>2696</v>
      </c>
    </row>
    <row r="3" spans="1:14" x14ac:dyDescent="0.3">
      <c r="A3" s="37" t="s">
        <v>2684</v>
      </c>
      <c r="B3" t="s">
        <v>2689</v>
      </c>
      <c r="M3" s="38">
        <v>1</v>
      </c>
      <c r="N3">
        <v>9450</v>
      </c>
    </row>
    <row r="4" spans="1:14" x14ac:dyDescent="0.3">
      <c r="A4" s="38">
        <v>1</v>
      </c>
      <c r="B4">
        <v>1159261.1392698991</v>
      </c>
      <c r="M4" s="38">
        <v>2</v>
      </c>
      <c r="N4">
        <v>18144.458544524241</v>
      </c>
    </row>
    <row r="5" spans="1:14" x14ac:dyDescent="0.3">
      <c r="A5" s="38">
        <v>2</v>
      </c>
      <c r="B5">
        <v>1057766.7370843221</v>
      </c>
      <c r="M5" s="38">
        <v>3</v>
      </c>
      <c r="N5">
        <v>26077.709072656653</v>
      </c>
    </row>
    <row r="6" spans="1:14" x14ac:dyDescent="0.3">
      <c r="A6" s="38">
        <v>3</v>
      </c>
      <c r="B6">
        <v>955511.12688235356</v>
      </c>
      <c r="M6" s="38">
        <v>4</v>
      </c>
      <c r="N6">
        <v>33244.042524274308</v>
      </c>
    </row>
    <row r="7" spans="1:14" x14ac:dyDescent="0.3">
      <c r="A7" s="38">
        <v>4</v>
      </c>
      <c r="B7">
        <v>852488.59960387019</v>
      </c>
      <c r="M7" s="38">
        <v>5</v>
      </c>
      <c r="N7">
        <v>39637.707021303344</v>
      </c>
    </row>
    <row r="8" spans="1:14" x14ac:dyDescent="0.3">
      <c r="A8" s="38">
        <v>5</v>
      </c>
      <c r="B8">
        <v>748693.40337079833</v>
      </c>
      <c r="M8" s="38">
        <v>6</v>
      </c>
      <c r="N8">
        <v>45252.907546584334</v>
      </c>
    </row>
    <row r="9" spans="1:14" x14ac:dyDescent="0.3">
      <c r="A9" s="38">
        <v>6</v>
      </c>
      <c r="B9">
        <v>644119.74316597823</v>
      </c>
      <c r="M9" s="38">
        <v>7</v>
      </c>
      <c r="N9">
        <v>50083.805620329178</v>
      </c>
    </row>
    <row r="10" spans="1:14" x14ac:dyDescent="0.3">
      <c r="A10" s="38">
        <v>7</v>
      </c>
      <c r="B10">
        <v>538761.78050962207</v>
      </c>
      <c r="M10" s="38">
        <v>8</v>
      </c>
      <c r="N10">
        <v>54124.518974151331</v>
      </c>
    </row>
    <row r="11" spans="1:14" x14ac:dyDescent="0.3">
      <c r="A11" s="38">
        <v>8</v>
      </c>
      <c r="B11">
        <v>432613.63313334319</v>
      </c>
      <c r="M11" s="38">
        <v>9</v>
      </c>
      <c r="N11">
        <v>57369.121222651404</v>
      </c>
    </row>
    <row r="12" spans="1:14" x14ac:dyDescent="0.3">
      <c r="A12" s="38">
        <v>9</v>
      </c>
      <c r="B12">
        <v>325669.37465174228</v>
      </c>
      <c r="M12" s="38">
        <v>10</v>
      </c>
      <c r="N12">
        <v>59811.641532539477</v>
      </c>
    </row>
    <row r="13" spans="1:14" x14ac:dyDescent="0.3">
      <c r="A13" s="38">
        <v>10</v>
      </c>
      <c r="B13">
        <v>217923.03423152934</v>
      </c>
      <c r="M13" s="38">
        <v>11</v>
      </c>
      <c r="N13">
        <v>61446.064289275935</v>
      </c>
    </row>
    <row r="14" spans="1:14" x14ac:dyDescent="0.3">
      <c r="A14" s="38">
        <v>11</v>
      </c>
      <c r="B14">
        <v>109368.59625816485</v>
      </c>
      <c r="M14" s="38">
        <v>12</v>
      </c>
      <c r="N14">
        <v>62266.328761212164</v>
      </c>
    </row>
    <row r="15" spans="1:14" x14ac:dyDescent="0.3">
      <c r="A15" s="38">
        <v>12</v>
      </c>
      <c r="B15">
        <v>0</v>
      </c>
      <c r="M15" s="38" t="s">
        <v>2691</v>
      </c>
      <c r="N15">
        <v>14196722.957556427</v>
      </c>
    </row>
    <row r="16" spans="1:14" x14ac:dyDescent="0.3">
      <c r="A16" s="38" t="s">
        <v>2691</v>
      </c>
      <c r="B16">
        <v>0</v>
      </c>
      <c r="M16" s="38" t="s">
        <v>2685</v>
      </c>
      <c r="N16">
        <v>14713631.262665929</v>
      </c>
    </row>
    <row r="17" spans="1:16" x14ac:dyDescent="0.3">
      <c r="A17" s="38" t="s">
        <v>2685</v>
      </c>
      <c r="B17">
        <v>7042177.1681616232</v>
      </c>
    </row>
    <row r="20" spans="1:16" x14ac:dyDescent="0.3">
      <c r="A20" s="37" t="s">
        <v>2684</v>
      </c>
      <c r="B20" t="s">
        <v>2695</v>
      </c>
      <c r="C20" t="s">
        <v>2689</v>
      </c>
      <c r="M20" s="37" t="s">
        <v>2684</v>
      </c>
      <c r="N20" t="s">
        <v>2690</v>
      </c>
      <c r="O20" t="s">
        <v>2697</v>
      </c>
      <c r="P20" t="s">
        <v>2689</v>
      </c>
    </row>
    <row r="21" spans="1:16" x14ac:dyDescent="0.3">
      <c r="A21" s="38">
        <v>1</v>
      </c>
      <c r="B21">
        <v>1260000</v>
      </c>
      <c r="C21">
        <v>1159261.1392698991</v>
      </c>
      <c r="M21" s="38">
        <v>1</v>
      </c>
      <c r="N21">
        <v>100738.86073010099</v>
      </c>
      <c r="O21">
        <v>9450</v>
      </c>
      <c r="P21">
        <v>1159261.1392698991</v>
      </c>
    </row>
    <row r="22" spans="1:16" x14ac:dyDescent="0.3">
      <c r="A22" s="38">
        <v>2</v>
      </c>
      <c r="B22">
        <v>1159261.1392698991</v>
      </c>
      <c r="C22">
        <v>1057766.7370843221</v>
      </c>
      <c r="M22" s="38">
        <v>2</v>
      </c>
      <c r="N22">
        <v>101494.40218557678</v>
      </c>
      <c r="O22">
        <v>8694.458544524241</v>
      </c>
      <c r="P22">
        <v>1057766.7370843221</v>
      </c>
    </row>
    <row r="23" spans="1:16" x14ac:dyDescent="0.3">
      <c r="A23" s="38">
        <v>3</v>
      </c>
      <c r="B23">
        <v>1057766.7370843221</v>
      </c>
      <c r="C23">
        <v>955511.12688235356</v>
      </c>
      <c r="M23" s="38">
        <v>3</v>
      </c>
      <c r="N23">
        <v>102255.61020196859</v>
      </c>
      <c r="O23">
        <v>7933.250528132412</v>
      </c>
      <c r="P23">
        <v>955511.12688235356</v>
      </c>
    </row>
    <row r="24" spans="1:16" x14ac:dyDescent="0.3">
      <c r="A24" s="38">
        <v>4</v>
      </c>
      <c r="B24">
        <v>955511.12688235356</v>
      </c>
      <c r="C24">
        <v>852488.59960387019</v>
      </c>
      <c r="M24" s="38">
        <v>4</v>
      </c>
      <c r="N24">
        <v>103022.52727848337</v>
      </c>
      <c r="O24">
        <v>7166.3334516176546</v>
      </c>
      <c r="P24">
        <v>852488.59960387019</v>
      </c>
    </row>
    <row r="25" spans="1:16" x14ac:dyDescent="0.3">
      <c r="A25" s="38">
        <v>5</v>
      </c>
      <c r="B25">
        <v>852488.59960387019</v>
      </c>
      <c r="C25">
        <v>748693.40337079833</v>
      </c>
      <c r="M25" s="38">
        <v>5</v>
      </c>
      <c r="N25">
        <v>103795.19623307195</v>
      </c>
      <c r="O25">
        <v>6393.6644970290363</v>
      </c>
      <c r="P25">
        <v>748693.40337079833</v>
      </c>
    </row>
    <row r="26" spans="1:16" x14ac:dyDescent="0.3">
      <c r="A26" s="38">
        <v>6</v>
      </c>
      <c r="B26">
        <v>748693.40337079833</v>
      </c>
      <c r="C26">
        <v>644119.74316597823</v>
      </c>
      <c r="M26" s="38">
        <v>6</v>
      </c>
      <c r="N26">
        <v>104573.66020482003</v>
      </c>
      <c r="O26">
        <v>5615.2005252809904</v>
      </c>
      <c r="P26">
        <v>644119.74316597823</v>
      </c>
    </row>
    <row r="27" spans="1:16" x14ac:dyDescent="0.3">
      <c r="A27" s="38">
        <v>7</v>
      </c>
      <c r="B27">
        <v>644119.74316597823</v>
      </c>
      <c r="C27">
        <v>538761.78050962207</v>
      </c>
      <c r="M27" s="38">
        <v>7</v>
      </c>
      <c r="N27">
        <v>105357.96265635616</v>
      </c>
      <c r="O27">
        <v>4830.8980737448437</v>
      </c>
      <c r="P27">
        <v>538761.78050962207</v>
      </c>
    </row>
    <row r="28" spans="1:16" x14ac:dyDescent="0.3">
      <c r="A28" s="38">
        <v>8</v>
      </c>
      <c r="B28">
        <v>538761.78050962207</v>
      </c>
      <c r="C28">
        <v>432613.63313334319</v>
      </c>
      <c r="M28" s="38">
        <v>8</v>
      </c>
      <c r="N28">
        <v>106148.14737627885</v>
      </c>
      <c r="O28">
        <v>4040.7133538221533</v>
      </c>
      <c r="P28">
        <v>432613.63313334319</v>
      </c>
    </row>
    <row r="29" spans="1:16" x14ac:dyDescent="0.3">
      <c r="A29" s="38">
        <v>9</v>
      </c>
      <c r="B29">
        <v>432613.63313334319</v>
      </c>
      <c r="C29">
        <v>325669.37465174228</v>
      </c>
      <c r="M29" s="38">
        <v>9</v>
      </c>
      <c r="N29">
        <v>106944.25848160092</v>
      </c>
      <c r="O29">
        <v>3244.6022485000722</v>
      </c>
      <c r="P29">
        <v>325669.37465174228</v>
      </c>
    </row>
    <row r="30" spans="1:16" x14ac:dyDescent="0.3">
      <c r="A30" s="38">
        <v>10</v>
      </c>
      <c r="B30">
        <v>325669.37465174228</v>
      </c>
      <c r="C30">
        <v>217923.03423152934</v>
      </c>
      <c r="M30" s="38">
        <v>10</v>
      </c>
      <c r="N30">
        <v>107746.34042021295</v>
      </c>
      <c r="O30">
        <v>2442.5203098880738</v>
      </c>
      <c r="P30">
        <v>217923.03423152934</v>
      </c>
    </row>
    <row r="31" spans="1:16" x14ac:dyDescent="0.3">
      <c r="A31" s="38">
        <v>11</v>
      </c>
      <c r="B31">
        <v>217923.03423152934</v>
      </c>
      <c r="C31">
        <v>109368.59625816485</v>
      </c>
      <c r="M31" s="38">
        <v>11</v>
      </c>
      <c r="N31">
        <v>108554.43797336455</v>
      </c>
      <c r="O31">
        <v>1634.4227567364578</v>
      </c>
      <c r="P31">
        <v>109368.59625816485</v>
      </c>
    </row>
    <row r="32" spans="1:16" x14ac:dyDescent="0.3">
      <c r="A32" s="38">
        <v>12</v>
      </c>
      <c r="B32">
        <v>109368.59625816485</v>
      </c>
      <c r="C32">
        <v>0</v>
      </c>
      <c r="M32" s="38">
        <v>12</v>
      </c>
      <c r="N32">
        <v>109368.59625816485</v>
      </c>
      <c r="O32">
        <v>820.2644719362288</v>
      </c>
      <c r="P32">
        <v>0</v>
      </c>
    </row>
    <row r="33" spans="1:16" x14ac:dyDescent="0.3">
      <c r="A33" s="38" t="s">
        <v>2691</v>
      </c>
      <c r="B33">
        <v>0</v>
      </c>
      <c r="C33">
        <v>0</v>
      </c>
      <c r="M33" s="38" t="s">
        <v>2691</v>
      </c>
      <c r="N33">
        <v>0</v>
      </c>
      <c r="O33">
        <v>0</v>
      </c>
      <c r="P33">
        <v>0</v>
      </c>
    </row>
    <row r="34" spans="1:16" x14ac:dyDescent="0.3">
      <c r="A34" s="38" t="s">
        <v>2685</v>
      </c>
      <c r="B34">
        <v>8302177.1681616232</v>
      </c>
      <c r="C34">
        <v>7042177.1681616232</v>
      </c>
      <c r="M34" s="38" t="s">
        <v>2685</v>
      </c>
      <c r="N34">
        <v>1260000</v>
      </c>
      <c r="O34">
        <v>62266.328761212164</v>
      </c>
      <c r="P34">
        <v>7042177.1681616232</v>
      </c>
    </row>
  </sheetData>
  <pageMargins left="0.7" right="0.7" top="0.75" bottom="0.75" header="0.3" footer="0.3"/>
  <drawing r:id="rId5"/>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07DB58-D69B-49F4-9904-080C1A4C19EF}">
  <dimension ref="B2:C14"/>
  <sheetViews>
    <sheetView topLeftCell="A6" zoomScale="72" workbookViewId="0">
      <selection activeCell="C11" sqref="C11"/>
    </sheetView>
  </sheetViews>
  <sheetFormatPr defaultRowHeight="14" x14ac:dyDescent="0.3"/>
  <cols>
    <col min="2" max="3" width="79.9140625" customWidth="1"/>
  </cols>
  <sheetData>
    <row r="2" spans="2:3" ht="27.5" x14ac:dyDescent="0.3">
      <c r="B2" s="81" t="s">
        <v>2672</v>
      </c>
      <c r="C2" s="81"/>
    </row>
    <row r="3" spans="2:3" ht="38.5" customHeight="1" x14ac:dyDescent="0.3">
      <c r="B3" s="27" t="s">
        <v>2673</v>
      </c>
      <c r="C3" s="28" t="s">
        <v>2681</v>
      </c>
    </row>
    <row r="4" spans="2:3" ht="38.5" customHeight="1" x14ac:dyDescent="0.3">
      <c r="B4" s="27" t="s">
        <v>2674</v>
      </c>
      <c r="C4" s="28">
        <v>26</v>
      </c>
    </row>
    <row r="5" spans="2:3" ht="38.5" customHeight="1" x14ac:dyDescent="0.3">
      <c r="B5" s="27" t="s">
        <v>2675</v>
      </c>
      <c r="C5" s="28" t="s">
        <v>21</v>
      </c>
    </row>
    <row r="6" spans="2:3" ht="38.5" customHeight="1" x14ac:dyDescent="0.3">
      <c r="B6" s="27" t="s">
        <v>2676</v>
      </c>
      <c r="C6" s="28">
        <v>800</v>
      </c>
    </row>
    <row r="7" spans="2:3" ht="38.5" customHeight="1" x14ac:dyDescent="0.3">
      <c r="B7" s="27" t="s">
        <v>2677</v>
      </c>
      <c r="C7" s="28" t="s">
        <v>2682</v>
      </c>
    </row>
    <row r="8" spans="2:3" ht="38.5" customHeight="1" x14ac:dyDescent="0.3">
      <c r="B8" s="27" t="s">
        <v>2678</v>
      </c>
      <c r="C8" s="28">
        <v>400000</v>
      </c>
    </row>
    <row r="9" spans="2:3" ht="38.5" customHeight="1" x14ac:dyDescent="0.3">
      <c r="B9" s="27" t="s">
        <v>2679</v>
      </c>
      <c r="C9" s="29">
        <v>0.08</v>
      </c>
    </row>
    <row r="10" spans="2:3" ht="38.5" customHeight="1" x14ac:dyDescent="0.3">
      <c r="B10" s="27" t="s">
        <v>2683</v>
      </c>
      <c r="C10" s="28">
        <v>12</v>
      </c>
    </row>
    <row r="11" spans="2:3" ht="38.5" customHeight="1" x14ac:dyDescent="0.3">
      <c r="B11" s="27" t="s">
        <v>2680</v>
      </c>
      <c r="C11" s="30">
        <v>46023</v>
      </c>
    </row>
    <row r="12" spans="2:3" ht="38.5" customHeight="1" x14ac:dyDescent="0.3">
      <c r="B12" s="31"/>
      <c r="C12" s="32"/>
    </row>
    <row r="13" spans="2:3" ht="38.5" customHeight="1" x14ac:dyDescent="0.3">
      <c r="B13" s="33"/>
      <c r="C13" s="33"/>
    </row>
    <row r="14" spans="2:3" ht="38.5" customHeight="1" x14ac:dyDescent="0.3">
      <c r="B14" s="33"/>
      <c r="C14" s="33"/>
    </row>
  </sheetData>
  <mergeCells count="1">
    <mergeCell ref="B2:C2"/>
  </mergeCells>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12</vt:i4>
      </vt:variant>
    </vt:vector>
  </HeadingPairs>
  <TitlesOfParts>
    <vt:vector size="12" baseType="lpstr">
      <vt:lpstr>Dashboardd</vt:lpstr>
      <vt:lpstr>Content</vt:lpstr>
      <vt:lpstr>Instructions</vt:lpstr>
      <vt:lpstr>Dashboard</vt:lpstr>
      <vt:lpstr>Raw Data</vt:lpstr>
      <vt:lpstr>Clean Data</vt:lpstr>
      <vt:lpstr>Cleaning Tasks</vt:lpstr>
      <vt:lpstr>EMI &amp; Amortization</vt:lpstr>
      <vt:lpstr>PIVOT 1</vt:lpstr>
      <vt:lpstr>pivot 2</vt:lpstr>
      <vt:lpstr>pivot 3</vt:lpstr>
      <vt:lpstr>New Customer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Debtanu De</dc:creator>
  <cp:lastModifiedBy>Subhayan Mitra</cp:lastModifiedBy>
  <dcterms:created xsi:type="dcterms:W3CDTF">2026-05-27T03:30:21Z</dcterms:created>
  <dcterms:modified xsi:type="dcterms:W3CDTF">2026-05-29T03:58:38Z</dcterms:modified>
</cp:coreProperties>
</file>